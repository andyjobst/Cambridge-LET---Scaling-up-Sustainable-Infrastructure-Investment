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yj\OneDrive\Desktop\Files\Cambridge MPhil\DATA\IFC - GEMS\"/>
    </mc:Choice>
  </mc:AlternateContent>
  <xr:revisionPtr revIDLastSave="0" documentId="13_ncr:1_{F8483E53-4C37-4E8C-BB92-BB7FBA53BFE2}" xr6:coauthVersionLast="47" xr6:coauthVersionMax="47" xr10:uidLastSave="{00000000-0000-0000-0000-000000000000}"/>
  <bookViews>
    <workbookView xWindow="-108" yWindow="-108" windowWidth="23256" windowHeight="12576" firstSheet="41" activeTab="47" xr2:uid="{317655A1-6659-4F1B-A78C-449A1279E856}"/>
  </bookViews>
  <sheets>
    <sheet name="DR" sheetId="24" r:id="rId1"/>
    <sheet name="DR_Year" sheetId="14" r:id="rId2"/>
    <sheet name="DR_TtD" sheetId="62" r:id="rId3"/>
    <sheet name="DR_Rat_1y" sheetId="63" r:id="rId4"/>
    <sheet name="RR" sheetId="23" r:id="rId5"/>
    <sheet name="RR_year" sheetId="112" r:id="rId6"/>
    <sheet name="RR_Dist" sheetId="19" r:id="rId7"/>
    <sheet name="RR_TtR" sheetId="20" r:id="rId8"/>
    <sheet name="CTP_Info" sheetId="39" r:id="rId9"/>
    <sheet name="DR_TtD_GICS" sheetId="67" r:id="rId10"/>
    <sheet name="DR_TtD_Reg" sheetId="66" r:id="rId11"/>
    <sheet name="DR_TtD_SecGrp" sheetId="68" r:id="rId12"/>
    <sheet name="DR_Reg" sheetId="1" r:id="rId13"/>
    <sheet name="DR_Reg_Year" sheetId="69" r:id="rId14"/>
    <sheet name="DR_Cont_Year" sheetId="70" r:id="rId15"/>
    <sheet name="DR_GICS" sheetId="4" r:id="rId16"/>
    <sheet name="DR_GICS_Year" sheetId="71" r:id="rId17"/>
    <sheet name="DR_SecGrp_Year" sheetId="72" r:id="rId18"/>
    <sheet name="DR_Reg-GICS" sheetId="21" r:id="rId19"/>
    <sheet name="DR_Reg-SecGrp" sheetId="73" r:id="rId20"/>
    <sheet name="DR_Ctry" sheetId="7" r:id="rId21"/>
    <sheet name="DR_Ctry_Year" sheetId="74" r:id="rId22"/>
    <sheet name="DR_Ctry-GICS" sheetId="76" r:id="rId23"/>
    <sheet name="DR_Ctry-FI_Year" sheetId="77" r:id="rId24"/>
    <sheet name="DR_Ctry-NonFI_Year" sheetId="78" r:id="rId25"/>
    <sheet name="DR_Ctry-SecGrp_Year" sheetId="79" r:id="rId26"/>
    <sheet name="DR_Inc" sheetId="6" r:id="rId27"/>
    <sheet name="DR_Inc-Reg" sheetId="80" r:id="rId28"/>
    <sheet name="DR_Proj" sheetId="82" r:id="rId29"/>
    <sheet name="MasterPD" sheetId="85" r:id="rId30"/>
    <sheet name="Rt_Freq" sheetId="86" r:id="rId31"/>
    <sheet name="DR_Rt_1y" sheetId="83" r:id="rId32"/>
    <sheet name="DR_Rt_Y" sheetId="84" r:id="rId33"/>
    <sheet name="DR_Rt_cum_Y" sheetId="87" r:id="rId34"/>
    <sheet name="RR_Reg" sheetId="12" r:id="rId35"/>
    <sheet name="RR_Cont_Year" sheetId="93" r:id="rId36"/>
    <sheet name="RR_GICS" sheetId="41" r:id="rId37"/>
    <sheet name="RR_GICS_Year" sheetId="95" r:id="rId38"/>
    <sheet name="RR_Reg_Year" sheetId="92" r:id="rId39"/>
    <sheet name="RR_SecGrp_Year" sheetId="94" r:id="rId40"/>
    <sheet name="RR_Reg-GICS" sheetId="22" r:id="rId41"/>
    <sheet name="RR_Reg-SecGrp" sheetId="96" r:id="rId42"/>
    <sheet name="RR_Ctry" sheetId="15" r:id="rId43"/>
    <sheet name="RR_Ctry_Year" sheetId="97" r:id="rId44"/>
    <sheet name="RR_Ctry-GICS" sheetId="98" r:id="rId45"/>
    <sheet name="RR_Ctry-FI_Year" sheetId="99" r:id="rId46"/>
    <sheet name="RR_Ctry-NonFI_Year" sheetId="100" r:id="rId47"/>
    <sheet name="RR_Inc" sheetId="46" r:id="rId48"/>
    <sheet name="RR_Inc-Reg" sheetId="102" r:id="rId49"/>
    <sheet name="RR_Curr" sheetId="48" r:id="rId50"/>
    <sheet name="RR_Proj" sheetId="103" r:id="rId51"/>
    <sheet name="RR_Sen" sheetId="105" r:id="rId52"/>
    <sheet name="RR_Size" sheetId="50" r:id="rId53"/>
    <sheet name="MM_GEMsRt_Up" sheetId="107" r:id="rId54"/>
    <sheet name="MM_GEMsRt_1" sheetId="108" r:id="rId55"/>
    <sheet name="MM_GEMsRt_2" sheetId="110" r:id="rId56"/>
    <sheet name="MM_GEMsRt_10" sheetId="111" r:id="rId57"/>
  </sheets>
  <definedNames>
    <definedName name="_Ref171698474" localSheetId="53">MM_GEMsRt_Up!$A$2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1" i="68" l="1"/>
  <c r="AG31" i="68"/>
  <c r="AH31" i="68"/>
  <c r="AI31" i="68"/>
  <c r="AJ31" i="68"/>
  <c r="AK31" i="68"/>
  <c r="AL31" i="68"/>
  <c r="AM31" i="68"/>
  <c r="AN31" i="68"/>
  <c r="AE31" i="68"/>
  <c r="AE22" i="68"/>
  <c r="AE30" i="68"/>
  <c r="AE20" i="68"/>
  <c r="AI33" i="68"/>
  <c r="AI35" i="68" s="1"/>
  <c r="AH33" i="68"/>
  <c r="AH34" i="68" s="1"/>
  <c r="AE29" i="68"/>
  <c r="H2" i="72"/>
  <c r="W7" i="46"/>
  <c r="X7" i="46"/>
  <c r="V7" i="46"/>
  <c r="X9" i="46"/>
  <c r="X10" i="46"/>
  <c r="X8" i="46"/>
  <c r="W9" i="46"/>
  <c r="W10" i="46"/>
  <c r="W8" i="46"/>
  <c r="S8" i="46"/>
  <c r="V9" i="46"/>
  <c r="V10" i="46"/>
  <c r="V8" i="46"/>
  <c r="T9" i="46"/>
  <c r="T10" i="46"/>
  <c r="T8" i="46"/>
  <c r="S10" i="46"/>
  <c r="S9" i="46"/>
  <c r="E14" i="46"/>
  <c r="R8" i="46"/>
  <c r="R10" i="46"/>
  <c r="R9" i="46"/>
  <c r="I14" i="46"/>
  <c r="G1" i="94"/>
  <c r="AE11" i="68"/>
  <c r="AE2" i="68"/>
  <c r="AF22" i="68"/>
  <c r="AG22" i="68"/>
  <c r="AH22" i="68"/>
  <c r="AI22" i="68"/>
  <c r="AJ22" i="68"/>
  <c r="AJ24" i="68" s="1"/>
  <c r="AK22" i="68"/>
  <c r="AL22" i="68"/>
  <c r="AM22" i="68"/>
  <c r="AM24" i="68" s="1"/>
  <c r="AN22" i="68"/>
  <c r="AE21" i="68"/>
  <c r="AN24" i="68"/>
  <c r="AF24" i="68"/>
  <c r="AE24" i="68"/>
  <c r="AE15" i="68"/>
  <c r="AF13" i="68"/>
  <c r="AG13" i="68"/>
  <c r="AH13" i="68"/>
  <c r="AI13" i="68"/>
  <c r="AJ13" i="68"/>
  <c r="AK13" i="68"/>
  <c r="AK15" i="68" s="1"/>
  <c r="AK17" i="68" s="1"/>
  <c r="AL13" i="68"/>
  <c r="AL15" i="68" s="1"/>
  <c r="AL17" i="68" s="1"/>
  <c r="AM13" i="68"/>
  <c r="AN13" i="68"/>
  <c r="AE13" i="68"/>
  <c r="AE12" i="68"/>
  <c r="AJ15" i="68"/>
  <c r="AF8" i="68"/>
  <c r="AG8" i="68"/>
  <c r="AH8" i="68"/>
  <c r="AI8" i="68"/>
  <c r="AJ8" i="68"/>
  <c r="AK8" i="68"/>
  <c r="AL8" i="68"/>
  <c r="AM8" i="68"/>
  <c r="AN8" i="68"/>
  <c r="AE8" i="68"/>
  <c r="AE7" i="68"/>
  <c r="AF7" i="68"/>
  <c r="AG7" i="68"/>
  <c r="AH7" i="68"/>
  <c r="AI7" i="68"/>
  <c r="AJ7" i="68"/>
  <c r="AK7" i="68"/>
  <c r="AL7" i="68"/>
  <c r="AM7" i="68"/>
  <c r="AN7" i="68"/>
  <c r="AP3" i="68"/>
  <c r="M13" i="6"/>
  <c r="I14" i="6"/>
  <c r="AR3" i="68" s="1"/>
  <c r="AQ3" i="68"/>
  <c r="AE6" i="68"/>
  <c r="AF6" i="68"/>
  <c r="AG6" i="68"/>
  <c r="AI6" i="68"/>
  <c r="AJ6" i="68"/>
  <c r="AK6" i="68"/>
  <c r="AL6" i="68"/>
  <c r="AM6" i="68"/>
  <c r="AN6" i="68"/>
  <c r="AH6" i="68"/>
  <c r="AF4" i="68"/>
  <c r="AG4" i="68"/>
  <c r="AH4" i="68"/>
  <c r="AI4" i="68"/>
  <c r="AJ4" i="68"/>
  <c r="AK4" i="68"/>
  <c r="AL4" i="68"/>
  <c r="AM4" i="68"/>
  <c r="AN4" i="68"/>
  <c r="AE4" i="68"/>
  <c r="AE3" i="68"/>
  <c r="I2" i="68"/>
  <c r="J2" i="68" s="1"/>
  <c r="K2" i="68" s="1"/>
  <c r="L2" i="68" s="1"/>
  <c r="M2" i="68" s="1"/>
  <c r="N2" i="68" s="1"/>
  <c r="O2" i="68" s="1"/>
  <c r="P2" i="68" s="1"/>
  <c r="Q2" i="68" s="1"/>
  <c r="R2" i="68" s="1"/>
  <c r="S2" i="68" s="1"/>
  <c r="T2" i="68" s="1"/>
  <c r="U2" i="68" s="1"/>
  <c r="V2" i="68" s="1"/>
  <c r="W2" i="68" s="1"/>
  <c r="X2" i="68" s="1"/>
  <c r="Y2" i="68" s="1"/>
  <c r="Z2" i="68" s="1"/>
  <c r="AA2" i="68" s="1"/>
  <c r="H2" i="68"/>
  <c r="G2" i="68"/>
  <c r="G1" i="68"/>
  <c r="H1" i="68"/>
  <c r="I1" i="68"/>
  <c r="J1" i="68"/>
  <c r="K1" i="68"/>
  <c r="L1" i="68"/>
  <c r="M1" i="68"/>
  <c r="N1" i="68"/>
  <c r="O1" i="68"/>
  <c r="P1" i="68"/>
  <c r="Q1" i="68"/>
  <c r="R1" i="68"/>
  <c r="S1" i="68"/>
  <c r="T1" i="68"/>
  <c r="U1" i="68"/>
  <c r="V1" i="68"/>
  <c r="W1" i="68"/>
  <c r="X1" i="68"/>
  <c r="Y1" i="68"/>
  <c r="Z1" i="68"/>
  <c r="AA1" i="68"/>
  <c r="F1" i="68"/>
  <c r="G2" i="72"/>
  <c r="V38" i="14"/>
  <c r="V37" i="14"/>
  <c r="V25" i="14"/>
  <c r="V35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6" i="14"/>
  <c r="V27" i="14"/>
  <c r="V28" i="14"/>
  <c r="V29" i="14"/>
  <c r="V30" i="14"/>
  <c r="V31" i="14"/>
  <c r="V32" i="14"/>
  <c r="V33" i="14"/>
  <c r="V34" i="14"/>
  <c r="V36" i="14"/>
  <c r="V6" i="14"/>
  <c r="V7" i="112"/>
  <c r="W7" i="112" s="1"/>
  <c r="R21" i="112"/>
  <c r="V20" i="112"/>
  <c r="W20" i="112" s="1"/>
  <c r="R20" i="112"/>
  <c r="S20" i="112" s="1"/>
  <c r="Q20" i="112"/>
  <c r="S21" i="112"/>
  <c r="Q21" i="112"/>
  <c r="U6" i="112" s="1"/>
  <c r="U7" i="112" s="1"/>
  <c r="U8" i="112" s="1"/>
  <c r="U9" i="112" s="1"/>
  <c r="U10" i="112" s="1"/>
  <c r="U11" i="112" s="1"/>
  <c r="U12" i="112" s="1"/>
  <c r="U13" i="112" s="1"/>
  <c r="U14" i="112" s="1"/>
  <c r="U15" i="112" s="1"/>
  <c r="U16" i="112" s="1"/>
  <c r="U17" i="112" s="1"/>
  <c r="U18" i="112" s="1"/>
  <c r="U19" i="112" s="1"/>
  <c r="U20" i="112" s="1"/>
  <c r="V19" i="112"/>
  <c r="W19" i="112" s="1"/>
  <c r="Q19" i="112"/>
  <c r="V18" i="112"/>
  <c r="W18" i="112" s="1"/>
  <c r="R19" i="112"/>
  <c r="S19" i="112" s="1"/>
  <c r="V17" i="112"/>
  <c r="W17" i="112" s="1"/>
  <c r="R17" i="112"/>
  <c r="R18" i="112"/>
  <c r="S18" i="112" s="1"/>
  <c r="Q18" i="112"/>
  <c r="V16" i="112"/>
  <c r="W16" i="112" s="1"/>
  <c r="R16" i="112"/>
  <c r="S16" i="112" s="1"/>
  <c r="Q16" i="112"/>
  <c r="S17" i="112"/>
  <c r="Q17" i="112"/>
  <c r="V15" i="112"/>
  <c r="W15" i="112" s="1"/>
  <c r="Q15" i="112"/>
  <c r="V14" i="112"/>
  <c r="W14" i="112" s="1"/>
  <c r="R15" i="112"/>
  <c r="S15" i="112" s="1"/>
  <c r="V13" i="112"/>
  <c r="W13" i="112" s="1"/>
  <c r="R13" i="112"/>
  <c r="R14" i="112"/>
  <c r="S14" i="112" s="1"/>
  <c r="Q14" i="112"/>
  <c r="V12" i="112"/>
  <c r="W12" i="112" s="1"/>
  <c r="R12" i="112"/>
  <c r="S12" i="112" s="1"/>
  <c r="Q12" i="112"/>
  <c r="S13" i="112"/>
  <c r="Q13" i="112"/>
  <c r="V11" i="112"/>
  <c r="W11" i="112" s="1"/>
  <c r="Q11" i="112"/>
  <c r="V10" i="112"/>
  <c r="W10" i="112" s="1"/>
  <c r="R11" i="112"/>
  <c r="S11" i="112" s="1"/>
  <c r="V9" i="112"/>
  <c r="W9" i="112" s="1"/>
  <c r="R9" i="112"/>
  <c r="R10" i="112"/>
  <c r="S10" i="112" s="1"/>
  <c r="Q10" i="112"/>
  <c r="V8" i="112"/>
  <c r="W8" i="112" s="1"/>
  <c r="R8" i="112"/>
  <c r="S8" i="112" s="1"/>
  <c r="Q8" i="112"/>
  <c r="S9" i="112"/>
  <c r="Q9" i="112"/>
  <c r="Q7" i="112"/>
  <c r="V6" i="112"/>
  <c r="W6" i="112" s="1"/>
  <c r="R7" i="112"/>
  <c r="S7" i="112" s="1"/>
  <c r="AB5" i="112"/>
  <c r="AB6" i="112" s="1"/>
  <c r="AB7" i="112" s="1"/>
  <c r="AB8" i="112" s="1"/>
  <c r="AB9" i="112" s="1"/>
  <c r="AB10" i="112" s="1"/>
  <c r="AB11" i="112" s="1"/>
  <c r="AB12" i="112" s="1"/>
  <c r="AB13" i="112" s="1"/>
  <c r="AB14" i="112" s="1"/>
  <c r="AB15" i="112" s="1"/>
  <c r="AB16" i="112" s="1"/>
  <c r="AB17" i="112" s="1"/>
  <c r="AB18" i="112" s="1"/>
  <c r="AB19" i="112" s="1"/>
  <c r="AB20" i="112" s="1"/>
  <c r="AB21" i="112" s="1"/>
  <c r="AB22" i="112" s="1"/>
  <c r="AB23" i="112" s="1"/>
  <c r="AB24" i="112" s="1"/>
  <c r="AB25" i="112" s="1"/>
  <c r="AB26" i="112" s="1"/>
  <c r="AB27" i="112" s="1"/>
  <c r="AB28" i="112" s="1"/>
  <c r="AB29" i="112" s="1"/>
  <c r="AB30" i="112" s="1"/>
  <c r="AB31" i="112" s="1"/>
  <c r="AB32" i="112" s="1"/>
  <c r="AB33" i="112" s="1"/>
  <c r="AB34" i="112" s="1"/>
  <c r="R6" i="112"/>
  <c r="Q6" i="112"/>
  <c r="AA1" i="112"/>
  <c r="Z1" i="112"/>
  <c r="V21" i="112" s="1"/>
  <c r="AG33" i="68" l="1"/>
  <c r="AG34" i="68" s="1"/>
  <c r="AG35" i="68"/>
  <c r="AJ33" i="68"/>
  <c r="AK33" i="68"/>
  <c r="AI34" i="68"/>
  <c r="AL33" i="68"/>
  <c r="AH35" i="68"/>
  <c r="AE33" i="68"/>
  <c r="AM33" i="68"/>
  <c r="AF33" i="68"/>
  <c r="AN33" i="68"/>
  <c r="AL24" i="68"/>
  <c r="AL26" i="68" s="1"/>
  <c r="AK24" i="68"/>
  <c r="AK25" i="68" s="1"/>
  <c r="AJ26" i="68"/>
  <c r="AJ25" i="68"/>
  <c r="AM26" i="68"/>
  <c r="AM25" i="68"/>
  <c r="AN26" i="68"/>
  <c r="AN25" i="68"/>
  <c r="AF26" i="68"/>
  <c r="AF25" i="68"/>
  <c r="AE26" i="68"/>
  <c r="AE25" i="68"/>
  <c r="AL25" i="68"/>
  <c r="AG24" i="68"/>
  <c r="AK26" i="68"/>
  <c r="AH24" i="68"/>
  <c r="AI24" i="68"/>
  <c r="AJ17" i="68"/>
  <c r="AJ16" i="68"/>
  <c r="AM15" i="68"/>
  <c r="AK16" i="68"/>
  <c r="AF15" i="68"/>
  <c r="AN15" i="68"/>
  <c r="AL16" i="68"/>
  <c r="AG15" i="68"/>
  <c r="AH15" i="68"/>
  <c r="AI15" i="68"/>
  <c r="R23" i="112"/>
  <c r="V24" i="112" s="1"/>
  <c r="S6" i="112"/>
  <c r="V23" i="112"/>
  <c r="AJ35" i="68" l="1"/>
  <c r="AJ34" i="68"/>
  <c r="AN35" i="68"/>
  <c r="AN34" i="68"/>
  <c r="AM34" i="68"/>
  <c r="AM35" i="68"/>
  <c r="AL34" i="68"/>
  <c r="AL35" i="68"/>
  <c r="AF34" i="68"/>
  <c r="AF35" i="68"/>
  <c r="AE34" i="68"/>
  <c r="AE35" i="68"/>
  <c r="AK35" i="68"/>
  <c r="AK34" i="68"/>
  <c r="AI26" i="68"/>
  <c r="AI25" i="68"/>
  <c r="AH25" i="68"/>
  <c r="AH26" i="68"/>
  <c r="AG25" i="68"/>
  <c r="AG26" i="68"/>
  <c r="AF17" i="68"/>
  <c r="AF16" i="68"/>
  <c r="AN17" i="68"/>
  <c r="AN16" i="68"/>
  <c r="AI16" i="68"/>
  <c r="AI17" i="68"/>
  <c r="AM17" i="68"/>
  <c r="AM16" i="68"/>
  <c r="AE17" i="68"/>
  <c r="AE16" i="68"/>
  <c r="AH16" i="68"/>
  <c r="AH17" i="68"/>
  <c r="AG16" i="68"/>
  <c r="AG17" i="68"/>
  <c r="L8" i="1"/>
  <c r="L9" i="1"/>
  <c r="L10" i="1"/>
  <c r="L11" i="1"/>
  <c r="L12" i="1"/>
  <c r="L13" i="1"/>
  <c r="L14" i="1"/>
  <c r="L15" i="1"/>
  <c r="R39" i="20"/>
  <c r="S39" i="20"/>
  <c r="T39" i="20"/>
  <c r="U39" i="20"/>
  <c r="V39" i="20"/>
  <c r="W39" i="20"/>
  <c r="X39" i="20"/>
  <c r="Y39" i="20"/>
  <c r="Z39" i="20"/>
  <c r="AA39" i="20"/>
  <c r="Q44" i="20"/>
  <c r="Q45" i="20"/>
  <c r="Y17" i="14"/>
  <c r="B56" i="78" l="1"/>
  <c r="G31" i="19"/>
  <c r="X12" i="107" l="1"/>
  <c r="Z4" i="14" l="1"/>
  <c r="X4" i="14"/>
  <c r="Y4" i="14"/>
  <c r="B33" i="83" l="1" a="1"/>
  <c r="B33" i="83" s="1"/>
  <c r="X41" i="107" l="1"/>
  <c r="W41" i="107"/>
  <c r="V41" i="107"/>
  <c r="Z41" i="107" l="1"/>
  <c r="C11" i="39" l="1"/>
  <c r="B31" i="63"/>
  <c r="C9" i="39"/>
  <c r="C31" i="63" l="1"/>
  <c r="D31" i="63"/>
  <c r="E31" i="63"/>
  <c r="G31" i="63"/>
  <c r="F31" i="63"/>
  <c r="H31" i="63"/>
  <c r="I31" i="63"/>
  <c r="J31" i="63"/>
  <c r="K31" i="63"/>
  <c r="L31" i="63"/>
  <c r="P31" i="63"/>
  <c r="M31" i="63"/>
  <c r="N31" i="63"/>
  <c r="O31" i="63"/>
  <c r="Q31" i="63"/>
  <c r="R31" i="63"/>
  <c r="S31" i="63"/>
  <c r="T31" i="63"/>
  <c r="U31" i="63"/>
  <c r="H119" i="79" l="1"/>
  <c r="H89" i="79"/>
  <c r="H105" i="79"/>
  <c r="H56" i="79"/>
  <c r="AB119" i="79"/>
  <c r="AB89" i="79"/>
  <c r="AB105" i="79"/>
  <c r="AB56" i="79"/>
  <c r="M89" i="79"/>
  <c r="M105" i="79"/>
  <c r="M56" i="79"/>
  <c r="M119" i="79"/>
  <c r="AG89" i="79"/>
  <c r="AG105" i="79"/>
  <c r="AG56" i="79"/>
  <c r="AG119" i="79"/>
  <c r="Q105" i="79"/>
  <c r="Q56" i="79"/>
  <c r="Q119" i="79"/>
  <c r="Q89" i="79"/>
  <c r="T105" i="79"/>
  <c r="T56" i="79"/>
  <c r="T119" i="79"/>
  <c r="T89" i="79"/>
  <c r="W56" i="79"/>
  <c r="W119" i="79"/>
  <c r="W89" i="79"/>
  <c r="W105" i="79"/>
  <c r="D56" i="79"/>
  <c r="D119" i="79"/>
  <c r="D89" i="79"/>
  <c r="D105" i="79"/>
  <c r="X56" i="79"/>
  <c r="X119" i="79"/>
  <c r="X89" i="79"/>
  <c r="X105" i="79"/>
  <c r="E119" i="79"/>
  <c r="E89" i="79"/>
  <c r="E105" i="79"/>
  <c r="E56" i="79"/>
  <c r="Y119" i="79"/>
  <c r="Y89" i="79"/>
  <c r="Y105" i="79"/>
  <c r="Y56" i="79"/>
  <c r="F56" i="79"/>
  <c r="F119" i="79"/>
  <c r="F89" i="79"/>
  <c r="F105" i="79"/>
  <c r="Z119" i="79"/>
  <c r="Z89" i="79"/>
  <c r="Z105" i="79"/>
  <c r="Z56" i="79"/>
  <c r="G119" i="79"/>
  <c r="G89" i="79"/>
  <c r="G105" i="79"/>
  <c r="G56" i="79"/>
  <c r="AA119" i="79"/>
  <c r="AA89" i="79"/>
  <c r="AA105" i="79"/>
  <c r="AA56" i="79"/>
  <c r="I119" i="79"/>
  <c r="I89" i="79"/>
  <c r="I105" i="79"/>
  <c r="I56" i="79"/>
  <c r="AC119" i="79"/>
  <c r="AC89" i="79"/>
  <c r="AC105" i="79"/>
  <c r="AC56" i="79"/>
  <c r="J119" i="79"/>
  <c r="J89" i="79"/>
  <c r="J105" i="79"/>
  <c r="J56" i="79"/>
  <c r="AD119" i="79"/>
  <c r="AD89" i="79"/>
  <c r="AD105" i="79"/>
  <c r="AD56" i="79"/>
  <c r="K119" i="79"/>
  <c r="K89" i="79"/>
  <c r="K105" i="79"/>
  <c r="K56" i="79"/>
  <c r="AE119" i="79"/>
  <c r="AE89" i="79"/>
  <c r="AE105" i="79"/>
  <c r="AE56" i="79"/>
  <c r="L89" i="79"/>
  <c r="L105" i="79"/>
  <c r="L56" i="79"/>
  <c r="L119" i="79"/>
  <c r="AF89" i="79"/>
  <c r="AF105" i="79"/>
  <c r="AF56" i="79"/>
  <c r="AF119" i="79"/>
  <c r="N105" i="79"/>
  <c r="N56" i="79"/>
  <c r="N119" i="79"/>
  <c r="N89" i="79"/>
  <c r="AH105" i="79"/>
  <c r="AH56" i="79"/>
  <c r="AH119" i="79"/>
  <c r="AH89" i="79"/>
  <c r="O89" i="79"/>
  <c r="O105" i="79"/>
  <c r="O56" i="79"/>
  <c r="O119" i="79"/>
  <c r="P105" i="79"/>
  <c r="P56" i="79"/>
  <c r="P119" i="79"/>
  <c r="P89" i="79"/>
  <c r="R105" i="79"/>
  <c r="R56" i="79"/>
  <c r="R119" i="79"/>
  <c r="R89" i="79"/>
  <c r="S105" i="79"/>
  <c r="S56" i="79"/>
  <c r="S119" i="79"/>
  <c r="S89" i="79"/>
  <c r="U105" i="79"/>
  <c r="U56" i="79"/>
  <c r="U119" i="79"/>
  <c r="U89" i="79"/>
  <c r="V105" i="79"/>
  <c r="V56" i="79"/>
  <c r="V119" i="79"/>
  <c r="V89" i="79"/>
  <c r="V12" i="107"/>
  <c r="V13" i="107"/>
  <c r="V14" i="107"/>
  <c r="W14" i="107"/>
  <c r="X14" i="107"/>
  <c r="V15" i="107"/>
  <c r="X15" i="107"/>
  <c r="V16" i="107"/>
  <c r="W16" i="107"/>
  <c r="X16" i="107"/>
  <c r="V17" i="107"/>
  <c r="X17" i="107"/>
  <c r="V18" i="107"/>
  <c r="W18" i="107"/>
  <c r="X18" i="107"/>
  <c r="V19" i="107"/>
  <c r="X19" i="107"/>
  <c r="V20" i="107"/>
  <c r="X20" i="107"/>
  <c r="V21" i="107"/>
  <c r="W21" i="107"/>
  <c r="X21" i="107"/>
  <c r="V22" i="107"/>
  <c r="W22" i="107"/>
  <c r="X22" i="107"/>
  <c r="V23" i="107"/>
  <c r="W23" i="107"/>
  <c r="X23" i="107"/>
  <c r="V24" i="107"/>
  <c r="X24" i="107"/>
  <c r="V25" i="107"/>
  <c r="X25" i="107"/>
  <c r="V26" i="107"/>
  <c r="X26" i="107"/>
  <c r="V27" i="107"/>
  <c r="X27" i="107"/>
  <c r="V28" i="107"/>
  <c r="X28" i="107"/>
  <c r="V29" i="107"/>
  <c r="W29" i="107"/>
  <c r="X29" i="107"/>
  <c r="V30" i="107"/>
  <c r="X30" i="107"/>
  <c r="V31" i="107"/>
  <c r="W31" i="107"/>
  <c r="X31" i="107"/>
  <c r="V32" i="107"/>
  <c r="X32" i="107"/>
  <c r="V33" i="107"/>
  <c r="X33" i="107"/>
  <c r="V34" i="107"/>
  <c r="W34" i="107"/>
  <c r="V35" i="107"/>
  <c r="X35" i="107"/>
  <c r="V36" i="107"/>
  <c r="X36" i="107"/>
  <c r="V37" i="107"/>
  <c r="X37" i="107"/>
  <c r="V38" i="107"/>
  <c r="W38" i="107"/>
  <c r="X38" i="107"/>
  <c r="V39" i="107"/>
  <c r="X39" i="107"/>
  <c r="V40" i="107"/>
  <c r="X40" i="107"/>
  <c r="Z17" i="107" l="1"/>
  <c r="Z27" i="107"/>
  <c r="Z21" i="107"/>
  <c r="Z36" i="107"/>
  <c r="Z16" i="107"/>
  <c r="Z38" i="107"/>
  <c r="W27" i="107"/>
  <c r="Z31" i="107"/>
  <c r="Z32" i="107"/>
  <c r="Z12" i="107"/>
  <c r="W36" i="107"/>
  <c r="Z18" i="107"/>
  <c r="Z40" i="107"/>
  <c r="Z30" i="107"/>
  <c r="Z25" i="107"/>
  <c r="Z20" i="107"/>
  <c r="Z23" i="107"/>
  <c r="W12" i="107"/>
  <c r="Z22" i="107"/>
  <c r="W32" i="107"/>
  <c r="Z39" i="107"/>
  <c r="Z29" i="107"/>
  <c r="W39" i="107"/>
  <c r="Z34" i="107"/>
  <c r="W20" i="107"/>
  <c r="W30" i="107"/>
  <c r="W25" i="107"/>
  <c r="W37" i="107"/>
  <c r="W19" i="107"/>
  <c r="Z14" i="107"/>
  <c r="Z15" i="107"/>
  <c r="W15" i="107"/>
  <c r="Z19" i="107"/>
  <c r="Z35" i="107"/>
  <c r="W35" i="107"/>
  <c r="T43" i="107"/>
  <c r="W28" i="107"/>
  <c r="X34" i="107"/>
  <c r="W17" i="107"/>
  <c r="W26" i="107"/>
  <c r="Z28" i="107"/>
  <c r="Z37" i="107"/>
  <c r="Z13" i="107"/>
  <c r="R43" i="107"/>
  <c r="S43" i="107"/>
  <c r="X13" i="107"/>
  <c r="Z24" i="107"/>
  <c r="W24" i="107"/>
  <c r="Z26" i="107"/>
  <c r="Z33" i="107"/>
  <c r="W33" i="107"/>
  <c r="W13" i="107"/>
  <c r="W40" i="107"/>
  <c r="Z43" i="107" l="1"/>
  <c r="Y12" i="107"/>
  <c r="Y13" i="107" s="1"/>
  <c r="Y14" i="107" s="1"/>
  <c r="Y15" i="107" s="1"/>
  <c r="Y16" i="107" s="1"/>
  <c r="Y17" i="107" s="1"/>
  <c r="Y18" i="107" s="1"/>
  <c r="Y19" i="107" s="1"/>
  <c r="Y20" i="107" s="1"/>
  <c r="Y21" i="107" s="1"/>
  <c r="Y22" i="107" s="1"/>
  <c r="Y23" i="107" s="1"/>
  <c r="Y24" i="107" s="1"/>
  <c r="Y25" i="107" s="1"/>
  <c r="Y26" i="107" s="1"/>
  <c r="Y27" i="107" s="1"/>
  <c r="Y28" i="107" s="1"/>
  <c r="Y29" i="107" s="1"/>
  <c r="Y30" i="107" s="1"/>
  <c r="Y31" i="107" s="1"/>
  <c r="Y32" i="107" s="1"/>
  <c r="Y33" i="107" s="1"/>
  <c r="Y34" i="107" s="1"/>
  <c r="Y35" i="107" s="1"/>
  <c r="Y36" i="107" s="1"/>
  <c r="Y37" i="107" s="1"/>
  <c r="Y38" i="107" s="1"/>
  <c r="Y39" i="107" s="1"/>
  <c r="Y40" i="107" s="1"/>
  <c r="Y41" i="107" s="1"/>
  <c r="L7" i="105" l="1"/>
  <c r="K7" i="105"/>
  <c r="J7" i="105"/>
  <c r="I7" i="105"/>
  <c r="H7" i="105"/>
  <c r="G7" i="105"/>
  <c r="F7" i="105"/>
  <c r="E7" i="105"/>
  <c r="D7" i="105"/>
  <c r="C7" i="105"/>
  <c r="L7" i="103"/>
  <c r="K7" i="103"/>
  <c r="J7" i="103"/>
  <c r="I7" i="103"/>
  <c r="H7" i="103"/>
  <c r="G7" i="103"/>
  <c r="F7" i="103"/>
  <c r="E7" i="103"/>
  <c r="D7" i="103"/>
  <c r="C7" i="103"/>
  <c r="L7" i="50"/>
  <c r="K7" i="50"/>
  <c r="J7" i="50"/>
  <c r="I7" i="50"/>
  <c r="H7" i="50"/>
  <c r="G7" i="50"/>
  <c r="F7" i="50"/>
  <c r="E7" i="50"/>
  <c r="D7" i="50"/>
  <c r="C7" i="50"/>
  <c r="L7" i="48"/>
  <c r="K7" i="48"/>
  <c r="J7" i="48"/>
  <c r="I7" i="48"/>
  <c r="H7" i="48"/>
  <c r="G7" i="48"/>
  <c r="F7" i="48"/>
  <c r="E7" i="48"/>
  <c r="D7" i="48"/>
  <c r="C7" i="48"/>
  <c r="L7" i="46"/>
  <c r="K7" i="46"/>
  <c r="J7" i="46"/>
  <c r="I7" i="46"/>
  <c r="H7" i="46"/>
  <c r="G7" i="46"/>
  <c r="F7" i="46"/>
  <c r="E7" i="46"/>
  <c r="D7" i="46"/>
  <c r="C7" i="46"/>
  <c r="AH56" i="97"/>
  <c r="AH108" i="97" s="1"/>
  <c r="AG56" i="97"/>
  <c r="AG108" i="97" s="1"/>
  <c r="AF56" i="97"/>
  <c r="AF108" i="97" s="1"/>
  <c r="AE56" i="97"/>
  <c r="AE108" i="97" s="1"/>
  <c r="AD56" i="97"/>
  <c r="AD108" i="97" s="1"/>
  <c r="AC56" i="97"/>
  <c r="AC108" i="97" s="1"/>
  <c r="AB56" i="97"/>
  <c r="AB108" i="97" s="1"/>
  <c r="AA56" i="97"/>
  <c r="AA108" i="97" s="1"/>
  <c r="Z56" i="97"/>
  <c r="Z108" i="97" s="1"/>
  <c r="Y56" i="97"/>
  <c r="Y108" i="97" s="1"/>
  <c r="X56" i="97"/>
  <c r="X108" i="97" s="1"/>
  <c r="W56" i="97"/>
  <c r="W108" i="97" s="1"/>
  <c r="V56" i="97"/>
  <c r="V108" i="97" s="1"/>
  <c r="U56" i="97"/>
  <c r="U108" i="97" s="1"/>
  <c r="T56" i="97"/>
  <c r="T108" i="97" s="1"/>
  <c r="S56" i="97"/>
  <c r="S108" i="97" s="1"/>
  <c r="R56" i="97"/>
  <c r="R108" i="97" s="1"/>
  <c r="Q56" i="97"/>
  <c r="Q108" i="97" s="1"/>
  <c r="P56" i="97"/>
  <c r="P108" i="97" s="1"/>
  <c r="O56" i="97"/>
  <c r="O108" i="97" s="1"/>
  <c r="N56" i="97"/>
  <c r="N108" i="97" s="1"/>
  <c r="M56" i="97"/>
  <c r="M108" i="97" s="1"/>
  <c r="L56" i="97"/>
  <c r="L108" i="97" s="1"/>
  <c r="K56" i="97"/>
  <c r="K108" i="97" s="1"/>
  <c r="J56" i="97"/>
  <c r="J108" i="97" s="1"/>
  <c r="I56" i="97"/>
  <c r="I108" i="97" s="1"/>
  <c r="H56" i="97"/>
  <c r="H108" i="97" s="1"/>
  <c r="G56" i="97"/>
  <c r="G108" i="97" s="1"/>
  <c r="F56" i="97"/>
  <c r="F108" i="97" s="1"/>
  <c r="E56" i="97"/>
  <c r="E108" i="97" s="1"/>
  <c r="D56" i="97"/>
  <c r="D108" i="97" s="1"/>
  <c r="C56" i="97"/>
  <c r="C108" i="97" s="1"/>
  <c r="B56" i="97"/>
  <c r="B108" i="97" s="1"/>
  <c r="L7" i="15"/>
  <c r="K7" i="15"/>
  <c r="J7" i="15"/>
  <c r="I7" i="15"/>
  <c r="H7" i="15"/>
  <c r="G7" i="15"/>
  <c r="F7" i="15"/>
  <c r="E7" i="15"/>
  <c r="D7" i="15"/>
  <c r="C7" i="15"/>
  <c r="E5" i="96"/>
  <c r="F5" i="96"/>
  <c r="F1" i="41"/>
  <c r="L7" i="12"/>
  <c r="K7" i="12"/>
  <c r="J7" i="12"/>
  <c r="I7" i="12"/>
  <c r="H7" i="12"/>
  <c r="G7" i="12"/>
  <c r="F7" i="12"/>
  <c r="E7" i="12"/>
  <c r="D7" i="12"/>
  <c r="C7" i="12"/>
  <c r="F1" i="105" l="1"/>
  <c r="F1" i="103"/>
  <c r="K5" i="96" l="1"/>
  <c r="J5" i="96" l="1"/>
  <c r="H5" i="96"/>
  <c r="G5" i="96"/>
  <c r="I5" i="96"/>
  <c r="AG56" i="78"/>
  <c r="AG108" i="78" s="1"/>
  <c r="AF56" i="78"/>
  <c r="AF108" i="78" s="1"/>
  <c r="AE56" i="78"/>
  <c r="AE108" i="78" s="1"/>
  <c r="AD56" i="78"/>
  <c r="AD108" i="78" s="1"/>
  <c r="AC56" i="78"/>
  <c r="AC108" i="78" s="1"/>
  <c r="AB56" i="78"/>
  <c r="AB108" i="78" s="1"/>
  <c r="AA56" i="78"/>
  <c r="AA108" i="78" s="1"/>
  <c r="Z56" i="78"/>
  <c r="Z108" i="78" s="1"/>
  <c r="Y56" i="78"/>
  <c r="Y108" i="78" s="1"/>
  <c r="X56" i="78"/>
  <c r="X108" i="78" s="1"/>
  <c r="W56" i="78"/>
  <c r="W108" i="78" s="1"/>
  <c r="V56" i="78"/>
  <c r="V108" i="78" s="1"/>
  <c r="U56" i="78"/>
  <c r="U108" i="78" s="1"/>
  <c r="T56" i="78"/>
  <c r="T108" i="78" s="1"/>
  <c r="S56" i="78"/>
  <c r="S108" i="78" s="1"/>
  <c r="R56" i="78"/>
  <c r="R108" i="78" s="1"/>
  <c r="Q56" i="78"/>
  <c r="Q108" i="78" s="1"/>
  <c r="P56" i="78"/>
  <c r="P108" i="78" s="1"/>
  <c r="O56" i="78"/>
  <c r="O108" i="78" s="1"/>
  <c r="N56" i="78"/>
  <c r="N108" i="78" s="1"/>
  <c r="M56" i="78"/>
  <c r="M108" i="78" s="1"/>
  <c r="L56" i="78"/>
  <c r="L108" i="78" s="1"/>
  <c r="K56" i="78"/>
  <c r="K108" i="78" s="1"/>
  <c r="J56" i="78"/>
  <c r="J108" i="78" s="1"/>
  <c r="I56" i="78"/>
  <c r="I108" i="78" s="1"/>
  <c r="H56" i="78"/>
  <c r="H108" i="78" s="1"/>
  <c r="G56" i="78"/>
  <c r="G108" i="78" s="1"/>
  <c r="F56" i="78"/>
  <c r="F108" i="78" s="1"/>
  <c r="E56" i="78"/>
  <c r="E108" i="78" s="1"/>
  <c r="D56" i="78"/>
  <c r="D108" i="78" s="1"/>
  <c r="C56" i="78"/>
  <c r="C108" i="78" s="1"/>
  <c r="B108" i="78"/>
  <c r="AH56" i="78"/>
  <c r="AH108" i="78" s="1"/>
  <c r="D48" i="77"/>
  <c r="D108" i="77" s="1"/>
  <c r="E48" i="77"/>
  <c r="E108" i="77" s="1"/>
  <c r="F48" i="77"/>
  <c r="F108" i="77" s="1"/>
  <c r="G48" i="77"/>
  <c r="G108" i="77" s="1"/>
  <c r="H48" i="77"/>
  <c r="H108" i="77" s="1"/>
  <c r="I48" i="77"/>
  <c r="I108" i="77" s="1"/>
  <c r="J48" i="77"/>
  <c r="J108" i="77" s="1"/>
  <c r="K48" i="77"/>
  <c r="K108" i="77" s="1"/>
  <c r="L48" i="77"/>
  <c r="L108" i="77" s="1"/>
  <c r="M48" i="77"/>
  <c r="M108" i="77" s="1"/>
  <c r="N48" i="77"/>
  <c r="N108" i="77" s="1"/>
  <c r="O48" i="77"/>
  <c r="O108" i="77" s="1"/>
  <c r="P48" i="77"/>
  <c r="P108" i="77" s="1"/>
  <c r="Q48" i="77"/>
  <c r="Q108" i="77" s="1"/>
  <c r="R48" i="77"/>
  <c r="R108" i="77" s="1"/>
  <c r="S48" i="77"/>
  <c r="S108" i="77" s="1"/>
  <c r="T48" i="77"/>
  <c r="T108" i="77" s="1"/>
  <c r="U48" i="77"/>
  <c r="U108" i="77" s="1"/>
  <c r="V48" i="77"/>
  <c r="V108" i="77" s="1"/>
  <c r="W48" i="77"/>
  <c r="W108" i="77" s="1"/>
  <c r="X48" i="77"/>
  <c r="X108" i="77" s="1"/>
  <c r="Y48" i="77"/>
  <c r="Y108" i="77" s="1"/>
  <c r="Z48" i="77"/>
  <c r="Z108" i="77" s="1"/>
  <c r="AA48" i="77"/>
  <c r="AA108" i="77" s="1"/>
  <c r="AB48" i="77"/>
  <c r="AB108" i="77" s="1"/>
  <c r="AC48" i="77"/>
  <c r="AC108" i="77" s="1"/>
  <c r="AD48" i="77"/>
  <c r="AD108" i="77" s="1"/>
  <c r="AE48" i="77"/>
  <c r="AE108" i="77" s="1"/>
  <c r="AF48" i="77"/>
  <c r="AF108" i="77" s="1"/>
  <c r="AG48" i="77"/>
  <c r="AG108" i="77" s="1"/>
  <c r="C48" i="77"/>
  <c r="C108" i="77" s="1"/>
  <c r="B48" i="77"/>
  <c r="B108" i="77" s="1"/>
  <c r="AH48" i="77"/>
  <c r="AH108" i="77" s="1"/>
  <c r="B56" i="74"/>
  <c r="B108" i="74" s="1"/>
  <c r="C56" i="74"/>
  <c r="C108" i="74" s="1"/>
  <c r="D56" i="74"/>
  <c r="D108" i="74" s="1"/>
  <c r="E56" i="74"/>
  <c r="E108" i="74" s="1"/>
  <c r="F56" i="74"/>
  <c r="F108" i="74" s="1"/>
  <c r="G56" i="74"/>
  <c r="G108" i="74" s="1"/>
  <c r="H56" i="74"/>
  <c r="H108" i="74" s="1"/>
  <c r="I56" i="74"/>
  <c r="I108" i="74" s="1"/>
  <c r="J56" i="74"/>
  <c r="J108" i="74" s="1"/>
  <c r="K56" i="74"/>
  <c r="K108" i="74" s="1"/>
  <c r="L56" i="74"/>
  <c r="L108" i="74" s="1"/>
  <c r="M56" i="74"/>
  <c r="M108" i="74" s="1"/>
  <c r="N56" i="74"/>
  <c r="N108" i="74" s="1"/>
  <c r="O56" i="74"/>
  <c r="O108" i="74" s="1"/>
  <c r="P56" i="74"/>
  <c r="P108" i="74" s="1"/>
  <c r="Q56" i="74"/>
  <c r="Q108" i="74" s="1"/>
  <c r="R56" i="74"/>
  <c r="R108" i="74" s="1"/>
  <c r="S56" i="74"/>
  <c r="S108" i="74" s="1"/>
  <c r="T56" i="74"/>
  <c r="T108" i="74" s="1"/>
  <c r="U56" i="74"/>
  <c r="U108" i="74" s="1"/>
  <c r="V56" i="74"/>
  <c r="V108" i="74" s="1"/>
  <c r="W56" i="74"/>
  <c r="W108" i="74" s="1"/>
  <c r="X56" i="74"/>
  <c r="X108" i="74" s="1"/>
  <c r="Y56" i="74"/>
  <c r="Y108" i="74" s="1"/>
  <c r="Z56" i="74"/>
  <c r="Z108" i="74" s="1"/>
  <c r="AA56" i="74"/>
  <c r="AA108" i="74" s="1"/>
  <c r="AB56" i="74"/>
  <c r="AB108" i="74" s="1"/>
  <c r="AC56" i="74"/>
  <c r="AC108" i="74" s="1"/>
  <c r="AD56" i="74"/>
  <c r="AD108" i="74" s="1"/>
  <c r="AE56" i="74"/>
  <c r="AE108" i="74" s="1"/>
  <c r="AF56" i="74"/>
  <c r="AF108" i="74" s="1"/>
  <c r="AG56" i="74"/>
  <c r="AG108" i="74" s="1"/>
  <c r="AH56" i="74"/>
  <c r="AH108" i="74" s="1"/>
  <c r="J21" i="4"/>
  <c r="H21" i="4"/>
  <c r="F21" i="4"/>
  <c r="E21" i="4"/>
  <c r="C21" i="4"/>
  <c r="BB39" i="20" l="1"/>
  <c r="AH39" i="20"/>
  <c r="AH33" i="20" s="1"/>
  <c r="BA39" i="20"/>
  <c r="AG39" i="20"/>
  <c r="AG33" i="20" s="1"/>
  <c r="AZ39" i="20"/>
  <c r="AF39" i="20"/>
  <c r="AF33" i="20" s="1"/>
  <c r="AY39" i="20"/>
  <c r="AE39" i="20"/>
  <c r="AE33" i="20" s="1"/>
  <c r="AX39" i="20"/>
  <c r="AD39" i="20"/>
  <c r="AD33" i="20" s="1"/>
  <c r="AW39" i="20"/>
  <c r="AC39" i="20"/>
  <c r="AC33" i="20" s="1"/>
  <c r="AV39" i="20"/>
  <c r="AB39" i="20"/>
  <c r="AB33" i="20" s="1"/>
  <c r="AU39" i="20"/>
  <c r="AA33" i="20"/>
  <c r="AT39" i="20"/>
  <c r="Z33" i="20"/>
  <c r="AS39" i="20"/>
  <c r="Y33" i="20"/>
  <c r="AR39" i="20"/>
  <c r="X33" i="20"/>
  <c r="AQ39" i="20"/>
  <c r="W33" i="20"/>
  <c r="AP39" i="20"/>
  <c r="V33" i="20"/>
  <c r="AO39" i="20"/>
  <c r="U33" i="20"/>
  <c r="AN39" i="20"/>
  <c r="T33" i="20"/>
  <c r="AM39" i="20"/>
  <c r="BF39" i="20"/>
  <c r="AL39" i="20"/>
  <c r="BE39" i="20"/>
  <c r="AK39" i="20"/>
  <c r="AK33" i="20" s="1"/>
  <c r="BD39" i="20"/>
  <c r="AJ39" i="20"/>
  <c r="AJ33" i="20" s="1"/>
  <c r="BC39" i="20"/>
  <c r="AI39" i="20"/>
  <c r="AI33" i="20" s="1"/>
  <c r="E14" i="103"/>
  <c r="E13" i="105"/>
  <c r="F14" i="103"/>
  <c r="F13" i="105"/>
  <c r="J13" i="105"/>
  <c r="J14" i="103"/>
  <c r="K13" i="105"/>
  <c r="K14" i="103"/>
  <c r="L13" i="105"/>
  <c r="L14" i="103"/>
  <c r="G14" i="103"/>
  <c r="G13" i="105"/>
  <c r="I13" i="105"/>
  <c r="I14" i="103"/>
  <c r="H13" i="105"/>
  <c r="H14" i="103"/>
  <c r="C14" i="103"/>
  <c r="C13" i="105"/>
  <c r="H7" i="4"/>
  <c r="H7" i="6"/>
  <c r="J7" i="4"/>
  <c r="J7" i="6"/>
  <c r="I21" i="4"/>
  <c r="X6" i="14"/>
  <c r="Z26" i="14"/>
  <c r="Y16" i="14"/>
  <c r="S33" i="20"/>
  <c r="K7" i="1" l="1"/>
  <c r="I7" i="1"/>
  <c r="M12" i="12"/>
  <c r="J13" i="46"/>
  <c r="I13" i="46"/>
  <c r="H13" i="46"/>
  <c r="T37" i="14"/>
  <c r="S37" i="14"/>
  <c r="M8" i="41"/>
  <c r="U37" i="14" l="1"/>
  <c r="M10" i="12"/>
  <c r="M9" i="12"/>
  <c r="M11" i="12"/>
  <c r="M8" i="12"/>
  <c r="M13" i="12"/>
  <c r="M12" i="46"/>
  <c r="M14" i="12"/>
  <c r="M17" i="41"/>
  <c r="M20" i="41"/>
  <c r="M18" i="41"/>
  <c r="M16" i="41"/>
  <c r="M14" i="41"/>
  <c r="M12" i="41"/>
  <c r="M10" i="41"/>
  <c r="M19" i="41"/>
  <c r="M13" i="41"/>
  <c r="M11" i="41"/>
  <c r="M15" i="41"/>
  <c r="M9" i="46"/>
  <c r="M11" i="46"/>
  <c r="M8" i="46"/>
  <c r="F1" i="48"/>
  <c r="F1" i="12"/>
  <c r="M9" i="41"/>
  <c r="G13" i="46"/>
  <c r="G11" i="48"/>
  <c r="F1" i="46"/>
  <c r="K11" i="48"/>
  <c r="K13" i="46"/>
  <c r="K14" i="50"/>
  <c r="K247" i="15"/>
  <c r="F247" i="15"/>
  <c r="F14" i="50"/>
  <c r="F11" i="48"/>
  <c r="F13" i="46"/>
  <c r="L11" i="48"/>
  <c r="L13" i="46"/>
  <c r="L14" i="50"/>
  <c r="L247" i="15"/>
  <c r="G247" i="15"/>
  <c r="G14" i="50"/>
  <c r="H14" i="50"/>
  <c r="H247" i="15"/>
  <c r="H11" i="48"/>
  <c r="I14" i="50"/>
  <c r="I11" i="48"/>
  <c r="I247" i="15"/>
  <c r="J14" i="50"/>
  <c r="J11" i="48"/>
  <c r="J247" i="15"/>
  <c r="F1" i="50"/>
  <c r="M10" i="46"/>
  <c r="E11" i="48" l="1"/>
  <c r="E14" i="50"/>
  <c r="E247" i="15"/>
  <c r="E13" i="46"/>
  <c r="K33" i="19"/>
  <c r="H33" i="19"/>
  <c r="O33" i="19"/>
  <c r="N33" i="19"/>
  <c r="M33" i="19"/>
  <c r="L33" i="19"/>
  <c r="J33" i="19"/>
  <c r="I33" i="19"/>
  <c r="G33" i="19"/>
  <c r="F33" i="19"/>
  <c r="K9" i="6" l="1"/>
  <c r="K11" i="6"/>
  <c r="K8" i="6"/>
  <c r="K10" i="6"/>
  <c r="C13" i="46"/>
  <c r="C14" i="50"/>
  <c r="C11" i="48"/>
  <c r="C247" i="15"/>
  <c r="K12" i="6"/>
  <c r="T32" i="20" l="1"/>
  <c r="AM33" i="20"/>
  <c r="AL33" i="20" s="1"/>
  <c r="H39" i="19"/>
  <c r="W5" i="14"/>
  <c r="W6" i="14" s="1"/>
  <c r="W7" i="14" s="1"/>
  <c r="W8" i="14" s="1"/>
  <c r="W9" i="14" s="1"/>
  <c r="W10" i="14" s="1"/>
  <c r="W11" i="14" s="1"/>
  <c r="W12" i="14" s="1"/>
  <c r="W13" i="14" s="1"/>
  <c r="G32" i="19" l="1"/>
  <c r="H31" i="19" s="1"/>
  <c r="H32" i="19" s="1"/>
  <c r="I31" i="19" s="1"/>
  <c r="I32" i="19" s="1"/>
  <c r="J31" i="19" s="1"/>
  <c r="J32" i="19" s="1"/>
  <c r="K31" i="19" s="1"/>
  <c r="K32" i="19" s="1"/>
  <c r="L31" i="19" s="1"/>
  <c r="K16" i="4"/>
  <c r="K11" i="4"/>
  <c r="K18" i="4"/>
  <c r="K13" i="4"/>
  <c r="K8" i="4"/>
  <c r="K20" i="4"/>
  <c r="K15" i="4"/>
  <c r="K10" i="4"/>
  <c r="K17" i="4"/>
  <c r="K12" i="4"/>
  <c r="K19" i="4"/>
  <c r="K14" i="4"/>
  <c r="K9" i="4"/>
  <c r="W14" i="14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W35" i="14" s="1"/>
  <c r="Y18" i="14"/>
  <c r="Y19" i="14" s="1"/>
  <c r="Y20" i="14" s="1"/>
  <c r="Y21" i="14" s="1"/>
  <c r="Y22" i="14" s="1"/>
  <c r="Y23" i="14" s="1"/>
  <c r="Y24" i="14" s="1"/>
  <c r="Y25" i="14" s="1"/>
  <c r="X7" i="14"/>
  <c r="X8" i="14" s="1"/>
  <c r="X9" i="14" s="1"/>
  <c r="X10" i="14" s="1"/>
  <c r="X11" i="14" s="1"/>
  <c r="X12" i="14" s="1"/>
  <c r="X13" i="14" s="1"/>
  <c r="X14" i="14" s="1"/>
  <c r="X15" i="14" s="1"/>
  <c r="Z27" i="14"/>
  <c r="Z28" i="14" s="1"/>
  <c r="Z29" i="14" s="1"/>
  <c r="Z30" i="14" s="1"/>
  <c r="Z31" i="14" s="1"/>
  <c r="Z32" i="14" s="1"/>
  <c r="Z33" i="14" s="1"/>
  <c r="Z34" i="14" s="1"/>
  <c r="Z35" i="14" s="1"/>
  <c r="U32" i="20"/>
  <c r="S34" i="20"/>
  <c r="P33" i="19"/>
  <c r="L32" i="19" l="1"/>
  <c r="M31" i="19" s="1"/>
  <c r="W36" i="14"/>
  <c r="Z36" i="14"/>
  <c r="M34" i="19"/>
  <c r="P34" i="19"/>
  <c r="V32" i="20"/>
  <c r="T34" i="20"/>
  <c r="I34" i="19"/>
  <c r="K34" i="19"/>
  <c r="U34" i="20"/>
  <c r="G34" i="19"/>
  <c r="J34" i="19"/>
  <c r="N34" i="19"/>
  <c r="F34" i="19"/>
  <c r="H34" i="19"/>
  <c r="O34" i="19"/>
  <c r="L34" i="19"/>
  <c r="M32" i="19" l="1"/>
  <c r="N31" i="19" s="1"/>
  <c r="W32" i="20"/>
  <c r="N32" i="19" l="1"/>
  <c r="O31" i="19" s="1"/>
  <c r="V34" i="20"/>
  <c r="X32" i="20"/>
  <c r="O32" i="19" l="1"/>
  <c r="W34" i="20"/>
  <c r="Y32" i="20"/>
  <c r="X34" i="20" l="1"/>
  <c r="Z32" i="20"/>
  <c r="Y34" i="20" l="1"/>
  <c r="AA32" i="20"/>
  <c r="AB32" i="20" l="1"/>
  <c r="AA34" i="20"/>
  <c r="Z34" i="20"/>
  <c r="AC32" i="20" l="1"/>
  <c r="AB34" i="20"/>
  <c r="AD32" i="20" l="1"/>
  <c r="AC34" i="20"/>
  <c r="AE32" i="20" l="1"/>
  <c r="AD34" i="20"/>
  <c r="AF32" i="20" l="1"/>
  <c r="AE34" i="20"/>
  <c r="AG32" i="20" l="1"/>
  <c r="AF34" i="20"/>
  <c r="AH32" i="20" l="1"/>
  <c r="AG34" i="20"/>
  <c r="AI32" i="20" l="1"/>
  <c r="AH34" i="20"/>
  <c r="AJ32" i="20" l="1"/>
  <c r="AI34" i="20"/>
  <c r="AK32" i="20" l="1"/>
  <c r="AJ34" i="20"/>
  <c r="AL34" i="20" l="1"/>
  <c r="AK34" i="20"/>
  <c r="B32" i="83" l="1"/>
  <c r="C32" i="83" s="1"/>
  <c r="D32" i="83" s="1"/>
  <c r="E32" i="83" s="1"/>
  <c r="F32" i="83" s="1"/>
  <c r="G32" i="83" s="1"/>
  <c r="H32" i="83" s="1"/>
  <c r="I32" i="83" s="1"/>
  <c r="J32" i="83" s="1"/>
  <c r="K32" i="83" s="1"/>
  <c r="L32" i="83" s="1"/>
  <c r="M32" i="83" s="1"/>
  <c r="N32" i="83" s="1"/>
  <c r="O32" i="83" s="1"/>
  <c r="P32" i="83" s="1"/>
  <c r="Q32" i="83" s="1"/>
  <c r="R32" i="83" s="1"/>
  <c r="S32" i="83" s="1"/>
  <c r="T32" i="83" s="1"/>
  <c r="U32" i="83" s="1"/>
  <c r="L30" i="83" l="1"/>
  <c r="M30" i="83"/>
  <c r="U30" i="83"/>
  <c r="E30" i="83"/>
  <c r="G30" i="83"/>
  <c r="H30" i="83"/>
  <c r="N30" i="83"/>
  <c r="K30" i="83"/>
  <c r="O30" i="83"/>
  <c r="P30" i="83"/>
  <c r="I30" i="83"/>
  <c r="Q30" i="83"/>
  <c r="R30" i="83"/>
  <c r="S30" i="83"/>
  <c r="B30" i="83"/>
  <c r="C30" i="83"/>
  <c r="D30" i="83"/>
  <c r="F30" i="83"/>
  <c r="T30" i="83"/>
  <c r="J30" i="83"/>
  <c r="G31" i="83" l="1"/>
  <c r="Q31" i="83"/>
  <c r="B31" i="83"/>
  <c r="R31" i="83"/>
  <c r="P31" i="83"/>
  <c r="O31" i="83"/>
  <c r="M31" i="83"/>
  <c r="L31" i="83"/>
  <c r="N31" i="83"/>
  <c r="K31" i="83"/>
  <c r="E31" i="83"/>
  <c r="D31" i="83"/>
  <c r="I31" i="83"/>
  <c r="U31" i="83"/>
  <c r="F31" i="83"/>
  <c r="C31" i="83"/>
  <c r="J31" i="83"/>
  <c r="T31" i="83"/>
  <c r="S31" i="83"/>
  <c r="H31" i="83"/>
  <c r="G21" i="4" l="1"/>
  <c r="D14" i="103"/>
  <c r="D13" i="105"/>
  <c r="D247" i="15"/>
  <c r="D14" i="50"/>
  <c r="D13" i="46"/>
  <c r="D11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<sst xmlns="http://schemas.openxmlformats.org/spreadsheetml/2006/main" count="21059" uniqueCount="542">
  <si>
    <t>Counter-
parties</t>
  </si>
  <si>
    <t>Observed
years</t>
  </si>
  <si>
    <t>Number of
defaults</t>
  </si>
  <si>
    <t>Number of
observations</t>
  </si>
  <si>
    <t>Signed amount
€ million</t>
  </si>
  <si>
    <t>Average
default rate</t>
  </si>
  <si>
    <t>Year</t>
  </si>
  <si>
    <t>Active counterparties</t>
  </si>
  <si>
    <t>Default rate</t>
  </si>
  <si>
    <t>Overall average</t>
  </si>
  <si>
    <t>Overall</t>
  </si>
  <si>
    <t>&gt;=20</t>
  </si>
  <si>
    <t>All</t>
  </si>
  <si>
    <t>Default rate by credit rating</t>
  </si>
  <si>
    <t>Average default rate</t>
  </si>
  <si>
    <t>Signed amount 
€ million</t>
  </si>
  <si>
    <t>Average recovery rate</t>
  </si>
  <si>
    <t>Minimum observation</t>
  </si>
  <si>
    <t>10th percentile</t>
  </si>
  <si>
    <t>25th percentile</t>
  </si>
  <si>
    <t>Median</t>
  </si>
  <si>
    <t>75th percentile</t>
  </si>
  <si>
    <t>90th percentile</t>
  </si>
  <si>
    <t>Maximum observation</t>
  </si>
  <si>
    <t>years</t>
  </si>
  <si>
    <t>Default count (right y-axis)</t>
  </si>
  <si>
    <t>Recovery rate (left y-axis)</t>
  </si>
  <si>
    <t>Average</t>
  </si>
  <si>
    <t>Defaults</t>
  </si>
  <si>
    <t>Recovery  rate</t>
  </si>
  <si>
    <t>Total</t>
  </si>
  <si>
    <t>Table 17: Recovery rates by year of default</t>
  </si>
  <si>
    <t>Recovery rate</t>
  </si>
  <si>
    <t>From</t>
  </si>
  <si>
    <t>To</t>
  </si>
  <si>
    <t>Defaulted contracts</t>
  </si>
  <si>
    <t>10-20%</t>
  </si>
  <si>
    <t>20-30%</t>
  </si>
  <si>
    <t>30-40%</t>
  </si>
  <si>
    <t>40-50%</t>
  </si>
  <si>
    <t>50-60%</t>
  </si>
  <si>
    <t>60-70%</t>
  </si>
  <si>
    <t>70-80%</t>
  </si>
  <si>
    <t>80-90%</t>
  </si>
  <si>
    <t>90-100%</t>
  </si>
  <si>
    <t>Resolution of default during year</t>
  </si>
  <si>
    <t>Annual resolutions (left y-axis)</t>
  </si>
  <si>
    <t>Resolutions</t>
  </si>
  <si>
    <t>Cumulative % resolved (right y-axis)</t>
  </si>
  <si>
    <t>Item</t>
  </si>
  <si>
    <t>Count</t>
  </si>
  <si>
    <t>GICS sector</t>
  </si>
  <si>
    <t>Number of defaults</t>
  </si>
  <si>
    <t xml:space="preserve">Total </t>
  </si>
  <si>
    <t>Time of default (years after signature)</t>
  </si>
  <si>
    <t>Administration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</si>
  <si>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</si>
  <si>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</si>
  <si>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</si>
  <si>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</si>
  <si>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</si>
  <si>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</si>
  <si>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</si>
  <si>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</si>
  <si>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</si>
  <si>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</si>
  <si>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</si>
  <si>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Others</t>
  </si>
  <si>
    <t>All sectors</t>
  </si>
  <si>
    <t>Total defaults</t>
  </si>
  <si>
    <t>Percentage of total defaults (cumulative)</t>
  </si>
  <si>
    <t>year_submission</t>
  </si>
  <si>
    <t>cod_category_ctp</t>
  </si>
  <si>
    <t>CountOfid_contract1</t>
  </si>
  <si>
    <t>Private</t>
  </si>
  <si>
    <t>Region</t>
  </si>
  <si>
    <t>East Asia &amp; Pacific</t>
  </si>
  <si>
    <t>Europe &amp; Central Asia</t>
  </si>
  <si>
    <t>Latin America &amp; Caribbean</t>
  </si>
  <si>
    <t>Middle East &amp; North Africa</t>
  </si>
  <si>
    <t>South Asia</t>
  </si>
  <si>
    <t>Sub-Saharan Africa</t>
  </si>
  <si>
    <t>Other</t>
  </si>
  <si>
    <t>All regions</t>
  </si>
  <si>
    <t>Sector groupings</t>
  </si>
  <si>
    <t>Financial institutions</t>
  </si>
  <si>
    <t>Non-financial institutions</t>
  </si>
  <si>
    <t>Banking</t>
  </si>
  <si>
    <t>Infrastructure</t>
  </si>
  <si>
    <t>Non-bank financials</t>
  </si>
  <si>
    <t>Renewables</t>
  </si>
  <si>
    <t>Services</t>
  </si>
  <si>
    <t>CTPs</t>
  </si>
  <si>
    <t>Years</t>
  </si>
  <si>
    <t>Observations</t>
  </si>
  <si>
    <t>Signed EUR Mn</t>
  </si>
  <si>
    <t>WLower</t>
  </si>
  <si>
    <t>WAvgDefRate</t>
  </si>
  <si>
    <t>WUpper</t>
  </si>
  <si>
    <t>World Bank region</t>
  </si>
  <si>
    <t>Europe &amp; 
Central Asia</t>
  </si>
  <si>
    <t>Grey</t>
  </si>
  <si>
    <t>Middle East &amp; 
North Africa</t>
  </si>
  <si>
    <t>North America</t>
  </si>
  <si>
    <t>Multiple</t>
  </si>
  <si>
    <r>
      <t>Overall</t>
    </r>
    <r>
      <rPr>
        <b/>
        <sz val="8"/>
        <color theme="1"/>
        <rFont val="Calibri"/>
        <family val="2"/>
      </rPr>
      <t>, including omitted categories</t>
    </r>
  </si>
  <si>
    <t>v</t>
  </si>
  <si>
    <t>Counterparties</t>
  </si>
  <si>
    <t>Africa</t>
  </si>
  <si>
    <t>Asia</t>
  </si>
  <si>
    <t>Europe</t>
  </si>
  <si>
    <t>Oceania</t>
  </si>
  <si>
    <t>South America</t>
  </si>
  <si>
    <t>GICS Sector</t>
  </si>
  <si>
    <t>Lower of 90% CI*</t>
  </si>
  <si>
    <t xml:space="preserve"> Default rate</t>
  </si>
  <si>
    <t>Upper of 90% CI</t>
  </si>
  <si>
    <t>Lower of 90% CI</t>
  </si>
  <si>
    <t xml:space="preserve"> Default Rate</t>
  </si>
  <si>
    <t>*Confidence interval</t>
  </si>
  <si>
    <t>Avg. Ann. Def. Rate</t>
  </si>
  <si>
    <t>ISO country code and 
ISO country name</t>
  </si>
  <si>
    <t>PS-Palestine, State of*</t>
  </si>
  <si>
    <t>*This designation shall not be construed as recognition of a State of Palestine and is without prejudice to the individual positions of the Member States on this issue.</t>
  </si>
  <si>
    <t>ISO country code</t>
  </si>
  <si>
    <t>ISO country code and ISO country name</t>
  </si>
  <si>
    <t>OT-Other*</t>
  </si>
  <si>
    <t>Palestine, State of**</t>
  </si>
  <si>
    <t>RU-Russia</t>
  </si>
  <si>
    <t>TR-Türkiye</t>
  </si>
  <si>
    <t>VN-Viet Nam</t>
  </si>
  <si>
    <t>**This designation shall not be construed as recognition of a State of Palestine and is without prejudice to the individual positions of the Member States on this issue.</t>
  </si>
  <si>
    <t>Income group at year of default</t>
  </si>
  <si>
    <t>High income</t>
  </si>
  <si>
    <t>Upper middle income</t>
  </si>
  <si>
    <t>Lower middle income</t>
  </si>
  <si>
    <t>Low income</t>
  </si>
  <si>
    <t>Not available</t>
  </si>
  <si>
    <r>
      <t xml:space="preserve">  Overall</t>
    </r>
    <r>
      <rPr>
        <b/>
        <sz val="8"/>
        <color theme="1"/>
        <rFont val="Calibri"/>
        <family val="2"/>
      </rPr>
      <t>, including omitted categories</t>
    </r>
  </si>
  <si>
    <t>Project type of contracts at time of default</t>
  </si>
  <si>
    <t>Corporate finance</t>
  </si>
  <si>
    <t>Financial institution finance</t>
  </si>
  <si>
    <t>Project finance</t>
  </si>
  <si>
    <t>Structured finance</t>
  </si>
  <si>
    <t>Mixed</t>
  </si>
  <si>
    <r>
      <t xml:space="preserve">   Overall</t>
    </r>
    <r>
      <rPr>
        <b/>
        <sz val="8"/>
        <color theme="1"/>
        <rFont val="Calibri"/>
        <family val="2"/>
      </rPr>
      <t>, including omitted categories</t>
    </r>
  </si>
  <si>
    <t>Percent of total</t>
  </si>
  <si>
    <t>Gi1</t>
  </si>
  <si>
    <t>Gi2</t>
  </si>
  <si>
    <t>Gi3</t>
  </si>
  <si>
    <t>Gi4</t>
  </si>
  <si>
    <t>Gi5</t>
  </si>
  <si>
    <t>Gi6</t>
  </si>
  <si>
    <t>Gi7</t>
  </si>
  <si>
    <t>Gi8</t>
  </si>
  <si>
    <t>Gi9</t>
  </si>
  <si>
    <t>Gi10</t>
  </si>
  <si>
    <t>Gs1</t>
  </si>
  <si>
    <t>Gs2</t>
  </si>
  <si>
    <t>Gs3</t>
  </si>
  <si>
    <t>Gs4</t>
  </si>
  <si>
    <t>Gs5</t>
  </si>
  <si>
    <t>Gs6</t>
  </si>
  <si>
    <t>Gs7</t>
  </si>
  <si>
    <t>Gs8</t>
  </si>
  <si>
    <t>Gs9</t>
  </si>
  <si>
    <t>Gs10</t>
  </si>
  <si>
    <t>Observed default rate</t>
  </si>
  <si>
    <t xml:space="preserve">GEMs PD master scale </t>
  </si>
  <si>
    <t>Years after rating</t>
  </si>
  <si>
    <t>Contracts</t>
  </si>
  <si>
    <t>AvgRR</t>
  </si>
  <si>
    <t>MinObs</t>
  </si>
  <si>
    <t>p1</t>
  </si>
  <si>
    <t>p2</t>
  </si>
  <si>
    <t>p3</t>
  </si>
  <si>
    <t>p4</t>
  </si>
  <si>
    <t>p5</t>
  </si>
  <si>
    <t>MaxObs</t>
  </si>
  <si>
    <t>East Asia 
&amp; Pacific</t>
  </si>
  <si>
    <t>Latin America 
&amp; Caribbean</t>
  </si>
  <si>
    <t>Middle East 
&amp; North Africa</t>
  </si>
  <si>
    <t>Sub-Saharan 
Africa</t>
  </si>
  <si>
    <r>
      <t xml:space="preserve">     Overall</t>
    </r>
    <r>
      <rPr>
        <b/>
        <sz val="8"/>
        <color theme="1"/>
        <rFont val="Calibri"/>
        <family val="2"/>
      </rPr>
      <t>, including omitted categories</t>
    </r>
  </si>
  <si>
    <t>=TRANSPOSE(B6:B10)</t>
  </si>
  <si>
    <t>Maximum observarion</t>
  </si>
  <si>
    <t>Minimum obs.</t>
  </si>
  <si>
    <t>Maximum obs.</t>
  </si>
  <si>
    <t>Historical income group</t>
  </si>
  <si>
    <t>Not Available</t>
  </si>
  <si>
    <t>Currency type</t>
  </si>
  <si>
    <t>Local currency</t>
  </si>
  <si>
    <t>Foreign currency</t>
  </si>
  <si>
    <t>Mixed currency</t>
  </si>
  <si>
    <t>Project type</t>
  </si>
  <si>
    <t>1</t>
  </si>
  <si>
    <t>2</t>
  </si>
  <si>
    <t>3</t>
  </si>
  <si>
    <t>4</t>
  </si>
  <si>
    <t>Real estate finance</t>
  </si>
  <si>
    <t>5</t>
  </si>
  <si>
    <t>6</t>
  </si>
  <si>
    <r>
      <t>Overall</t>
    </r>
    <r>
      <rPr>
        <b/>
        <sz val="8"/>
        <color theme="1"/>
        <rFont val="Calibri"/>
        <family val="2"/>
      </rPr>
      <t>, incuding. omitted categories</t>
    </r>
  </si>
  <si>
    <t>Seniority</t>
  </si>
  <si>
    <t>Senior-secured</t>
  </si>
  <si>
    <t>Senior-unsecured</t>
  </si>
  <si>
    <t>Subordinated</t>
  </si>
  <si>
    <r>
      <t xml:space="preserve">    Overall</t>
    </r>
    <r>
      <rPr>
        <b/>
        <sz val="8"/>
        <color theme="1"/>
        <rFont val="Calibri"/>
        <family val="2"/>
      </rPr>
      <t>, including omitted categories</t>
    </r>
  </si>
  <si>
    <t>Signed amount of contract</t>
  </si>
  <si>
    <t>Up to €1 million</t>
  </si>
  <si>
    <t>Up to €2 million</t>
  </si>
  <si>
    <t>Up to €5 million</t>
  </si>
  <si>
    <t>Up to €10 million</t>
  </si>
  <si>
    <t>Up to €25 million</t>
  </si>
  <si>
    <t>More than €25 million</t>
  </si>
  <si>
    <t>Upgrades</t>
  </si>
  <si>
    <t>Downgrades</t>
  </si>
  <si>
    <t>Average ratio</t>
  </si>
  <si>
    <t>Ratio: Difference of rating changes over total rating changes</t>
  </si>
  <si>
    <t>Total Count</t>
  </si>
  <si>
    <t>From/to</t>
  </si>
  <si>
    <t>Defaulted Contracts</t>
  </si>
  <si>
    <t>Defaulted counterparts</t>
  </si>
  <si>
    <t>Contracts for recovery rates</t>
  </si>
  <si>
    <t>*Such as supranational organisations, cannot be allocated to one country.</t>
  </si>
  <si>
    <t>% resolved</t>
  </si>
  <si>
    <t>CI-Côte D'Ivoire</t>
  </si>
  <si>
    <t xml:space="preserve">CD-Congo, The Democratic Republic of </t>
  </si>
  <si>
    <t>Senior*</t>
  </si>
  <si>
    <r>
      <t xml:space="preserve">* Contracts are classified as </t>
    </r>
    <r>
      <rPr>
        <i/>
        <sz val="11"/>
        <color theme="1"/>
        <rFont val="Calibri"/>
        <family val="2"/>
      </rPr>
      <t xml:space="preserve">Senior </t>
    </r>
    <r>
      <rPr>
        <sz val="11"/>
        <color theme="1"/>
        <rFont val="Calibri"/>
        <family val="2"/>
      </rPr>
      <t>when the information regarding collateralization or any other type of credit protection is not available</t>
    </r>
  </si>
  <si>
    <t>All sectors*</t>
  </si>
  <si>
    <t>*Note: The sum of the individual groupings exceeds the total as counterparties can be part of multiple groups</t>
  </si>
  <si>
    <t>% of total</t>
  </si>
  <si>
    <t>Table 1: Overall average default rate</t>
  </si>
  <si>
    <t>Lower of 90% confidence interval</t>
  </si>
  <si>
    <t>Upper of 90% confidence interval</t>
  </si>
  <si>
    <t>90% confidence interval</t>
  </si>
  <si>
    <t/>
  </si>
  <si>
    <t>Submission_Year</t>
  </si>
  <si>
    <t>CountOfid_contract</t>
  </si>
  <si>
    <t>0_1</t>
  </si>
  <si>
    <t>0_2</t>
  </si>
  <si>
    <t>0_3</t>
  </si>
  <si>
    <t>0_4</t>
  </si>
  <si>
    <t>0_5</t>
  </si>
  <si>
    <t>0_6</t>
  </si>
  <si>
    <t>0_7</t>
  </si>
  <si>
    <t>0_8</t>
  </si>
  <si>
    <t>0_9</t>
  </si>
  <si>
    <t>Counterparts</t>
  </si>
  <si>
    <t>Countries</t>
  </si>
  <si>
    <t>AL</t>
  </si>
  <si>
    <t>AM</t>
  </si>
  <si>
    <t>AR</t>
  </si>
  <si>
    <t>AZ</t>
  </si>
  <si>
    <t>BA</t>
  </si>
  <si>
    <t>BD</t>
  </si>
  <si>
    <t>BF</t>
  </si>
  <si>
    <t>BG</t>
  </si>
  <si>
    <t>BJ</t>
  </si>
  <si>
    <t>BO</t>
  </si>
  <si>
    <t>BR</t>
  </si>
  <si>
    <t>BW</t>
  </si>
  <si>
    <t>BY</t>
  </si>
  <si>
    <t>CD</t>
  </si>
  <si>
    <t>CI</t>
  </si>
  <si>
    <t>CL</t>
  </si>
  <si>
    <t>CM</t>
  </si>
  <si>
    <t>CN</t>
  </si>
  <si>
    <t>CO</t>
  </si>
  <si>
    <t>CR</t>
  </si>
  <si>
    <t>CZ</t>
  </si>
  <si>
    <t>DO</t>
  </si>
  <si>
    <t>EC</t>
  </si>
  <si>
    <t>EG</t>
  </si>
  <si>
    <t>GA</t>
  </si>
  <si>
    <t>GE</t>
  </si>
  <si>
    <t>GH</t>
  </si>
  <si>
    <t>GN</t>
  </si>
  <si>
    <t>GT</t>
  </si>
  <si>
    <t>HN</t>
  </si>
  <si>
    <t>HR</t>
  </si>
  <si>
    <t>HT</t>
  </si>
  <si>
    <t>HU</t>
  </si>
  <si>
    <t>ID</t>
  </si>
  <si>
    <t>IN</t>
  </si>
  <si>
    <t>JM</t>
  </si>
  <si>
    <t>JO</t>
  </si>
  <si>
    <t>KE</t>
  </si>
  <si>
    <t>KG</t>
  </si>
  <si>
    <t>KH</t>
  </si>
  <si>
    <t>KZ</t>
  </si>
  <si>
    <t>LB</t>
  </si>
  <si>
    <t>LK</t>
  </si>
  <si>
    <t>LT</t>
  </si>
  <si>
    <t>MA</t>
  </si>
  <si>
    <t>MD</t>
  </si>
  <si>
    <t>ME</t>
  </si>
  <si>
    <t>MG</t>
  </si>
  <si>
    <t>MK</t>
  </si>
  <si>
    <t>ML</t>
  </si>
  <si>
    <t>MM</t>
  </si>
  <si>
    <t>MN</t>
  </si>
  <si>
    <t>MR</t>
  </si>
  <si>
    <t>MU</t>
  </si>
  <si>
    <t>MX</t>
  </si>
  <si>
    <t>MZ</t>
  </si>
  <si>
    <t>NG</t>
  </si>
  <si>
    <t>NI</t>
  </si>
  <si>
    <t>NP</t>
  </si>
  <si>
    <t>OT</t>
  </si>
  <si>
    <t>PA</t>
  </si>
  <si>
    <t>PE</t>
  </si>
  <si>
    <t>PH</t>
  </si>
  <si>
    <t>PK</t>
  </si>
  <si>
    <t>PL</t>
  </si>
  <si>
    <t>PS</t>
  </si>
  <si>
    <t>PY</t>
  </si>
  <si>
    <t>REG</t>
  </si>
  <si>
    <t>RO</t>
  </si>
  <si>
    <t>RS</t>
  </si>
  <si>
    <t>RU</t>
  </si>
  <si>
    <t>RW</t>
  </si>
  <si>
    <t>SI</t>
  </si>
  <si>
    <t>SK</t>
  </si>
  <si>
    <t>SN</t>
  </si>
  <si>
    <t>SV</t>
  </si>
  <si>
    <t>TG</t>
  </si>
  <si>
    <t>TH</t>
  </si>
  <si>
    <t>TJ</t>
  </si>
  <si>
    <t>TM</t>
  </si>
  <si>
    <t>TN</t>
  </si>
  <si>
    <t>TR</t>
  </si>
  <si>
    <t>TT</t>
  </si>
  <si>
    <t>TZ</t>
  </si>
  <si>
    <t>UA</t>
  </si>
  <si>
    <t>UG</t>
  </si>
  <si>
    <t>UY</t>
  </si>
  <si>
    <t>UZ</t>
  </si>
  <si>
    <t>VE</t>
  </si>
  <si>
    <t>VN</t>
  </si>
  <si>
    <t>XK</t>
  </si>
  <si>
    <t>ZA</t>
  </si>
  <si>
    <t>ZM</t>
  </si>
  <si>
    <t>ZW</t>
  </si>
  <si>
    <t>GEMs rating</t>
  </si>
  <si>
    <t>Probablility of default</t>
  </si>
  <si>
    <t>100% Confidence Interval</t>
  </si>
  <si>
    <t>NE</t>
  </si>
  <si>
    <t>Starting Active Year</t>
  </si>
  <si>
    <t>Up</t>
  </si>
  <si>
    <t>Down</t>
  </si>
  <si>
    <t>Unchanged</t>
  </si>
  <si>
    <t>D</t>
  </si>
  <si>
    <t>Table 4: Annual default rates</t>
  </si>
  <si>
    <t>Figure 1: Annual default rates</t>
  </si>
  <si>
    <t>Figure 2: Time to default</t>
  </si>
  <si>
    <t>Figure 3: One-year default rates by credit rating</t>
  </si>
  <si>
    <t>Table 2: Overall average recovery rate</t>
  </si>
  <si>
    <t>Figure 4: Annual recovery rates</t>
  </si>
  <si>
    <t>Table 32:  Recovery rates by year of default</t>
  </si>
  <si>
    <t>Figure 5: Distribution of recovery rates</t>
  </si>
  <si>
    <t>Table 33:  Distribution of recovery rates</t>
  </si>
  <si>
    <t>Figure 6: Time to resolution</t>
  </si>
  <si>
    <t>Table 34:  Time to resolution</t>
  </si>
  <si>
    <t>Table 3: Dataset composition</t>
  </si>
  <si>
    <t>Figure 7: Active counterparts for observation period</t>
  </si>
  <si>
    <t>Table 6: Time to default – GICS sectors</t>
  </si>
  <si>
    <t>Table 5: Time to default – regions</t>
  </si>
  <si>
    <t>Table 7: Time to default – sector groupings</t>
  </si>
  <si>
    <t>Table 8: Default rates by World Bank region</t>
  </si>
  <si>
    <t>Figure 8: Default rates by World Bank region</t>
  </si>
  <si>
    <t>Table 9: Annual default rates by World Bank region</t>
  </si>
  <si>
    <t>Table 10: Annual default rates by continent</t>
  </si>
  <si>
    <t>Table 11:  Default rates by GICS sector</t>
  </si>
  <si>
    <t>Figure 9: Default rates by GICS sector</t>
  </si>
  <si>
    <t>Table 12:  Annual default rates by GICS sector</t>
  </si>
  <si>
    <t>Table 13:  Annual default rates for sector groupings</t>
  </si>
  <si>
    <t>Figure 10:  Annual default rates for financial and non-financial institutions</t>
  </si>
  <si>
    <t>Table 14:  Default rates by World Bank region and GICS sector</t>
  </si>
  <si>
    <t>Table 15:  Default rates by World Bank region and sector groupings</t>
  </si>
  <si>
    <t>Table 16:  Default rates by country</t>
  </si>
  <si>
    <t>Table 17:  Annual default rates by country</t>
  </si>
  <si>
    <t>Table 18:  Default rates by country and GICS sector</t>
  </si>
  <si>
    <t>Table 19:  Annual default rates by country and sector grouping – financial institutions</t>
  </si>
  <si>
    <t>Table 20:  Annual default rates by country and sector grouping – non-financial institutions</t>
  </si>
  <si>
    <t>Table 21:  Annual default rates by country and sector grouping – banking</t>
  </si>
  <si>
    <t>Table 22:  Annual default rates by country and sector grouping – infrastructure</t>
  </si>
  <si>
    <t>Table 23:  Annual default rates by country and sector grouping – non-bank financials</t>
  </si>
  <si>
    <t>Table 24:  Annual default rates by country and sector grouping – renewables</t>
  </si>
  <si>
    <t>Table 25:  Annual default rates by country and sector grouping – services</t>
  </si>
  <si>
    <t>Table 26:  Default rates by income group</t>
  </si>
  <si>
    <t>Figure 11:  Default rates by income group</t>
  </si>
  <si>
    <t>Table 27:  Default rates by income group and World Bank region</t>
  </si>
  <si>
    <t>Table 28:  Default rates by project type</t>
  </si>
  <si>
    <t>Figure 12:  Default rates by project type</t>
  </si>
  <si>
    <t>Table 29:  GEMs Master Scale</t>
  </si>
  <si>
    <t>Figure 13:  Frequency distribution of aligned GEMs ratings</t>
  </si>
  <si>
    <t>Figure 14:  One-year default rates by GEMs rating</t>
  </si>
  <si>
    <t>Table 30:  Marginal default rates by GEMs rating and year</t>
  </si>
  <si>
    <t>Table 31:  Cumulative default rates by GEMs rating and year</t>
  </si>
  <si>
    <t>Table 35:  Recovery rates by World Bank region</t>
  </si>
  <si>
    <t>Figure 15:  Recovery rates by World Bank region</t>
  </si>
  <si>
    <t>Table 37:  Recovery rates by year of default and continent</t>
  </si>
  <si>
    <t>Table 38:  Recovery rates by GICS sector</t>
  </si>
  <si>
    <t>Figure 16:  Recovery rates by GICS sector</t>
  </si>
  <si>
    <t>Table 39:  Recovery rates by year of default and GICS sector</t>
  </si>
  <si>
    <t>Table 36:  Recovery rates by year of default and World Bank region</t>
  </si>
  <si>
    <t>Table 40:  Recovery rates by year of default for sector groupings</t>
  </si>
  <si>
    <t>Figure 17:  Recovery rates by year of default for financial and non-financial institutions</t>
  </si>
  <si>
    <t>Table 41:  Recovery rates by World Bank region and GICS sector</t>
  </si>
  <si>
    <t>Table 42:  Recovery rates by World Bank region and sector groupings</t>
  </si>
  <si>
    <t>Table 43:  Recovery rates by country</t>
  </si>
  <si>
    <t>Table 44:  Recovery rates by year of default and country</t>
  </si>
  <si>
    <t>Table 45:  Recovery rates by country and GICS sector</t>
  </si>
  <si>
    <t>Table 46:  Recovery rates by year of default and country/sector grouping – financial institutions</t>
  </si>
  <si>
    <t>Table 47:  Recovery rates by year of default and country/sector grouping – non-financial institutions</t>
  </si>
  <si>
    <t>Table 48:  Recovery rates by income group</t>
  </si>
  <si>
    <t>Figure 18:  Recovery rates by income group</t>
  </si>
  <si>
    <t>Table 49:  Recovery rates by income group and region</t>
  </si>
  <si>
    <t>Table 50:  Recovery rates by currency type</t>
  </si>
  <si>
    <t>Figure 19:  Recovery rates by currency type</t>
  </si>
  <si>
    <t>Table 51:  Recovery rates by project type</t>
  </si>
  <si>
    <t>Figure 20:  Recovery rates by project type</t>
  </si>
  <si>
    <t>Table 52:  Recovery rates by seniority</t>
  </si>
  <si>
    <t>Figure 21:  Recovery rates by seniority</t>
  </si>
  <si>
    <t>Table 53:  Recovery rates by contract size</t>
  </si>
  <si>
    <t>Figure 22:  Recovery rates by contract size</t>
  </si>
  <si>
    <t>Figure 23:  Annual upgrade vs. downgrade ratio GEMs ratings</t>
  </si>
  <si>
    <t>Table 54:  One-year GEMs rating migrations</t>
  </si>
  <si>
    <t>Table 55:  Two-year GEMs rating migrations</t>
  </si>
  <si>
    <t>Table 56:  Ten-year GEMs rating migrations</t>
  </si>
  <si>
    <t>AL-Albania</t>
  </si>
  <si>
    <t>AM-Armenia</t>
  </si>
  <si>
    <t>AR-Argentina</t>
  </si>
  <si>
    <t>AZ-Azerbaijan</t>
  </si>
  <si>
    <t>BA-Bosnia and Herzegovina</t>
  </si>
  <si>
    <t>BD-Bangladesh</t>
  </si>
  <si>
    <t>BF-Burkina Faso</t>
  </si>
  <si>
    <t>BG-Bulgaria</t>
  </si>
  <si>
    <t>BJ-Benin</t>
  </si>
  <si>
    <t>BO-Bolivia</t>
  </si>
  <si>
    <t>BR-Brazil</t>
  </si>
  <si>
    <t>BW-Botswana</t>
  </si>
  <si>
    <t>BY-Belarus</t>
  </si>
  <si>
    <t>CL-Chile</t>
  </si>
  <si>
    <t>CM-Cameroon</t>
  </si>
  <si>
    <t>CN-China</t>
  </si>
  <si>
    <t>CO-Colombia</t>
  </si>
  <si>
    <t>CR-Costa Rica</t>
  </si>
  <si>
    <t>CZ-Czech Republic</t>
  </si>
  <si>
    <t>DO-Dominican Republic</t>
  </si>
  <si>
    <t>EC-Ecuador</t>
  </si>
  <si>
    <t>EG-Egypt</t>
  </si>
  <si>
    <t>GA-Gabon</t>
  </si>
  <si>
    <t>GE-Georgia</t>
  </si>
  <si>
    <t>GH-Ghana</t>
  </si>
  <si>
    <t>GN-Guinea</t>
  </si>
  <si>
    <t>GT-Guatemala</t>
  </si>
  <si>
    <t>HN-Honduras</t>
  </si>
  <si>
    <t>HR-Croatia</t>
  </si>
  <si>
    <t>HT-Haiti</t>
  </si>
  <si>
    <t>HU-Hungary</t>
  </si>
  <si>
    <t>ID-Indonesia</t>
  </si>
  <si>
    <t>IN-India</t>
  </si>
  <si>
    <t>JM-Jamaica</t>
  </si>
  <si>
    <t>JO-Jordan</t>
  </si>
  <si>
    <t>KE-Kenya</t>
  </si>
  <si>
    <t>KG-Kyrgyzstan</t>
  </si>
  <si>
    <t>KH-Cambodia</t>
  </si>
  <si>
    <t>KZ-Kazakhstan</t>
  </si>
  <si>
    <t>LB-Lebanon</t>
  </si>
  <si>
    <t>LK-Sri Lanka</t>
  </si>
  <si>
    <t>LT-Lithuania</t>
  </si>
  <si>
    <t>MA-Morocco</t>
  </si>
  <si>
    <t>MD-Moldova</t>
  </si>
  <si>
    <t>ME-Montenegro</t>
  </si>
  <si>
    <t>MG-Madagascar</t>
  </si>
  <si>
    <t>MK-Macedonia</t>
  </si>
  <si>
    <t>ML-Mali</t>
  </si>
  <si>
    <t>MM-Myanmar</t>
  </si>
  <si>
    <t>MN-Mongolia</t>
  </si>
  <si>
    <t>MR-Mauritania</t>
  </si>
  <si>
    <t>MU-Mauritius</t>
  </si>
  <si>
    <t>MX-Mexico</t>
  </si>
  <si>
    <t>MZ-Mozambique</t>
  </si>
  <si>
    <t>NG-Nigeria</t>
  </si>
  <si>
    <t>NI-Nicaragua</t>
  </si>
  <si>
    <t>NP-Nepal</t>
  </si>
  <si>
    <t>OT-Other</t>
  </si>
  <si>
    <t>PA-Panama</t>
  </si>
  <si>
    <t>PE-Peru</t>
  </si>
  <si>
    <t>PH-Philippines</t>
  </si>
  <si>
    <t>PK-Pakistan</t>
  </si>
  <si>
    <t>PL-Poland</t>
  </si>
  <si>
    <t>PY-Paraguay</t>
  </si>
  <si>
    <t>REG-Regional</t>
  </si>
  <si>
    <t>RO-Romania</t>
  </si>
  <si>
    <t>RS-Serbia</t>
  </si>
  <si>
    <t>RW-Rwanda</t>
  </si>
  <si>
    <t>SI-Slovenia</t>
  </si>
  <si>
    <t>SK-Slovakia</t>
  </si>
  <si>
    <t>SN-Senegal</t>
  </si>
  <si>
    <t>SV-El Salvador</t>
  </si>
  <si>
    <t>TG-Togo</t>
  </si>
  <si>
    <t>TH-Thailand</t>
  </si>
  <si>
    <t>TJ-Tajikistan</t>
  </si>
  <si>
    <t>TM-Turkmenistan</t>
  </si>
  <si>
    <t>TN-Tunisia</t>
  </si>
  <si>
    <t>TT-Trinidad and Tobago</t>
  </si>
  <si>
    <t>TZ-Tanzania</t>
  </si>
  <si>
    <t>UA-Ukraine</t>
  </si>
  <si>
    <t>UG-Uganda</t>
  </si>
  <si>
    <t>UY-Uruguay</t>
  </si>
  <si>
    <t>UZ-Uzbekistan</t>
  </si>
  <si>
    <t>VE-Venezuela</t>
  </si>
  <si>
    <t>XK-Kosovo</t>
  </si>
  <si>
    <t>ZA-South Africa</t>
  </si>
  <si>
    <t>ZM-Zambia</t>
  </si>
  <si>
    <t>ZW-Zimbabwe</t>
  </si>
  <si>
    <t>0-0</t>
  </si>
  <si>
    <t>CI-Cote D'Ivoire</t>
  </si>
  <si>
    <t>-</t>
  </si>
  <si>
    <t>NE-Niger</t>
  </si>
  <si>
    <t>RU-Russian Federation</t>
  </si>
  <si>
    <t>-0</t>
  </si>
  <si>
    <t>Signed amount EUR mio</t>
  </si>
  <si>
    <t>Communication Services</t>
  </si>
  <si>
    <t>Consumer Discretionary</t>
  </si>
  <si>
    <t>Consumer Staples</t>
  </si>
  <si>
    <t>Health Care</t>
  </si>
  <si>
    <t>Information Technology</t>
  </si>
  <si>
    <t>Real Estate</t>
  </si>
  <si>
    <t>Overall, incl. omitted categories</t>
  </si>
  <si>
    <t>Infrastructure + Renewables</t>
  </si>
  <si>
    <t>Median equivalent</t>
  </si>
  <si>
    <t>Average default rte</t>
  </si>
  <si>
    <t>Estimated default term structure</t>
  </si>
  <si>
    <t>Cumul. default density</t>
  </si>
  <si>
    <t>EMDE</t>
  </si>
  <si>
    <t>High Income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</si>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</sst>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_-* #,##0_-;\-* #,##0_-;_-* &quot;-&quot;??_-;_-@_-"/>
    <numFmt numFmtId="169" formatCode="0.0"/>
    <numFmt numFmtId="170" formatCode="0.0000%"/>
    <numFmt numFmtId="171" formatCode="0.000%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b/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9"/>
      <color theme="1"/>
      <name val="Segoe U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3">
    <xf numFmtId="0" fontId="0" fillId="0" borderId="0" xfId="0"/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167" fontId="4" fillId="0" borderId="0" xfId="1" applyNumberFormat="1" applyFont="1"/>
    <xf numFmtId="0" fontId="3" fillId="0" borderId="0" xfId="0" applyFont="1" applyAlignment="1">
      <alignment horizontal="center"/>
    </xf>
    <xf numFmtId="165" fontId="4" fillId="0" borderId="0" xfId="1" applyNumberFormat="1" applyFont="1"/>
    <xf numFmtId="0" fontId="3" fillId="0" borderId="0" xfId="0" applyFont="1" applyAlignment="1">
      <alignment horizontal="center" wrapText="1"/>
    </xf>
    <xf numFmtId="0" fontId="4" fillId="2" borderId="32" xfId="0" applyFont="1" applyFill="1" applyBorder="1" applyAlignment="1">
      <alignment horizontal="center" vertical="center"/>
    </xf>
    <xf numFmtId="167" fontId="4" fillId="2" borderId="35" xfId="1" applyNumberFormat="1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0" fontId="3" fillId="0" borderId="37" xfId="2" applyNumberFormat="1" applyFont="1" applyBorder="1" applyAlignment="1">
      <alignment horizontal="center" vertical="center"/>
    </xf>
    <xf numFmtId="10" fontId="3" fillId="0" borderId="42" xfId="2" applyNumberFormat="1" applyFont="1" applyBorder="1" applyAlignment="1">
      <alignment horizontal="center" vertical="center"/>
    </xf>
    <xf numFmtId="10" fontId="3" fillId="0" borderId="25" xfId="2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0" fontId="4" fillId="0" borderId="39" xfId="2" applyNumberFormat="1" applyFont="1" applyBorder="1" applyAlignment="1">
      <alignment horizontal="center" vertical="center"/>
    </xf>
    <xf numFmtId="10" fontId="4" fillId="0" borderId="44" xfId="2" applyNumberFormat="1" applyFont="1" applyBorder="1" applyAlignment="1">
      <alignment horizontal="center" vertical="center"/>
    </xf>
    <xf numFmtId="10" fontId="4" fillId="0" borderId="40" xfId="2" applyNumberFormat="1" applyFont="1" applyBorder="1" applyAlignment="1">
      <alignment horizontal="center" vertical="center"/>
    </xf>
    <xf numFmtId="10" fontId="3" fillId="0" borderId="27" xfId="2" applyNumberFormat="1" applyFont="1" applyBorder="1" applyAlignment="1">
      <alignment horizontal="center" vertical="center"/>
    </xf>
    <xf numFmtId="10" fontId="3" fillId="0" borderId="43" xfId="2" applyNumberFormat="1" applyFont="1" applyBorder="1" applyAlignment="1">
      <alignment horizontal="center" vertical="center"/>
    </xf>
    <xf numFmtId="10" fontId="3" fillId="0" borderId="28" xfId="2" applyNumberFormat="1" applyFont="1" applyBorder="1" applyAlignment="1">
      <alignment horizontal="center" vertical="center"/>
    </xf>
    <xf numFmtId="10" fontId="3" fillId="3" borderId="37" xfId="2" applyNumberFormat="1" applyFont="1" applyFill="1" applyBorder="1" applyAlignment="1">
      <alignment horizontal="center" vertical="center"/>
    </xf>
    <xf numFmtId="10" fontId="3" fillId="3" borderId="42" xfId="2" applyNumberFormat="1" applyFont="1" applyFill="1" applyBorder="1" applyAlignment="1">
      <alignment horizontal="center" vertical="center"/>
    </xf>
    <xf numFmtId="10" fontId="3" fillId="3" borderId="25" xfId="2" applyNumberFormat="1" applyFont="1" applyFill="1" applyBorder="1" applyAlignment="1">
      <alignment horizontal="center" vertical="center"/>
    </xf>
    <xf numFmtId="10" fontId="4" fillId="3" borderId="39" xfId="2" applyNumberFormat="1" applyFont="1" applyFill="1" applyBorder="1" applyAlignment="1">
      <alignment horizontal="center" vertical="center"/>
    </xf>
    <xf numFmtId="10" fontId="4" fillId="3" borderId="44" xfId="2" applyNumberFormat="1" applyFont="1" applyFill="1" applyBorder="1" applyAlignment="1">
      <alignment horizontal="center" vertical="center"/>
    </xf>
    <xf numFmtId="10" fontId="4" fillId="3" borderId="40" xfId="2" applyNumberFormat="1" applyFont="1" applyFill="1" applyBorder="1" applyAlignment="1">
      <alignment horizontal="center" vertical="center"/>
    </xf>
    <xf numFmtId="10" fontId="3" fillId="3" borderId="27" xfId="2" applyNumberFormat="1" applyFont="1" applyFill="1" applyBorder="1" applyAlignment="1">
      <alignment horizontal="center" vertical="center"/>
    </xf>
    <xf numFmtId="10" fontId="3" fillId="3" borderId="43" xfId="2" applyNumberFormat="1" applyFont="1" applyFill="1" applyBorder="1" applyAlignment="1">
      <alignment horizontal="center" vertical="center"/>
    </xf>
    <xf numFmtId="10" fontId="3" fillId="3" borderId="28" xfId="2" applyNumberFormat="1" applyFont="1" applyFill="1" applyBorder="1" applyAlignment="1">
      <alignment horizontal="center" vertical="center"/>
    </xf>
    <xf numFmtId="10" fontId="3" fillId="0" borderId="39" xfId="2" applyNumberFormat="1" applyFont="1" applyBorder="1" applyAlignment="1">
      <alignment horizontal="center" vertical="center"/>
    </xf>
    <xf numFmtId="10" fontId="3" fillId="0" borderId="44" xfId="2" applyNumberFormat="1" applyFont="1" applyBorder="1" applyAlignment="1">
      <alignment horizontal="center" vertical="center"/>
    </xf>
    <xf numFmtId="10" fontId="3" fillId="0" borderId="40" xfId="2" applyNumberFormat="1" applyFont="1" applyBorder="1" applyAlignment="1">
      <alignment horizontal="center" vertical="center"/>
    </xf>
    <xf numFmtId="0" fontId="4" fillId="0" borderId="0" xfId="0" applyFont="1"/>
    <xf numFmtId="0" fontId="4" fillId="2" borderId="33" xfId="0" applyFont="1" applyFill="1" applyBorder="1" applyAlignment="1">
      <alignment horizontal="center" vertical="center" wrapText="1"/>
    </xf>
    <xf numFmtId="166" fontId="3" fillId="0" borderId="0" xfId="2" applyNumberFormat="1" applyFont="1"/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3" fillId="0" borderId="7" xfId="2" applyNumberFormat="1" applyFont="1" applyBorder="1"/>
    <xf numFmtId="0" fontId="3" fillId="0" borderId="0" xfId="0" applyFont="1" applyAlignment="1">
      <alignment wrapText="1"/>
    </xf>
    <xf numFmtId="166" fontId="3" fillId="3" borderId="4" xfId="2" applyNumberFormat="1" applyFont="1" applyFill="1" applyBorder="1"/>
    <xf numFmtId="166" fontId="3" fillId="0" borderId="4" xfId="2" applyNumberFormat="1" applyFont="1" applyBorder="1"/>
    <xf numFmtId="165" fontId="3" fillId="0" borderId="0" xfId="0" applyNumberFormat="1" applyFont="1" applyAlignment="1">
      <alignment vertical="center"/>
    </xf>
    <xf numFmtId="166" fontId="3" fillId="0" borderId="12" xfId="2" applyNumberFormat="1" applyFont="1" applyBorder="1"/>
    <xf numFmtId="166" fontId="3" fillId="3" borderId="13" xfId="2" applyNumberFormat="1" applyFont="1" applyFill="1" applyBorder="1"/>
    <xf numFmtId="166" fontId="3" fillId="0" borderId="13" xfId="2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10" fontId="3" fillId="0" borderId="0" xfId="2" applyNumberFormat="1" applyFont="1"/>
    <xf numFmtId="166" fontId="3" fillId="0" borderId="56" xfId="2" applyNumberFormat="1" applyFont="1" applyBorder="1" applyAlignment="1">
      <alignment horizontal="center" vertical="center"/>
    </xf>
    <xf numFmtId="167" fontId="3" fillId="0" borderId="59" xfId="1" applyNumberFormat="1" applyFont="1" applyBorder="1" applyAlignment="1">
      <alignment horizontal="center" vertical="center"/>
    </xf>
    <xf numFmtId="166" fontId="3" fillId="0" borderId="60" xfId="2" applyNumberFormat="1" applyFont="1" applyBorder="1" applyAlignment="1">
      <alignment horizontal="center" vertical="center"/>
    </xf>
    <xf numFmtId="166" fontId="3" fillId="0" borderId="61" xfId="2" applyNumberFormat="1" applyFont="1" applyBorder="1" applyAlignment="1">
      <alignment horizontal="center" vertical="center"/>
    </xf>
    <xf numFmtId="166" fontId="3" fillId="0" borderId="62" xfId="2" applyNumberFormat="1" applyFont="1" applyBorder="1" applyAlignment="1">
      <alignment horizontal="center" vertical="center"/>
    </xf>
    <xf numFmtId="167" fontId="3" fillId="0" borderId="59" xfId="1" applyNumberFormat="1" applyFont="1" applyBorder="1" applyAlignment="1">
      <alignment horizontal="center" vertical="center" wrapText="1"/>
    </xf>
    <xf numFmtId="167" fontId="3" fillId="0" borderId="63" xfId="1" applyNumberFormat="1" applyFont="1" applyBorder="1" applyAlignment="1">
      <alignment horizontal="center" vertical="center"/>
    </xf>
    <xf numFmtId="166" fontId="3" fillId="0" borderId="64" xfId="2" applyNumberFormat="1" applyFont="1" applyBorder="1" applyAlignment="1">
      <alignment horizontal="center" vertical="center"/>
    </xf>
    <xf numFmtId="166" fontId="3" fillId="0" borderId="65" xfId="2" applyNumberFormat="1" applyFont="1" applyBorder="1" applyAlignment="1">
      <alignment horizontal="center" vertical="center"/>
    </xf>
    <xf numFmtId="166" fontId="3" fillId="0" borderId="66" xfId="2" applyNumberFormat="1" applyFont="1" applyBorder="1" applyAlignment="1">
      <alignment horizontal="center" vertical="center"/>
    </xf>
    <xf numFmtId="167" fontId="3" fillId="3" borderId="59" xfId="1" applyNumberFormat="1" applyFont="1" applyFill="1" applyBorder="1" applyAlignment="1">
      <alignment horizontal="center" vertical="center"/>
    </xf>
    <xf numFmtId="166" fontId="3" fillId="3" borderId="60" xfId="2" applyNumberFormat="1" applyFont="1" applyFill="1" applyBorder="1" applyAlignment="1">
      <alignment horizontal="center" vertical="center"/>
    </xf>
    <xf numFmtId="166" fontId="3" fillId="3" borderId="61" xfId="2" applyNumberFormat="1" applyFont="1" applyFill="1" applyBorder="1" applyAlignment="1">
      <alignment horizontal="center" vertical="center"/>
    </xf>
    <xf numFmtId="166" fontId="3" fillId="3" borderId="62" xfId="2" applyNumberFormat="1" applyFont="1" applyFill="1" applyBorder="1" applyAlignment="1">
      <alignment horizontal="center" vertical="center"/>
    </xf>
    <xf numFmtId="167" fontId="3" fillId="3" borderId="59" xfId="1" applyNumberFormat="1" applyFont="1" applyFill="1" applyBorder="1" applyAlignment="1">
      <alignment horizontal="center" vertical="center" wrapText="1"/>
    </xf>
    <xf numFmtId="167" fontId="3" fillId="3" borderId="63" xfId="1" applyNumberFormat="1" applyFont="1" applyFill="1" applyBorder="1" applyAlignment="1">
      <alignment horizontal="center" vertical="center"/>
    </xf>
    <xf numFmtId="166" fontId="3" fillId="3" borderId="64" xfId="2" applyNumberFormat="1" applyFont="1" applyFill="1" applyBorder="1" applyAlignment="1">
      <alignment horizontal="center" vertical="center"/>
    </xf>
    <xf numFmtId="166" fontId="3" fillId="3" borderId="65" xfId="2" applyNumberFormat="1" applyFont="1" applyFill="1" applyBorder="1" applyAlignment="1">
      <alignment horizontal="center" vertical="center"/>
    </xf>
    <xf numFmtId="166" fontId="3" fillId="3" borderId="66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165" fontId="3" fillId="3" borderId="1" xfId="1" applyNumberFormat="1" applyFont="1" applyFill="1" applyBorder="1"/>
    <xf numFmtId="10" fontId="4" fillId="3" borderId="1" xfId="2" applyNumberFormat="1" applyFont="1" applyFill="1" applyBorder="1"/>
    <xf numFmtId="165" fontId="3" fillId="0" borderId="1" xfId="1" applyNumberFormat="1" applyFont="1" applyBorder="1"/>
    <xf numFmtId="10" fontId="4" fillId="0" borderId="1" xfId="2" applyNumberFormat="1" applyFont="1" applyBorder="1"/>
    <xf numFmtId="0" fontId="4" fillId="0" borderId="54" xfId="0" applyFont="1" applyBorder="1" applyAlignment="1">
      <alignment horizontal="left" indent="1"/>
    </xf>
    <xf numFmtId="0" fontId="2" fillId="0" borderId="0" xfId="0" applyFont="1" applyAlignment="1">
      <alignment horizontal="center"/>
    </xf>
    <xf numFmtId="9" fontId="0" fillId="0" borderId="0" xfId="2" applyFont="1"/>
    <xf numFmtId="166" fontId="0" fillId="0" borderId="0" xfId="2" applyNumberFormat="1" applyFont="1"/>
    <xf numFmtId="10" fontId="0" fillId="0" borderId="0" xfId="0" applyNumberFormat="1"/>
    <xf numFmtId="168" fontId="0" fillId="0" borderId="0" xfId="3" applyNumberFormat="1" applyFont="1"/>
    <xf numFmtId="0" fontId="0" fillId="0" borderId="0" xfId="0" applyAlignment="1">
      <alignment vertical="top"/>
    </xf>
    <xf numFmtId="166" fontId="0" fillId="0" borderId="0" xfId="0" applyNumberFormat="1"/>
    <xf numFmtId="0" fontId="4" fillId="0" borderId="3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2" borderId="46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10" fontId="0" fillId="0" borderId="1" xfId="2" applyNumberFormat="1" applyFont="1" applyBorder="1" applyAlignment="1">
      <alignment horizontal="right" indent="1"/>
    </xf>
    <xf numFmtId="3" fontId="0" fillId="0" borderId="1" xfId="0" applyNumberFormat="1" applyBorder="1" applyAlignment="1">
      <alignment horizontal="right" indent="1"/>
    </xf>
    <xf numFmtId="0" fontId="0" fillId="0" borderId="6" xfId="0" applyBorder="1"/>
    <xf numFmtId="0" fontId="2" fillId="2" borderId="9" xfId="0" applyFont="1" applyFill="1" applyBorder="1" applyAlignment="1">
      <alignment horizontal="center" vertical="center" wrapText="1"/>
    </xf>
    <xf numFmtId="0" fontId="0" fillId="0" borderId="12" xfId="0" applyBorder="1"/>
    <xf numFmtId="3" fontId="0" fillId="0" borderId="13" xfId="0" applyNumberFormat="1" applyBorder="1" applyAlignment="1">
      <alignment horizontal="right" indent="1"/>
    </xf>
    <xf numFmtId="10" fontId="0" fillId="0" borderId="13" xfId="2" applyNumberFormat="1" applyFont="1" applyBorder="1" applyAlignment="1">
      <alignment horizontal="right" indent="1"/>
    </xf>
    <xf numFmtId="0" fontId="10" fillId="2" borderId="2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7" xfId="0" applyBorder="1"/>
    <xf numFmtId="3" fontId="0" fillId="0" borderId="4" xfId="0" applyNumberFormat="1" applyBorder="1" applyAlignment="1">
      <alignment horizontal="right" indent="1"/>
    </xf>
    <xf numFmtId="10" fontId="0" fillId="0" borderId="4" xfId="2" applyNumberFormat="1" applyFont="1" applyBorder="1" applyAlignment="1">
      <alignment horizontal="right" indent="1"/>
    </xf>
    <xf numFmtId="10" fontId="0" fillId="0" borderId="30" xfId="2" applyNumberFormat="1" applyFont="1" applyBorder="1" applyAlignment="1">
      <alignment horizontal="right" indent="1"/>
    </xf>
    <xf numFmtId="10" fontId="0" fillId="0" borderId="27" xfId="2" applyNumberFormat="1" applyFont="1" applyBorder="1" applyAlignment="1">
      <alignment horizontal="right" indent="1"/>
    </xf>
    <xf numFmtId="10" fontId="0" fillId="0" borderId="28" xfId="2" applyNumberFormat="1" applyFont="1" applyBorder="1" applyAlignment="1">
      <alignment horizontal="right" indent="1"/>
    </xf>
    <xf numFmtId="0" fontId="2" fillId="2" borderId="15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10" fontId="0" fillId="0" borderId="0" xfId="2" applyNumberFormat="1" applyFont="1"/>
    <xf numFmtId="167" fontId="13" fillId="0" borderId="29" xfId="1" applyNumberFormat="1" applyFont="1" applyBorder="1" applyAlignment="1">
      <alignment horizontal="center" vertical="center"/>
    </xf>
    <xf numFmtId="167" fontId="8" fillId="0" borderId="38" xfId="1" applyNumberFormat="1" applyFont="1" applyBorder="1" applyAlignment="1">
      <alignment horizontal="center" vertical="center" wrapText="1"/>
    </xf>
    <xf numFmtId="167" fontId="13" fillId="0" borderId="30" xfId="1" applyNumberFormat="1" applyFont="1" applyBorder="1" applyAlignment="1">
      <alignment horizontal="center" vertical="center"/>
    </xf>
    <xf numFmtId="167" fontId="13" fillId="3" borderId="29" xfId="1" applyNumberFormat="1" applyFont="1" applyFill="1" applyBorder="1" applyAlignment="1">
      <alignment horizontal="center" vertical="center"/>
    </xf>
    <xf numFmtId="167" fontId="8" fillId="3" borderId="38" xfId="1" applyNumberFormat="1" applyFont="1" applyFill="1" applyBorder="1" applyAlignment="1">
      <alignment horizontal="center" vertical="center"/>
    </xf>
    <xf numFmtId="167" fontId="13" fillId="3" borderId="30" xfId="1" applyNumberFormat="1" applyFont="1" applyFill="1" applyBorder="1" applyAlignment="1">
      <alignment horizontal="center" vertical="center"/>
    </xf>
    <xf numFmtId="167" fontId="8" fillId="0" borderId="38" xfId="1" applyNumberFormat="1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vertical="center" textRotation="179"/>
    </xf>
    <xf numFmtId="0" fontId="11" fillId="2" borderId="10" xfId="0" applyFont="1" applyFill="1" applyBorder="1" applyAlignment="1">
      <alignment horizontal="center" vertical="center" textRotation="179"/>
    </xf>
    <xf numFmtId="166" fontId="3" fillId="0" borderId="6" xfId="2" applyNumberFormat="1" applyFont="1" applyBorder="1"/>
    <xf numFmtId="166" fontId="3" fillId="0" borderId="1" xfId="2" applyNumberFormat="1" applyFont="1" applyBorder="1"/>
    <xf numFmtId="166" fontId="4" fillId="0" borderId="25" xfId="2" applyNumberFormat="1" applyFont="1" applyBorder="1" applyAlignment="1">
      <alignment horizontal="right" indent="1"/>
    </xf>
    <xf numFmtId="166" fontId="4" fillId="0" borderId="4" xfId="2" applyNumberFormat="1" applyFont="1" applyBorder="1" applyAlignment="1">
      <alignment horizontal="right" indent="1"/>
    </xf>
    <xf numFmtId="166" fontId="4" fillId="0" borderId="28" xfId="2" applyNumberFormat="1" applyFont="1" applyBorder="1" applyAlignment="1">
      <alignment horizontal="right" indent="1"/>
    </xf>
    <xf numFmtId="0" fontId="11" fillId="2" borderId="11" xfId="0" applyFont="1" applyFill="1" applyBorder="1" applyAlignment="1">
      <alignment horizontal="center" vertical="center" textRotation="179"/>
    </xf>
    <xf numFmtId="0" fontId="11" fillId="2" borderId="10" xfId="0" applyFont="1" applyFill="1" applyBorder="1" applyAlignment="1">
      <alignment horizontal="center" wrapText="1"/>
    </xf>
    <xf numFmtId="166" fontId="3" fillId="0" borderId="29" xfId="2" applyNumberFormat="1" applyFont="1" applyBorder="1"/>
    <xf numFmtId="166" fontId="3" fillId="0" borderId="37" xfId="2" applyNumberFormat="1" applyFont="1" applyBorder="1"/>
    <xf numFmtId="166" fontId="3" fillId="0" borderId="25" xfId="2" applyNumberFormat="1" applyFont="1" applyBorder="1"/>
    <xf numFmtId="166" fontId="3" fillId="0" borderId="30" xfId="2" applyNumberFormat="1" applyFont="1" applyBorder="1"/>
    <xf numFmtId="166" fontId="3" fillId="0" borderId="27" xfId="2" applyNumberFormat="1" applyFont="1" applyBorder="1"/>
    <xf numFmtId="166" fontId="3" fillId="0" borderId="28" xfId="2" applyNumberFormat="1" applyFont="1" applyBorder="1"/>
    <xf numFmtId="0" fontId="4" fillId="0" borderId="5" xfId="0" applyFont="1" applyBorder="1" applyAlignment="1">
      <alignment horizontal="center"/>
    </xf>
    <xf numFmtId="166" fontId="4" fillId="0" borderId="7" xfId="2" applyNumberFormat="1" applyFont="1" applyBorder="1" applyAlignment="1">
      <alignment horizontal="right" indent="1"/>
    </xf>
    <xf numFmtId="0" fontId="5" fillId="0" borderId="0" xfId="0" applyFont="1"/>
    <xf numFmtId="165" fontId="3" fillId="5" borderId="1" xfId="1" applyNumberFormat="1" applyFont="1" applyFill="1" applyBorder="1"/>
    <xf numFmtId="10" fontId="4" fillId="5" borderId="1" xfId="2" applyNumberFormat="1" applyFont="1" applyFill="1" applyBorder="1"/>
    <xf numFmtId="0" fontId="3" fillId="0" borderId="0" xfId="0" applyFont="1" applyAlignment="1">
      <alignment horizontal="right"/>
    </xf>
    <xf numFmtId="0" fontId="0" fillId="0" borderId="0" xfId="2" applyNumberFormat="1" applyFont="1"/>
    <xf numFmtId="0" fontId="0" fillId="0" borderId="0" xfId="0" applyAlignment="1">
      <alignment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65" fontId="0" fillId="0" borderId="0" xfId="1" applyNumberFormat="1" applyFont="1"/>
    <xf numFmtId="0" fontId="2" fillId="0" borderId="0" xfId="0" applyFont="1" applyAlignment="1">
      <alignment horizontal="left"/>
    </xf>
    <xf numFmtId="10" fontId="3" fillId="0" borderId="1" xfId="2" applyNumberFormat="1" applyFont="1" applyBorder="1" applyAlignment="1">
      <alignment vertical="center"/>
    </xf>
    <xf numFmtId="10" fontId="3" fillId="4" borderId="1" xfId="2" applyNumberFormat="1" applyFont="1" applyFill="1" applyBorder="1" applyAlignment="1">
      <alignment vertical="center"/>
    </xf>
    <xf numFmtId="3" fontId="0" fillId="0" borderId="13" xfId="0" quotePrefix="1" applyNumberFormat="1" applyBorder="1" applyAlignment="1">
      <alignment horizontal="right" indent="1"/>
    </xf>
    <xf numFmtId="3" fontId="0" fillId="0" borderId="1" xfId="0" quotePrefix="1" applyNumberFormat="1" applyBorder="1" applyAlignment="1">
      <alignment horizontal="right" indent="1"/>
    </xf>
    <xf numFmtId="3" fontId="0" fillId="0" borderId="4" xfId="0" quotePrefix="1" applyNumberFormat="1" applyBorder="1" applyAlignment="1">
      <alignment horizontal="right" indent="1"/>
    </xf>
    <xf numFmtId="0" fontId="0" fillId="0" borderId="21" xfId="0" applyBorder="1"/>
    <xf numFmtId="0" fontId="2" fillId="3" borderId="15" xfId="0" applyFont="1" applyFill="1" applyBorder="1" applyAlignment="1">
      <alignment horizontal="center"/>
    </xf>
    <xf numFmtId="0" fontId="4" fillId="2" borderId="67" xfId="0" applyFont="1" applyFill="1" applyBorder="1" applyAlignment="1">
      <alignment horizontal="center" vertical="center"/>
    </xf>
    <xf numFmtId="166" fontId="3" fillId="0" borderId="72" xfId="2" applyNumberFormat="1" applyFont="1" applyBorder="1" applyAlignment="1">
      <alignment horizontal="center" vertical="center"/>
    </xf>
    <xf numFmtId="166" fontId="3" fillId="0" borderId="73" xfId="2" applyNumberFormat="1" applyFont="1" applyBorder="1" applyAlignment="1">
      <alignment horizontal="center" vertical="center"/>
    </xf>
    <xf numFmtId="166" fontId="3" fillId="3" borderId="72" xfId="2" applyNumberFormat="1" applyFont="1" applyFill="1" applyBorder="1" applyAlignment="1">
      <alignment horizontal="center" vertical="center"/>
    </xf>
    <xf numFmtId="166" fontId="3" fillId="3" borderId="73" xfId="2" applyNumberFormat="1" applyFont="1" applyFill="1" applyBorder="1" applyAlignment="1">
      <alignment horizontal="center" vertical="center"/>
    </xf>
    <xf numFmtId="167" fontId="3" fillId="0" borderId="75" xfId="1" applyNumberFormat="1" applyFont="1" applyBorder="1" applyAlignment="1">
      <alignment horizontal="center" vertical="center"/>
    </xf>
    <xf numFmtId="167" fontId="3" fillId="0" borderId="75" xfId="1" applyNumberFormat="1" applyFont="1" applyBorder="1" applyAlignment="1">
      <alignment horizontal="center" vertical="center" wrapText="1"/>
    </xf>
    <xf numFmtId="167" fontId="3" fillId="0" borderId="76" xfId="1" applyNumberFormat="1" applyFont="1" applyBorder="1" applyAlignment="1">
      <alignment horizontal="center" vertical="center"/>
    </xf>
    <xf numFmtId="167" fontId="4" fillId="0" borderId="74" xfId="1" applyNumberFormat="1" applyFont="1" applyBorder="1" applyAlignment="1">
      <alignment horizontal="center" vertical="center"/>
    </xf>
    <xf numFmtId="166" fontId="4" fillId="0" borderId="71" xfId="2" applyNumberFormat="1" applyFont="1" applyBorder="1" applyAlignment="1">
      <alignment horizontal="center" vertical="center"/>
    </xf>
    <xf numFmtId="166" fontId="4" fillId="0" borderId="56" xfId="2" applyNumberFormat="1" applyFont="1" applyBorder="1" applyAlignment="1">
      <alignment horizontal="center" vertical="center"/>
    </xf>
    <xf numFmtId="166" fontId="4" fillId="0" borderId="58" xfId="2" applyNumberFormat="1" applyFont="1" applyBorder="1" applyAlignment="1">
      <alignment horizontal="center" vertical="center"/>
    </xf>
    <xf numFmtId="167" fontId="4" fillId="0" borderId="55" xfId="1" applyNumberFormat="1" applyFont="1" applyBorder="1" applyAlignment="1">
      <alignment horizontal="center" vertical="center"/>
    </xf>
    <xf numFmtId="166" fontId="4" fillId="0" borderId="57" xfId="2" applyNumberFormat="1" applyFont="1" applyBorder="1" applyAlignment="1">
      <alignment horizontal="center" vertical="center"/>
    </xf>
    <xf numFmtId="10" fontId="0" fillId="3" borderId="13" xfId="2" applyNumberFormat="1" applyFont="1" applyFill="1" applyBorder="1" applyAlignment="1">
      <alignment horizontal="right" indent="1"/>
    </xf>
    <xf numFmtId="10" fontId="0" fillId="3" borderId="1" xfId="2" applyNumberFormat="1" applyFont="1" applyFill="1" applyBorder="1" applyAlignment="1">
      <alignment horizontal="right" indent="1"/>
    </xf>
    <xf numFmtId="10" fontId="0" fillId="3" borderId="4" xfId="2" applyNumberFormat="1" applyFont="1" applyFill="1" applyBorder="1" applyAlignment="1">
      <alignment horizontal="right" indent="1"/>
    </xf>
    <xf numFmtId="0" fontId="2" fillId="0" borderId="16" xfId="0" applyFont="1" applyBorder="1" applyAlignment="1">
      <alignment horizontal="center"/>
    </xf>
    <xf numFmtId="3" fontId="0" fillId="0" borderId="17" xfId="0" applyNumberFormat="1" applyBorder="1" applyAlignment="1">
      <alignment horizontal="right" indent="1"/>
    </xf>
    <xf numFmtId="3" fontId="0" fillId="0" borderId="18" xfId="0" applyNumberFormat="1" applyBorder="1" applyAlignment="1">
      <alignment horizontal="right" indent="1"/>
    </xf>
    <xf numFmtId="3" fontId="0" fillId="0" borderId="19" xfId="0" applyNumberFormat="1" applyBorder="1" applyAlignment="1">
      <alignment horizontal="right" indent="1"/>
    </xf>
    <xf numFmtId="10" fontId="2" fillId="2" borderId="11" xfId="2" applyNumberFormat="1" applyFont="1" applyFill="1" applyBorder="1" applyAlignment="1">
      <alignment horizontal="right" vertical="center" indent="1"/>
    </xf>
    <xf numFmtId="10" fontId="2" fillId="2" borderId="9" xfId="2" applyNumberFormat="1" applyFont="1" applyFill="1" applyBorder="1" applyAlignment="1">
      <alignment horizontal="right" vertical="center" indent="1"/>
    </xf>
    <xf numFmtId="10" fontId="2" fillId="2" borderId="10" xfId="2" applyNumberFormat="1" applyFont="1" applyFill="1" applyBorder="1" applyAlignment="1">
      <alignment horizontal="right" vertical="center" indent="1"/>
    </xf>
    <xf numFmtId="10" fontId="0" fillId="3" borderId="3" xfId="2" applyNumberFormat="1" applyFont="1" applyFill="1" applyBorder="1" applyAlignment="1">
      <alignment horizontal="right" indent="1"/>
    </xf>
    <xf numFmtId="10" fontId="0" fillId="0" borderId="3" xfId="2" applyNumberFormat="1" applyFont="1" applyBorder="1" applyAlignment="1">
      <alignment horizontal="right" indent="1"/>
    </xf>
    <xf numFmtId="10" fontId="0" fillId="0" borderId="26" xfId="2" applyNumberFormat="1" applyFont="1" applyBorder="1" applyAlignment="1">
      <alignment horizontal="right" indent="1"/>
    </xf>
    <xf numFmtId="10" fontId="0" fillId="0" borderId="12" xfId="2" applyNumberFormat="1" applyFont="1" applyBorder="1" applyAlignment="1">
      <alignment horizontal="right" indent="1"/>
    </xf>
    <xf numFmtId="10" fontId="0" fillId="0" borderId="6" xfId="2" applyNumberFormat="1" applyFont="1" applyBorder="1" applyAlignment="1">
      <alignment horizontal="right" indent="1"/>
    </xf>
    <xf numFmtId="10" fontId="0" fillId="0" borderId="7" xfId="2" applyNumberFormat="1" applyFont="1" applyBorder="1" applyAlignment="1">
      <alignment horizontal="right" indent="1"/>
    </xf>
    <xf numFmtId="0" fontId="4" fillId="3" borderId="3" xfId="0" applyFont="1" applyFill="1" applyBorder="1" applyAlignment="1">
      <alignment horizontal="center"/>
    </xf>
    <xf numFmtId="166" fontId="4" fillId="3" borderId="4" xfId="2" applyNumberFormat="1" applyFont="1" applyFill="1" applyBorder="1" applyAlignment="1">
      <alignment horizontal="right" indent="1"/>
    </xf>
    <xf numFmtId="166" fontId="3" fillId="3" borderId="1" xfId="2" applyNumberFormat="1" applyFont="1" applyFill="1" applyBorder="1"/>
    <xf numFmtId="165" fontId="4" fillId="0" borderId="0" xfId="1" applyNumberFormat="1" applyFont="1" applyAlignment="1">
      <alignment horizontal="left" indent="1"/>
    </xf>
    <xf numFmtId="10" fontId="4" fillId="3" borderId="48" xfId="2" applyNumberFormat="1" applyFont="1" applyFill="1" applyBorder="1" applyAlignment="1">
      <alignment horizontal="left" vertical="center" indent="1"/>
    </xf>
    <xf numFmtId="0" fontId="4" fillId="3" borderId="5" xfId="0" applyFont="1" applyFill="1" applyBorder="1" applyAlignment="1">
      <alignment horizontal="center"/>
    </xf>
    <xf numFmtId="166" fontId="4" fillId="3" borderId="7" xfId="2" applyNumberFormat="1" applyFont="1" applyFill="1" applyBorder="1" applyAlignment="1">
      <alignment horizontal="right" indent="1"/>
    </xf>
    <xf numFmtId="166" fontId="3" fillId="3" borderId="12" xfId="2" applyNumberFormat="1" applyFont="1" applyFill="1" applyBorder="1"/>
    <xf numFmtId="166" fontId="3" fillId="3" borderId="6" xfId="2" applyNumberFormat="1" applyFont="1" applyFill="1" applyBorder="1"/>
    <xf numFmtId="166" fontId="3" fillId="3" borderId="7" xfId="2" applyNumberFormat="1" applyFont="1" applyFill="1" applyBorder="1"/>
    <xf numFmtId="0" fontId="6" fillId="0" borderId="0" xfId="0" applyFont="1"/>
    <xf numFmtId="0" fontId="3" fillId="6" borderId="0" xfId="0" applyFont="1" applyFill="1" applyAlignment="1">
      <alignment horizontal="center"/>
    </xf>
    <xf numFmtId="169" fontId="3" fillId="0" borderId="0" xfId="0" applyNumberFormat="1" applyFont="1" applyAlignment="1">
      <alignment horizontal="center"/>
    </xf>
    <xf numFmtId="0" fontId="3" fillId="6" borderId="0" xfId="0" applyFont="1" applyFill="1"/>
    <xf numFmtId="0" fontId="4" fillId="2" borderId="70" xfId="0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vertical="center"/>
    </xf>
    <xf numFmtId="3" fontId="4" fillId="0" borderId="38" xfId="0" applyNumberFormat="1" applyFont="1" applyBorder="1" applyAlignment="1">
      <alignment horizontal="center" vertical="center"/>
    </xf>
    <xf numFmtId="166" fontId="14" fillId="0" borderId="0" xfId="2" applyNumberFormat="1" applyFont="1" applyFill="1" applyBorder="1" applyAlignment="1">
      <alignment horizontal="center" vertical="center"/>
    </xf>
    <xf numFmtId="166" fontId="14" fillId="0" borderId="44" xfId="2" applyNumberFormat="1" applyFont="1" applyFill="1" applyBorder="1" applyAlignment="1">
      <alignment horizontal="center" vertical="center"/>
    </xf>
    <xf numFmtId="166" fontId="14" fillId="0" borderId="68" xfId="2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166" fontId="14" fillId="0" borderId="52" xfId="2" applyNumberFormat="1" applyFont="1" applyFill="1" applyBorder="1" applyAlignment="1">
      <alignment horizontal="center" vertical="center"/>
    </xf>
    <xf numFmtId="166" fontId="14" fillId="0" borderId="21" xfId="2" applyNumberFormat="1" applyFont="1" applyFill="1" applyBorder="1" applyAlignment="1">
      <alignment horizontal="center" vertical="center"/>
    </xf>
    <xf numFmtId="166" fontId="14" fillId="0" borderId="77" xfId="2" applyNumberFormat="1" applyFont="1" applyFill="1" applyBorder="1" applyAlignment="1">
      <alignment horizontal="center" vertical="center"/>
    </xf>
    <xf numFmtId="3" fontId="4" fillId="3" borderId="51" xfId="0" applyNumberFormat="1" applyFont="1" applyFill="1" applyBorder="1" applyAlignment="1">
      <alignment horizontal="center" vertical="center"/>
    </xf>
    <xf numFmtId="166" fontId="14" fillId="3" borderId="69" xfId="2" applyNumberFormat="1" applyFont="1" applyFill="1" applyBorder="1" applyAlignment="1">
      <alignment horizontal="center" vertical="center"/>
    </xf>
    <xf numFmtId="166" fontId="14" fillId="3" borderId="50" xfId="2" applyNumberFormat="1" applyFont="1" applyFill="1" applyBorder="1" applyAlignment="1">
      <alignment horizontal="center" vertical="center"/>
    </xf>
    <xf numFmtId="166" fontId="14" fillId="3" borderId="31" xfId="2" applyNumberFormat="1" applyFont="1" applyFill="1" applyBorder="1" applyAlignment="1">
      <alignment horizontal="center" vertical="center"/>
    </xf>
    <xf numFmtId="3" fontId="4" fillId="3" borderId="38" xfId="0" applyNumberFormat="1" applyFont="1" applyFill="1" applyBorder="1" applyAlignment="1">
      <alignment horizontal="center" vertical="center"/>
    </xf>
    <xf numFmtId="166" fontId="14" fillId="3" borderId="0" xfId="2" applyNumberFormat="1" applyFont="1" applyFill="1" applyBorder="1" applyAlignment="1">
      <alignment horizontal="center" vertical="center"/>
    </xf>
    <xf numFmtId="166" fontId="14" fillId="3" borderId="44" xfId="2" applyNumberFormat="1" applyFont="1" applyFill="1" applyBorder="1" applyAlignment="1">
      <alignment horizontal="center" vertical="center"/>
    </xf>
    <xf numFmtId="166" fontId="14" fillId="3" borderId="68" xfId="2" applyNumberFormat="1" applyFont="1" applyFill="1" applyBorder="1" applyAlignment="1">
      <alignment horizontal="center" vertical="center"/>
    </xf>
    <xf numFmtId="165" fontId="3" fillId="0" borderId="4" xfId="1" applyNumberFormat="1" applyFont="1" applyBorder="1"/>
    <xf numFmtId="165" fontId="3" fillId="0" borderId="28" xfId="1" applyNumberFormat="1" applyFont="1" applyBorder="1"/>
    <xf numFmtId="165" fontId="3" fillId="0" borderId="7" xfId="1" applyNumberFormat="1" applyFont="1" applyBorder="1"/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/>
    </xf>
    <xf numFmtId="10" fontId="2" fillId="0" borderId="0" xfId="0" applyNumberFormat="1" applyFont="1"/>
    <xf numFmtId="0" fontId="4" fillId="0" borderId="13" xfId="0" applyFont="1" applyBorder="1" applyAlignment="1">
      <alignment horizontal="center"/>
    </xf>
    <xf numFmtId="166" fontId="3" fillId="0" borderId="22" xfId="2" applyNumberFormat="1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6" fontId="3" fillId="0" borderId="23" xfId="2" applyNumberFormat="1" applyFont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165" fontId="3" fillId="4" borderId="1" xfId="1" applyNumberFormat="1" applyFont="1" applyFill="1" applyBorder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5" xfId="0" applyBorder="1"/>
    <xf numFmtId="3" fontId="0" fillId="0" borderId="3" xfId="0" applyNumberFormat="1" applyBorder="1" applyAlignment="1">
      <alignment horizontal="right" indent="1"/>
    </xf>
    <xf numFmtId="3" fontId="0" fillId="0" borderId="24" xfId="0" applyNumberFormat="1" applyBorder="1" applyAlignment="1">
      <alignment horizontal="right" indent="1"/>
    </xf>
    <xf numFmtId="10" fontId="2" fillId="2" borderId="8" xfId="2" applyNumberFormat="1" applyFont="1" applyFill="1" applyBorder="1" applyAlignment="1">
      <alignment horizontal="right" vertical="center" indent="1"/>
    </xf>
    <xf numFmtId="10" fontId="11" fillId="2" borderId="10" xfId="2" applyNumberFormat="1" applyFont="1" applyFill="1" applyBorder="1" applyAlignment="1">
      <alignment horizontal="center" wrapText="1"/>
    </xf>
    <xf numFmtId="10" fontId="4" fillId="3" borderId="4" xfId="2" applyNumberFormat="1" applyFont="1" applyFill="1" applyBorder="1" applyAlignment="1">
      <alignment horizontal="right" indent="1"/>
    </xf>
    <xf numFmtId="10" fontId="4" fillId="0" borderId="4" xfId="2" applyNumberFormat="1" applyFont="1" applyBorder="1" applyAlignment="1">
      <alignment horizontal="right" indent="1"/>
    </xf>
    <xf numFmtId="10" fontId="4" fillId="0" borderId="28" xfId="2" applyNumberFormat="1" applyFont="1" applyBorder="1" applyAlignment="1">
      <alignment horizontal="right" indent="1"/>
    </xf>
    <xf numFmtId="10" fontId="4" fillId="0" borderId="7" xfId="2" applyNumberFormat="1" applyFont="1" applyBorder="1" applyAlignment="1">
      <alignment horizontal="right" indent="1"/>
    </xf>
    <xf numFmtId="166" fontId="13" fillId="0" borderId="29" xfId="2" applyNumberFormat="1" applyFont="1" applyBorder="1"/>
    <xf numFmtId="166" fontId="13" fillId="0" borderId="37" xfId="2" applyNumberFormat="1" applyFont="1" applyBorder="1"/>
    <xf numFmtId="166" fontId="13" fillId="0" borderId="25" xfId="2" applyNumberFormat="1" applyFont="1" applyBorder="1"/>
    <xf numFmtId="166" fontId="13" fillId="3" borderId="13" xfId="2" applyNumberFormat="1" applyFont="1" applyFill="1" applyBorder="1"/>
    <xf numFmtId="166" fontId="13" fillId="3" borderId="1" xfId="2" applyNumberFormat="1" applyFont="1" applyFill="1" applyBorder="1"/>
    <xf numFmtId="166" fontId="13" fillId="3" borderId="4" xfId="2" applyNumberFormat="1" applyFont="1" applyFill="1" applyBorder="1"/>
    <xf numFmtId="166" fontId="13" fillId="0" borderId="13" xfId="2" applyNumberFormat="1" applyFont="1" applyBorder="1"/>
    <xf numFmtId="166" fontId="13" fillId="0" borderId="1" xfId="2" applyNumberFormat="1" applyFont="1" applyBorder="1"/>
    <xf numFmtId="166" fontId="13" fillId="0" borderId="4" xfId="2" applyNumberFormat="1" applyFont="1" applyBorder="1"/>
    <xf numFmtId="166" fontId="13" fillId="0" borderId="30" xfId="2" applyNumberFormat="1" applyFont="1" applyBorder="1"/>
    <xf numFmtId="166" fontId="13" fillId="0" borderId="27" xfId="2" applyNumberFormat="1" applyFont="1" applyBorder="1"/>
    <xf numFmtId="166" fontId="13" fillId="0" borderId="28" xfId="2" applyNumberFormat="1" applyFont="1" applyBorder="1"/>
    <xf numFmtId="0" fontId="3" fillId="0" borderId="5" xfId="0" applyFont="1" applyBorder="1" applyAlignment="1">
      <alignment horizontal="left" indent="1"/>
    </xf>
    <xf numFmtId="0" fontId="3" fillId="0" borderId="3" xfId="0" applyFont="1" applyBorder="1" applyAlignment="1">
      <alignment horizontal="left" indent="1"/>
    </xf>
    <xf numFmtId="0" fontId="3" fillId="0" borderId="26" xfId="0" applyFont="1" applyBorder="1" applyAlignment="1">
      <alignment horizontal="left" indent="1"/>
    </xf>
    <xf numFmtId="0" fontId="13" fillId="0" borderId="0" xfId="0" applyFont="1"/>
    <xf numFmtId="0" fontId="8" fillId="2" borderId="11" xfId="0" applyFont="1" applyFill="1" applyBorder="1" applyAlignment="1">
      <alignment horizontal="center" vertical="center" textRotation="179"/>
    </xf>
    <xf numFmtId="0" fontId="8" fillId="2" borderId="9" xfId="0" applyFont="1" applyFill="1" applyBorder="1" applyAlignment="1">
      <alignment horizontal="center" vertical="center" textRotation="179"/>
    </xf>
    <xf numFmtId="0" fontId="8" fillId="2" borderId="10" xfId="0" applyFont="1" applyFill="1" applyBorder="1" applyAlignment="1">
      <alignment horizontal="center" vertical="center" textRotation="179"/>
    </xf>
    <xf numFmtId="0" fontId="2" fillId="2" borderId="20" xfId="0" applyFont="1" applyFill="1" applyBorder="1" applyAlignment="1">
      <alignment horizontal="center" vertical="center" wrapText="1"/>
    </xf>
    <xf numFmtId="3" fontId="0" fillId="0" borderId="22" xfId="0" applyNumberFormat="1" applyBorder="1" applyAlignment="1">
      <alignment horizontal="right" indent="1"/>
    </xf>
    <xf numFmtId="3" fontId="0" fillId="0" borderId="23" xfId="0" applyNumberFormat="1" applyBorder="1" applyAlignment="1">
      <alignment horizontal="right" indent="1"/>
    </xf>
    <xf numFmtId="10" fontId="2" fillId="2" borderId="20" xfId="2" applyNumberFormat="1" applyFont="1" applyFill="1" applyBorder="1" applyAlignment="1">
      <alignment horizontal="right" vertical="center" indent="1"/>
    </xf>
    <xf numFmtId="10" fontId="0" fillId="0" borderId="21" xfId="2" applyNumberFormat="1" applyFont="1" applyBorder="1" applyAlignment="1">
      <alignment horizontal="right" indent="1"/>
    </xf>
    <xf numFmtId="10" fontId="0" fillId="3" borderId="22" xfId="2" applyNumberFormat="1" applyFont="1" applyFill="1" applyBorder="1" applyAlignment="1">
      <alignment horizontal="right" indent="1"/>
    </xf>
    <xf numFmtId="10" fontId="0" fillId="0" borderId="22" xfId="2" applyNumberFormat="1" applyFont="1" applyBorder="1" applyAlignment="1">
      <alignment horizontal="right" indent="1"/>
    </xf>
    <xf numFmtId="10" fontId="0" fillId="0" borderId="43" xfId="2" applyNumberFormat="1" applyFont="1" applyBorder="1" applyAlignment="1">
      <alignment horizontal="right" indent="1"/>
    </xf>
    <xf numFmtId="10" fontId="0" fillId="0" borderId="5" xfId="2" applyNumberFormat="1" applyFont="1" applyBorder="1" applyAlignment="1">
      <alignment horizontal="right" indent="1"/>
    </xf>
    <xf numFmtId="10" fontId="4" fillId="0" borderId="45" xfId="2" applyNumberFormat="1" applyFont="1" applyBorder="1" applyAlignment="1">
      <alignment horizontal="center" vertical="center"/>
    </xf>
    <xf numFmtId="166" fontId="13" fillId="0" borderId="12" xfId="2" applyNumberFormat="1" applyFont="1" applyBorder="1"/>
    <xf numFmtId="166" fontId="13" fillId="0" borderId="6" xfId="2" applyNumberFormat="1" applyFont="1" applyBorder="1"/>
    <xf numFmtId="0" fontId="11" fillId="2" borderId="11" xfId="0" applyFont="1" applyFill="1" applyBorder="1" applyAlignment="1">
      <alignment horizontal="center" vertical="center" textRotation="180"/>
    </xf>
    <xf numFmtId="0" fontId="11" fillId="2" borderId="9" xfId="0" applyFont="1" applyFill="1" applyBorder="1" applyAlignment="1">
      <alignment horizontal="center" vertical="center" textRotation="180"/>
    </xf>
    <xf numFmtId="0" fontId="11" fillId="2" borderId="10" xfId="0" applyFont="1" applyFill="1" applyBorder="1" applyAlignment="1">
      <alignment horizontal="center" vertical="center" textRotation="180"/>
    </xf>
    <xf numFmtId="166" fontId="2" fillId="2" borderId="1" xfId="2" quotePrefix="1" applyNumberFormat="1" applyFont="1" applyFill="1" applyBorder="1" applyAlignment="1">
      <alignment horizontal="right" vertical="center" indent="1"/>
    </xf>
    <xf numFmtId="166" fontId="2" fillId="2" borderId="4" xfId="2" quotePrefix="1" applyNumberFormat="1" applyFont="1" applyFill="1" applyBorder="1" applyAlignment="1">
      <alignment horizontal="right" vertical="center" indent="1"/>
    </xf>
    <xf numFmtId="166" fontId="0" fillId="0" borderId="13" xfId="2" quotePrefix="1" applyNumberFormat="1" applyFont="1" applyBorder="1" applyAlignment="1">
      <alignment horizontal="right" indent="1"/>
    </xf>
    <xf numFmtId="166" fontId="0" fillId="0" borderId="1" xfId="2" quotePrefix="1" applyNumberFormat="1" applyFont="1" applyBorder="1" applyAlignment="1">
      <alignment horizontal="right" indent="1"/>
    </xf>
    <xf numFmtId="166" fontId="0" fillId="0" borderId="4" xfId="2" quotePrefix="1" applyNumberFormat="1" applyFont="1" applyBorder="1" applyAlignment="1">
      <alignment horizontal="right" indent="1"/>
    </xf>
    <xf numFmtId="166" fontId="0" fillId="3" borderId="13" xfId="2" quotePrefix="1" applyNumberFormat="1" applyFont="1" applyFill="1" applyBorder="1" applyAlignment="1">
      <alignment horizontal="right" indent="1"/>
    </xf>
    <xf numFmtId="166" fontId="0" fillId="3" borderId="1" xfId="2" quotePrefix="1" applyNumberFormat="1" applyFont="1" applyFill="1" applyBorder="1" applyAlignment="1">
      <alignment horizontal="right" indent="1"/>
    </xf>
    <xf numFmtId="166" fontId="0" fillId="3" borderId="4" xfId="2" quotePrefix="1" applyNumberFormat="1" applyFont="1" applyFill="1" applyBorder="1" applyAlignment="1">
      <alignment horizontal="right" indent="1"/>
    </xf>
    <xf numFmtId="166" fontId="0" fillId="0" borderId="30" xfId="2" quotePrefix="1" applyNumberFormat="1" applyFont="1" applyBorder="1" applyAlignment="1">
      <alignment horizontal="right" indent="1"/>
    </xf>
    <xf numFmtId="166" fontId="0" fillId="0" borderId="27" xfId="2" quotePrefix="1" applyNumberFormat="1" applyFont="1" applyBorder="1" applyAlignment="1">
      <alignment horizontal="right" indent="1"/>
    </xf>
    <xf numFmtId="166" fontId="0" fillId="0" borderId="28" xfId="2" quotePrefix="1" applyNumberFormat="1" applyFont="1" applyBorder="1" applyAlignment="1">
      <alignment horizontal="right" indent="1"/>
    </xf>
    <xf numFmtId="166" fontId="4" fillId="0" borderId="55" xfId="2" applyNumberFormat="1" applyFont="1" applyBorder="1" applyAlignment="1">
      <alignment horizontal="center" vertical="center"/>
    </xf>
    <xf numFmtId="166" fontId="3" fillId="0" borderId="59" xfId="2" applyNumberFormat="1" applyFont="1" applyBorder="1" applyAlignment="1">
      <alignment horizontal="center" vertical="center"/>
    </xf>
    <xf numFmtId="166" fontId="3" fillId="0" borderId="63" xfId="2" applyNumberFormat="1" applyFont="1" applyBorder="1" applyAlignment="1">
      <alignment horizontal="center" vertical="center"/>
    </xf>
    <xf numFmtId="166" fontId="3" fillId="3" borderId="59" xfId="2" applyNumberFormat="1" applyFont="1" applyFill="1" applyBorder="1" applyAlignment="1">
      <alignment horizontal="center" vertical="center"/>
    </xf>
    <xf numFmtId="166" fontId="3" fillId="3" borderId="63" xfId="2" applyNumberFormat="1" applyFont="1" applyFill="1" applyBorder="1" applyAlignment="1">
      <alignment horizontal="center" vertical="center"/>
    </xf>
    <xf numFmtId="166" fontId="13" fillId="3" borderId="12" xfId="2" applyNumberFormat="1" applyFont="1" applyFill="1" applyBorder="1"/>
    <xf numFmtId="166" fontId="13" fillId="3" borderId="6" xfId="2" applyNumberFormat="1" applyFont="1" applyFill="1" applyBorder="1"/>
    <xf numFmtId="166" fontId="13" fillId="3" borderId="7" xfId="2" applyNumberFormat="1" applyFont="1" applyFill="1" applyBorder="1"/>
    <xf numFmtId="0" fontId="4" fillId="3" borderId="26" xfId="0" applyFont="1" applyFill="1" applyBorder="1" applyAlignment="1">
      <alignment horizontal="center"/>
    </xf>
    <xf numFmtId="166" fontId="4" fillId="3" borderId="28" xfId="2" applyNumberFormat="1" applyFont="1" applyFill="1" applyBorder="1" applyAlignment="1">
      <alignment horizontal="right" indent="1"/>
    </xf>
    <xf numFmtId="166" fontId="13" fillId="3" borderId="30" xfId="2" applyNumberFormat="1" applyFont="1" applyFill="1" applyBorder="1"/>
    <xf numFmtId="166" fontId="13" fillId="3" borderId="27" xfId="2" applyNumberFormat="1" applyFont="1" applyFill="1" applyBorder="1"/>
    <xf numFmtId="166" fontId="13" fillId="3" borderId="28" xfId="2" applyNumberFormat="1" applyFont="1" applyFill="1" applyBorder="1"/>
    <xf numFmtId="166" fontId="11" fillId="2" borderId="10" xfId="2" applyNumberFormat="1" applyFont="1" applyFill="1" applyBorder="1" applyAlignment="1">
      <alignment horizontal="center" wrapText="1"/>
    </xf>
    <xf numFmtId="10" fontId="4" fillId="3" borderId="28" xfId="2" applyNumberFormat="1" applyFont="1" applyFill="1" applyBorder="1" applyAlignment="1">
      <alignment horizontal="right" indent="1"/>
    </xf>
    <xf numFmtId="10" fontId="3" fillId="3" borderId="1" xfId="2" applyNumberFormat="1" applyFont="1" applyFill="1" applyBorder="1" applyAlignment="1">
      <alignment horizontal="center" vertical="center"/>
    </xf>
    <xf numFmtId="10" fontId="3" fillId="3" borderId="4" xfId="2" applyNumberFormat="1" applyFont="1" applyFill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10" fontId="3" fillId="0" borderId="4" xfId="2" applyNumberFormat="1" applyFont="1" applyBorder="1" applyAlignment="1">
      <alignment horizontal="center" vertical="center"/>
    </xf>
    <xf numFmtId="10" fontId="3" fillId="3" borderId="13" xfId="2" applyNumberFormat="1" applyFont="1" applyFill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10" fontId="4" fillId="3" borderId="15" xfId="2" applyNumberFormat="1" applyFont="1" applyFill="1" applyBorder="1" applyAlignment="1">
      <alignment horizontal="left" vertical="center" indent="1"/>
    </xf>
    <xf numFmtId="10" fontId="4" fillId="0" borderId="15" xfId="2" applyNumberFormat="1" applyFont="1" applyBorder="1" applyAlignment="1">
      <alignment horizontal="left" vertical="center" indent="1"/>
    </xf>
    <xf numFmtId="10" fontId="4" fillId="0" borderId="1" xfId="2" applyNumberFormat="1" applyFont="1" applyBorder="1" applyAlignment="1">
      <alignment horizontal="left" vertical="center" indent="1"/>
    </xf>
    <xf numFmtId="10" fontId="4" fillId="3" borderId="1" xfId="2" applyNumberFormat="1" applyFont="1" applyFill="1" applyBorder="1" applyAlignment="1">
      <alignment horizontal="left" vertical="center" indent="1"/>
    </xf>
    <xf numFmtId="10" fontId="3" fillId="0" borderId="6" xfId="2" applyNumberFormat="1" applyFont="1" applyBorder="1" applyAlignment="1">
      <alignment horizontal="center" vertical="center"/>
    </xf>
    <xf numFmtId="10" fontId="3" fillId="0" borderId="7" xfId="2" applyNumberFormat="1" applyFont="1" applyBorder="1" applyAlignment="1">
      <alignment horizontal="center" vertical="center"/>
    </xf>
    <xf numFmtId="10" fontId="3" fillId="0" borderId="22" xfId="2" applyNumberFormat="1" applyFont="1" applyBorder="1" applyAlignment="1">
      <alignment horizontal="center" vertical="center"/>
    </xf>
    <xf numFmtId="10" fontId="3" fillId="3" borderId="22" xfId="2" applyNumberFormat="1" applyFont="1" applyFill="1" applyBorder="1" applyAlignment="1">
      <alignment horizontal="center" vertical="center"/>
    </xf>
    <xf numFmtId="10" fontId="4" fillId="0" borderId="1" xfId="2" applyNumberFormat="1" applyFont="1" applyBorder="1" applyAlignment="1">
      <alignment horizontal="center" vertical="center"/>
    </xf>
    <xf numFmtId="10" fontId="4" fillId="0" borderId="22" xfId="2" applyNumberFormat="1" applyFont="1" applyBorder="1" applyAlignment="1">
      <alignment horizontal="center" vertical="center"/>
    </xf>
    <xf numFmtId="10" fontId="4" fillId="0" borderId="4" xfId="2" applyNumberFormat="1" applyFont="1" applyBorder="1" applyAlignment="1">
      <alignment horizontal="center" vertical="center"/>
    </xf>
    <xf numFmtId="166" fontId="13" fillId="0" borderId="7" xfId="2" applyNumberFormat="1" applyFont="1" applyBorder="1"/>
    <xf numFmtId="166" fontId="2" fillId="2" borderId="13" xfId="2" quotePrefix="1" applyNumberFormat="1" applyFont="1" applyFill="1" applyBorder="1" applyAlignment="1">
      <alignment horizontal="right" vertical="center" indent="1"/>
    </xf>
    <xf numFmtId="170" fontId="0" fillId="0" borderId="7" xfId="0" applyNumberFormat="1" applyBorder="1" applyAlignment="1">
      <alignment horizontal="right" indent="2"/>
    </xf>
    <xf numFmtId="170" fontId="0" fillId="0" borderId="4" xfId="0" applyNumberFormat="1" applyBorder="1" applyAlignment="1">
      <alignment horizontal="right" indent="2"/>
    </xf>
    <xf numFmtId="170" fontId="0" fillId="0" borderId="28" xfId="0" applyNumberFormat="1" applyBorder="1" applyAlignment="1">
      <alignment horizontal="right" indent="2"/>
    </xf>
    <xf numFmtId="0" fontId="2" fillId="0" borderId="0" xfId="0" quotePrefix="1" applyFont="1"/>
    <xf numFmtId="166" fontId="3" fillId="3" borderId="78" xfId="2" applyNumberFormat="1" applyFont="1" applyFill="1" applyBorder="1" applyAlignment="1">
      <alignment horizontal="center" vertical="center"/>
    </xf>
    <xf numFmtId="166" fontId="3" fillId="3" borderId="79" xfId="2" applyNumberFormat="1" applyFont="1" applyFill="1" applyBorder="1" applyAlignment="1">
      <alignment horizontal="center" vertical="center"/>
    </xf>
    <xf numFmtId="166" fontId="3" fillId="3" borderId="80" xfId="2" applyNumberFormat="1" applyFont="1" applyFill="1" applyBorder="1" applyAlignment="1">
      <alignment horizontal="center" vertical="center"/>
    </xf>
    <xf numFmtId="166" fontId="3" fillId="3" borderId="81" xfId="2" applyNumberFormat="1" applyFont="1" applyFill="1" applyBorder="1" applyAlignment="1">
      <alignment horizontal="center" vertical="center"/>
    </xf>
    <xf numFmtId="166" fontId="4" fillId="3" borderId="29" xfId="2" applyNumberFormat="1" applyFont="1" applyFill="1" applyBorder="1" applyAlignment="1">
      <alignment horizontal="center" vertical="center"/>
    </xf>
    <xf numFmtId="166" fontId="4" fillId="3" borderId="42" xfId="2" applyNumberFormat="1" applyFont="1" applyFill="1" applyBorder="1" applyAlignment="1">
      <alignment horizontal="center" vertical="center"/>
    </xf>
    <xf numFmtId="166" fontId="4" fillId="3" borderId="36" xfId="2" applyNumberFormat="1" applyFont="1" applyFill="1" applyBorder="1" applyAlignment="1">
      <alignment horizontal="center" vertical="center"/>
    </xf>
    <xf numFmtId="166" fontId="4" fillId="3" borderId="37" xfId="2" applyNumberFormat="1" applyFont="1" applyFill="1" applyBorder="1" applyAlignment="1">
      <alignment horizontal="center" vertical="center"/>
    </xf>
    <xf numFmtId="166" fontId="3" fillId="0" borderId="78" xfId="2" applyNumberFormat="1" applyFont="1" applyBorder="1" applyAlignment="1">
      <alignment horizontal="center" vertical="center"/>
    </xf>
    <xf numFmtId="166" fontId="3" fillId="0" borderId="79" xfId="2" applyNumberFormat="1" applyFont="1" applyBorder="1" applyAlignment="1">
      <alignment horizontal="center" vertical="center"/>
    </xf>
    <xf numFmtId="166" fontId="3" fillId="0" borderId="80" xfId="2" applyNumberFormat="1" applyFont="1" applyBorder="1" applyAlignment="1">
      <alignment horizontal="center" vertical="center"/>
    </xf>
    <xf numFmtId="166" fontId="3" fillId="0" borderId="81" xfId="2" applyNumberFormat="1" applyFont="1" applyBorder="1" applyAlignment="1">
      <alignment horizontal="center" vertical="center"/>
    </xf>
    <xf numFmtId="166" fontId="4" fillId="0" borderId="29" xfId="2" applyNumberFormat="1" applyFont="1" applyBorder="1" applyAlignment="1">
      <alignment horizontal="center" vertical="center"/>
    </xf>
    <xf numFmtId="166" fontId="4" fillId="0" borderId="42" xfId="2" applyNumberFormat="1" applyFont="1" applyBorder="1" applyAlignment="1">
      <alignment horizontal="center" vertical="center"/>
    </xf>
    <xf numFmtId="166" fontId="4" fillId="0" borderId="36" xfId="2" applyNumberFormat="1" applyFont="1" applyBorder="1" applyAlignment="1">
      <alignment horizontal="center" vertical="center"/>
    </xf>
    <xf numFmtId="166" fontId="4" fillId="0" borderId="37" xfId="2" applyNumberFormat="1" applyFont="1" applyBorder="1" applyAlignment="1">
      <alignment horizontal="center" vertical="center"/>
    </xf>
    <xf numFmtId="166" fontId="3" fillId="0" borderId="36" xfId="2" applyNumberFormat="1" applyFont="1" applyBorder="1" applyAlignment="1">
      <alignment horizontal="center" vertical="center"/>
    </xf>
    <xf numFmtId="166" fontId="3" fillId="0" borderId="37" xfId="2" applyNumberFormat="1" applyFont="1" applyBorder="1" applyAlignment="1">
      <alignment horizontal="center" vertical="center"/>
    </xf>
    <xf numFmtId="167" fontId="3" fillId="0" borderId="80" xfId="1" applyNumberFormat="1" applyFont="1" applyBorder="1" applyAlignment="1">
      <alignment horizontal="center" vertical="center"/>
    </xf>
    <xf numFmtId="166" fontId="3" fillId="0" borderId="82" xfId="2" applyNumberFormat="1" applyFont="1" applyBorder="1" applyAlignment="1">
      <alignment horizontal="center" vertical="center"/>
    </xf>
    <xf numFmtId="167" fontId="4" fillId="0" borderId="36" xfId="1" applyNumberFormat="1" applyFont="1" applyBorder="1" applyAlignment="1">
      <alignment horizontal="center" vertical="center"/>
    </xf>
    <xf numFmtId="166" fontId="4" fillId="0" borderId="25" xfId="2" applyNumberFormat="1" applyFont="1" applyBorder="1" applyAlignment="1">
      <alignment horizontal="center" vertical="center"/>
    </xf>
    <xf numFmtId="167" fontId="3" fillId="3" borderId="80" xfId="1" applyNumberFormat="1" applyFont="1" applyFill="1" applyBorder="1" applyAlignment="1">
      <alignment horizontal="center" vertical="center"/>
    </xf>
    <xf numFmtId="166" fontId="3" fillId="3" borderId="82" xfId="2" applyNumberFormat="1" applyFont="1" applyFill="1" applyBorder="1" applyAlignment="1">
      <alignment horizontal="center" vertical="center"/>
    </xf>
    <xf numFmtId="167" fontId="4" fillId="3" borderId="36" xfId="1" applyNumberFormat="1" applyFont="1" applyFill="1" applyBorder="1" applyAlignment="1">
      <alignment horizontal="center" vertical="center"/>
    </xf>
    <xf numFmtId="166" fontId="4" fillId="3" borderId="25" xfId="2" applyNumberFormat="1" applyFont="1" applyFill="1" applyBorder="1" applyAlignment="1">
      <alignment horizontal="center" vertical="center"/>
    </xf>
    <xf numFmtId="0" fontId="3" fillId="0" borderId="47" xfId="0" applyFont="1" applyBorder="1"/>
    <xf numFmtId="0" fontId="8" fillId="2" borderId="1" xfId="0" applyFont="1" applyFill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right" vertical="center" indent="1"/>
    </xf>
    <xf numFmtId="166" fontId="4" fillId="2" borderId="1" xfId="2" applyNumberFormat="1" applyFont="1" applyFill="1" applyBorder="1" applyAlignment="1">
      <alignment horizontal="right" vertical="center" indent="1"/>
    </xf>
    <xf numFmtId="166" fontId="3" fillId="0" borderId="1" xfId="2" applyNumberFormat="1" applyFont="1" applyBorder="1" applyAlignment="1">
      <alignment horizontal="right" vertical="center" indent="1"/>
    </xf>
    <xf numFmtId="164" fontId="3" fillId="0" borderId="0" xfId="1" applyFont="1" applyAlignment="1">
      <alignment horizontal="center"/>
    </xf>
    <xf numFmtId="3" fontId="16" fillId="3" borderId="1" xfId="2" applyNumberFormat="1" applyFont="1" applyFill="1" applyBorder="1" applyAlignment="1">
      <alignment horizontal="right" indent="1"/>
    </xf>
    <xf numFmtId="3" fontId="16" fillId="0" borderId="1" xfId="2" applyNumberFormat="1" applyFont="1" applyBorder="1" applyAlignment="1">
      <alignment horizontal="right" indent="1"/>
    </xf>
    <xf numFmtId="0" fontId="16" fillId="0" borderId="0" xfId="0" applyFont="1"/>
    <xf numFmtId="9" fontId="16" fillId="3" borderId="1" xfId="2" applyFont="1" applyFill="1" applyBorder="1" applyAlignment="1"/>
    <xf numFmtId="9" fontId="16" fillId="0" borderId="1" xfId="2" applyFont="1" applyBorder="1" applyAlignment="1"/>
    <xf numFmtId="0" fontId="4" fillId="0" borderId="1" xfId="0" applyFont="1" applyBorder="1" applyAlignment="1">
      <alignment horizontal="left" indent="1"/>
    </xf>
    <xf numFmtId="0" fontId="4" fillId="3" borderId="1" xfId="0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left" vertical="center" indent="1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indent="1"/>
    </xf>
    <xf numFmtId="3" fontId="16" fillId="0" borderId="1" xfId="0" applyNumberFormat="1" applyFont="1" applyBorder="1" applyAlignment="1">
      <alignment horizontal="right" indent="1"/>
    </xf>
    <xf numFmtId="0" fontId="15" fillId="3" borderId="1" xfId="0" applyFont="1" applyFill="1" applyBorder="1" applyAlignment="1">
      <alignment horizontal="left" indent="1"/>
    </xf>
    <xf numFmtId="3" fontId="16" fillId="3" borderId="1" xfId="0" applyNumberFormat="1" applyFont="1" applyFill="1" applyBorder="1" applyAlignment="1">
      <alignment horizontal="right" indent="1"/>
    </xf>
    <xf numFmtId="0" fontId="15" fillId="2" borderId="1" xfId="0" applyFont="1" applyFill="1" applyBorder="1" applyAlignment="1">
      <alignment horizontal="left" vertical="center" indent="1"/>
    </xf>
    <xf numFmtId="3" fontId="15" fillId="2" borderId="1" xfId="0" applyNumberFormat="1" applyFont="1" applyFill="1" applyBorder="1" applyAlignment="1">
      <alignment horizontal="right" vertical="center" indent="1"/>
    </xf>
    <xf numFmtId="3" fontId="15" fillId="2" borderId="1" xfId="0" applyNumberFormat="1" applyFont="1" applyFill="1" applyBorder="1" applyAlignment="1">
      <alignment horizontal="center" vertical="center"/>
    </xf>
    <xf numFmtId="3" fontId="15" fillId="2" borderId="1" xfId="2" applyNumberFormat="1" applyFont="1" applyFill="1" applyBorder="1" applyAlignment="1">
      <alignment horizontal="right" vertical="center" indent="1"/>
    </xf>
    <xf numFmtId="9" fontId="15" fillId="2" borderId="1" xfId="2" applyFont="1" applyFill="1" applyBorder="1" applyAlignment="1">
      <alignment vertical="center"/>
    </xf>
    <xf numFmtId="10" fontId="3" fillId="0" borderId="1" xfId="2" applyNumberFormat="1" applyFont="1" applyBorder="1"/>
    <xf numFmtId="10" fontId="3" fillId="3" borderId="1" xfId="2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vertical="center"/>
    </xf>
    <xf numFmtId="10" fontId="4" fillId="2" borderId="1" xfId="2" applyNumberFormat="1" applyFont="1" applyFill="1" applyBorder="1" applyAlignment="1">
      <alignment vertical="center"/>
    </xf>
    <xf numFmtId="165" fontId="16" fillId="0" borderId="1" xfId="1" applyNumberFormat="1" applyFont="1" applyBorder="1"/>
    <xf numFmtId="10" fontId="16" fillId="0" borderId="1" xfId="2" applyNumberFormat="1" applyFont="1" applyBorder="1"/>
    <xf numFmtId="10" fontId="15" fillId="0" borderId="1" xfId="2" applyNumberFormat="1" applyFont="1" applyBorder="1"/>
    <xf numFmtId="165" fontId="16" fillId="3" borderId="1" xfId="1" applyNumberFormat="1" applyFont="1" applyFill="1" applyBorder="1"/>
    <xf numFmtId="10" fontId="16" fillId="3" borderId="1" xfId="2" applyNumberFormat="1" applyFont="1" applyFill="1" applyBorder="1"/>
    <xf numFmtId="10" fontId="15" fillId="3" borderId="1" xfId="2" applyNumberFormat="1" applyFont="1" applyFill="1" applyBorder="1"/>
    <xf numFmtId="0" fontId="4" fillId="0" borderId="1" xfId="0" applyFont="1" applyBorder="1" applyAlignment="1">
      <alignment horizontal="left" wrapText="1" indent="1"/>
    </xf>
    <xf numFmtId="0" fontId="4" fillId="3" borderId="1" xfId="0" applyFont="1" applyFill="1" applyBorder="1" applyAlignment="1">
      <alignment horizontal="left" wrapText="1" indent="1"/>
    </xf>
    <xf numFmtId="0" fontId="1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0" fontId="2" fillId="2" borderId="1" xfId="2" applyNumberFormat="1" applyFont="1" applyFill="1" applyBorder="1" applyAlignment="1">
      <alignment horizontal="right" vertical="center" indent="1"/>
    </xf>
    <xf numFmtId="0" fontId="2" fillId="3" borderId="1" xfId="0" applyFont="1" applyFill="1" applyBorder="1" applyAlignment="1">
      <alignment horizontal="center"/>
    </xf>
    <xf numFmtId="167" fontId="13" fillId="0" borderId="12" xfId="1" applyNumberFormat="1" applyFont="1" applyBorder="1" applyAlignment="1">
      <alignment horizontal="center" vertical="center"/>
    </xf>
    <xf numFmtId="10" fontId="3" fillId="0" borderId="21" xfId="2" applyNumberFormat="1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/>
    </xf>
    <xf numFmtId="167" fontId="4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 indent="1"/>
    </xf>
    <xf numFmtId="167" fontId="13" fillId="0" borderId="1" xfId="1" applyNumberFormat="1" applyFont="1" applyBorder="1" applyAlignment="1">
      <alignment horizontal="center" vertical="center"/>
    </xf>
    <xf numFmtId="167" fontId="8" fillId="0" borderId="1" xfId="1" applyNumberFormat="1" applyFont="1" applyBorder="1" applyAlignment="1">
      <alignment horizontal="center" vertical="center" wrapText="1"/>
    </xf>
    <xf numFmtId="167" fontId="13" fillId="3" borderId="1" xfId="1" applyNumberFormat="1" applyFont="1" applyFill="1" applyBorder="1" applyAlignment="1">
      <alignment horizontal="center" vertical="center"/>
    </xf>
    <xf numFmtId="167" fontId="8" fillId="3" borderId="1" xfId="1" applyNumberFormat="1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 wrapText="1" indent="1"/>
    </xf>
    <xf numFmtId="0" fontId="11" fillId="2" borderId="11" xfId="0" applyFont="1" applyFill="1" applyBorder="1" applyAlignment="1">
      <alignment horizontal="center" vertical="center" textRotation="90"/>
    </xf>
    <xf numFmtId="0" fontId="11" fillId="2" borderId="9" xfId="0" applyFont="1" applyFill="1" applyBorder="1" applyAlignment="1">
      <alignment horizontal="center" vertical="center" textRotation="90"/>
    </xf>
    <xf numFmtId="0" fontId="11" fillId="2" borderId="10" xfId="0" applyFont="1" applyFill="1" applyBorder="1" applyAlignment="1">
      <alignment horizontal="center" vertical="center" textRotation="90"/>
    </xf>
    <xf numFmtId="0" fontId="11" fillId="2" borderId="1" xfId="0" applyFont="1" applyFill="1" applyBorder="1" applyAlignment="1">
      <alignment horizontal="center" wrapText="1"/>
    </xf>
    <xf numFmtId="10" fontId="11" fillId="2" borderId="1" xfId="2" applyNumberFormat="1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 textRotation="90"/>
    </xf>
    <xf numFmtId="0" fontId="4" fillId="0" borderId="1" xfId="0" applyFont="1" applyBorder="1" applyAlignment="1">
      <alignment horizontal="center"/>
    </xf>
    <xf numFmtId="10" fontId="4" fillId="0" borderId="1" xfId="2" applyNumberFormat="1" applyFont="1" applyBorder="1" applyAlignment="1">
      <alignment horizontal="right" indent="1"/>
    </xf>
    <xf numFmtId="0" fontId="4" fillId="3" borderId="1" xfId="0" applyFont="1" applyFill="1" applyBorder="1" applyAlignment="1">
      <alignment horizontal="center"/>
    </xf>
    <xf numFmtId="10" fontId="4" fillId="3" borderId="1" xfId="2" applyNumberFormat="1" applyFont="1" applyFill="1" applyBorder="1" applyAlignment="1">
      <alignment horizontal="right" indent="1"/>
    </xf>
    <xf numFmtId="10" fontId="3" fillId="3" borderId="6" xfId="2" applyNumberFormat="1" applyFont="1" applyFill="1" applyBorder="1" applyAlignment="1">
      <alignment horizontal="center" vertical="center"/>
    </xf>
    <xf numFmtId="10" fontId="3" fillId="3" borderId="7" xfId="2" applyNumberFormat="1" applyFont="1" applyFill="1" applyBorder="1" applyAlignment="1">
      <alignment horizontal="center" vertical="center"/>
    </xf>
    <xf numFmtId="0" fontId="18" fillId="0" borderId="0" xfId="0" applyFont="1"/>
    <xf numFmtId="10" fontId="4" fillId="3" borderId="6" xfId="2" applyNumberFormat="1" applyFont="1" applyFill="1" applyBorder="1" applyAlignment="1">
      <alignment horizontal="left" vertical="center" indent="1"/>
    </xf>
    <xf numFmtId="10" fontId="3" fillId="3" borderId="21" xfId="2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10" fontId="3" fillId="3" borderId="1" xfId="2" applyNumberFormat="1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indent="1"/>
    </xf>
    <xf numFmtId="3" fontId="3" fillId="0" borderId="1" xfId="2" applyNumberFormat="1" applyFont="1" applyBorder="1" applyAlignment="1">
      <alignment horizontal="right" vertical="center" indent="1"/>
    </xf>
    <xf numFmtId="0" fontId="4" fillId="3" borderId="1" xfId="0" applyFont="1" applyFill="1" applyBorder="1" applyAlignment="1">
      <alignment horizontal="left" vertical="center" indent="1"/>
    </xf>
    <xf numFmtId="3" fontId="3" fillId="3" borderId="1" xfId="2" applyNumberFormat="1" applyFont="1" applyFill="1" applyBorder="1" applyAlignment="1">
      <alignment horizontal="right" vertical="center" indent="1"/>
    </xf>
    <xf numFmtId="0" fontId="4" fillId="5" borderId="1" xfId="0" applyFont="1" applyFill="1" applyBorder="1" applyAlignment="1">
      <alignment horizontal="left" indent="1"/>
    </xf>
    <xf numFmtId="10" fontId="3" fillId="5" borderId="1" xfId="2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7" fontId="3" fillId="4" borderId="1" xfId="1" applyNumberFormat="1" applyFont="1" applyFill="1" applyBorder="1" applyAlignment="1">
      <alignment vertical="center"/>
    </xf>
    <xf numFmtId="167" fontId="3" fillId="0" borderId="1" xfId="1" applyNumberFormat="1" applyFont="1" applyBorder="1" applyAlignment="1">
      <alignment vertical="center"/>
    </xf>
    <xf numFmtId="166" fontId="4" fillId="0" borderId="1" xfId="2" applyNumberFormat="1" applyFont="1" applyBorder="1"/>
    <xf numFmtId="166" fontId="4" fillId="3" borderId="1" xfId="2" applyNumberFormat="1" applyFont="1" applyFill="1" applyBorder="1"/>
    <xf numFmtId="166" fontId="4" fillId="2" borderId="1" xfId="2" applyNumberFormat="1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 wrapText="1"/>
    </xf>
    <xf numFmtId="0" fontId="0" fillId="0" borderId="1" xfId="0" quotePrefix="1" applyBorder="1"/>
    <xf numFmtId="166" fontId="2" fillId="2" borderId="1" xfId="2" applyNumberFormat="1" applyFont="1" applyFill="1" applyBorder="1" applyAlignment="1">
      <alignment horizontal="right" vertical="center" indent="1"/>
    </xf>
    <xf numFmtId="0" fontId="2" fillId="0" borderId="1" xfId="0" quotePrefix="1" applyFont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65" fontId="3" fillId="0" borderId="1" xfId="1" applyNumberFormat="1" applyFont="1" applyFill="1" applyBorder="1"/>
    <xf numFmtId="166" fontId="4" fillId="0" borderId="1" xfId="2" applyNumberFormat="1" applyFont="1" applyFill="1" applyBorder="1"/>
    <xf numFmtId="166" fontId="3" fillId="0" borderId="1" xfId="2" applyNumberFormat="1" applyFont="1" applyFill="1" applyBorder="1"/>
    <xf numFmtId="10" fontId="3" fillId="3" borderId="1" xfId="2" applyNumberFormat="1" applyFont="1" applyFill="1" applyBorder="1" applyAlignment="1"/>
    <xf numFmtId="10" fontId="3" fillId="0" borderId="1" xfId="2" applyNumberFormat="1" applyFont="1" applyBorder="1" applyAlignment="1"/>
    <xf numFmtId="166" fontId="4" fillId="2" borderId="1" xfId="2" applyNumberFormat="1" applyFont="1" applyFill="1" applyBorder="1" applyAlignment="1">
      <alignment horizontal="center" vertical="center" wrapText="1"/>
    </xf>
    <xf numFmtId="3" fontId="3" fillId="0" borderId="1" xfId="2" applyNumberFormat="1" applyFont="1" applyBorder="1" applyAlignment="1">
      <alignment horizontal="right" indent="1"/>
    </xf>
    <xf numFmtId="166" fontId="3" fillId="0" borderId="1" xfId="2" applyNumberFormat="1" applyFont="1" applyBorder="1" applyAlignment="1">
      <alignment horizontal="right" indent="1"/>
    </xf>
    <xf numFmtId="3" fontId="3" fillId="3" borderId="1" xfId="2" applyNumberFormat="1" applyFont="1" applyFill="1" applyBorder="1" applyAlignment="1">
      <alignment horizontal="right" indent="1"/>
    </xf>
    <xf numFmtId="166" fontId="3" fillId="3" borderId="1" xfId="2" applyNumberFormat="1" applyFont="1" applyFill="1" applyBorder="1" applyAlignment="1">
      <alignment horizontal="right" indent="1"/>
    </xf>
    <xf numFmtId="0" fontId="3" fillId="0" borderId="83" xfId="0" applyFont="1" applyBorder="1"/>
    <xf numFmtId="10" fontId="3" fillId="0" borderId="83" xfId="2" applyNumberFormat="1" applyFont="1" applyBorder="1"/>
    <xf numFmtId="10" fontId="4" fillId="3" borderId="18" xfId="2" applyNumberFormat="1" applyFont="1" applyFill="1" applyBorder="1" applyAlignment="1">
      <alignment horizontal="left" vertical="center" indent="1"/>
    </xf>
    <xf numFmtId="10" fontId="3" fillId="3" borderId="18" xfId="2" applyNumberFormat="1" applyFont="1" applyFill="1" applyBorder="1" applyAlignment="1">
      <alignment horizontal="center" vertical="center"/>
    </xf>
    <xf numFmtId="10" fontId="3" fillId="3" borderId="23" xfId="2" applyNumberFormat="1" applyFont="1" applyFill="1" applyBorder="1" applyAlignment="1">
      <alignment horizontal="center" vertical="center"/>
    </xf>
    <xf numFmtId="10" fontId="3" fillId="3" borderId="19" xfId="2" applyNumberFormat="1" applyFont="1" applyFill="1" applyBorder="1" applyAlignment="1">
      <alignment horizontal="center" vertical="center"/>
    </xf>
    <xf numFmtId="167" fontId="4" fillId="0" borderId="83" xfId="1" applyNumberFormat="1" applyFont="1" applyBorder="1"/>
    <xf numFmtId="0" fontId="3" fillId="0" borderId="83" xfId="0" applyFont="1" applyBorder="1" applyAlignment="1">
      <alignment horizontal="center" wrapText="1"/>
    </xf>
    <xf numFmtId="167" fontId="13" fillId="0" borderId="83" xfId="1" applyNumberFormat="1" applyFont="1" applyBorder="1" applyAlignment="1">
      <alignment horizontal="left" indent="1"/>
    </xf>
    <xf numFmtId="0" fontId="0" fillId="0" borderId="0" xfId="2" applyNumberFormat="1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66" fontId="4" fillId="0" borderId="1" xfId="2" applyNumberFormat="1" applyFont="1" applyBorder="1" applyAlignment="1">
      <alignment horizontal="right" indent="1"/>
    </xf>
    <xf numFmtId="166" fontId="4" fillId="3" borderId="1" xfId="2" applyNumberFormat="1" applyFont="1" applyFill="1" applyBorder="1" applyAlignment="1">
      <alignment horizontal="right" indent="1"/>
    </xf>
    <xf numFmtId="167" fontId="13" fillId="0" borderId="17" xfId="1" applyNumberFormat="1" applyFont="1" applyBorder="1" applyAlignment="1">
      <alignment horizontal="center" vertical="center"/>
    </xf>
    <xf numFmtId="10" fontId="3" fillId="0" borderId="18" xfId="2" applyNumberFormat="1" applyFont="1" applyBorder="1" applyAlignment="1">
      <alignment horizontal="center" vertical="center"/>
    </xf>
    <xf numFmtId="10" fontId="3" fillId="0" borderId="23" xfId="2" applyNumberFormat="1" applyFont="1" applyBorder="1" applyAlignment="1">
      <alignment horizontal="center" vertical="center"/>
    </xf>
    <xf numFmtId="10" fontId="3" fillId="0" borderId="19" xfId="2" applyNumberFormat="1" applyFont="1" applyBorder="1" applyAlignment="1">
      <alignment horizontal="center" vertical="center"/>
    </xf>
    <xf numFmtId="0" fontId="4" fillId="0" borderId="83" xfId="0" applyFont="1" applyBorder="1" applyAlignment="1">
      <alignment horizontal="center"/>
    </xf>
    <xf numFmtId="167" fontId="17" fillId="0" borderId="83" xfId="1" applyNumberFormat="1" applyFont="1" applyBorder="1"/>
    <xf numFmtId="0" fontId="16" fillId="0" borderId="83" xfId="0" applyFont="1" applyBorder="1"/>
    <xf numFmtId="0" fontId="3" fillId="0" borderId="84" xfId="0" applyFont="1" applyBorder="1"/>
    <xf numFmtId="0" fontId="16" fillId="0" borderId="85" xfId="0" applyFont="1" applyBorder="1"/>
    <xf numFmtId="0" fontId="15" fillId="2" borderId="90" xfId="0" applyFont="1" applyFill="1" applyBorder="1" applyAlignment="1">
      <alignment horizontal="center"/>
    </xf>
    <xf numFmtId="0" fontId="15" fillId="0" borderId="89" xfId="0" applyFont="1" applyBorder="1" applyAlignment="1">
      <alignment horizontal="left" indent="1"/>
    </xf>
    <xf numFmtId="3" fontId="16" fillId="0" borderId="90" xfId="2" applyNumberFormat="1" applyFont="1" applyBorder="1" applyAlignment="1">
      <alignment horizontal="right" indent="1"/>
    </xf>
    <xf numFmtId="0" fontId="15" fillId="3" borderId="89" xfId="0" applyFont="1" applyFill="1" applyBorder="1" applyAlignment="1">
      <alignment horizontal="left" indent="1"/>
    </xf>
    <xf numFmtId="3" fontId="16" fillId="3" borderId="90" xfId="2" applyNumberFormat="1" applyFont="1" applyFill="1" applyBorder="1" applyAlignment="1">
      <alignment horizontal="right" indent="1"/>
    </xf>
    <xf numFmtId="0" fontId="15" fillId="2" borderId="91" xfId="0" applyFont="1" applyFill="1" applyBorder="1" applyAlignment="1">
      <alignment horizontal="left" vertical="center" indent="1"/>
    </xf>
    <xf numFmtId="3" fontId="15" fillId="2" borderId="92" xfId="0" applyNumberFormat="1" applyFont="1" applyFill="1" applyBorder="1" applyAlignment="1">
      <alignment horizontal="right" vertical="center" indent="1"/>
    </xf>
    <xf numFmtId="3" fontId="15" fillId="2" borderId="92" xfId="0" applyNumberFormat="1" applyFont="1" applyFill="1" applyBorder="1" applyAlignment="1">
      <alignment horizontal="center" vertical="center"/>
    </xf>
    <xf numFmtId="3" fontId="15" fillId="2" borderId="93" xfId="2" applyNumberFormat="1" applyFont="1" applyFill="1" applyBorder="1" applyAlignment="1">
      <alignment horizontal="right" vertical="center" indent="1"/>
    </xf>
    <xf numFmtId="9" fontId="16" fillId="0" borderId="90" xfId="2" applyFont="1" applyBorder="1" applyAlignment="1"/>
    <xf numFmtId="9" fontId="16" fillId="3" borderId="90" xfId="2" applyFont="1" applyFill="1" applyBorder="1" applyAlignment="1"/>
    <xf numFmtId="9" fontId="15" fillId="2" borderId="92" xfId="2" applyFont="1" applyFill="1" applyBorder="1" applyAlignment="1">
      <alignment vertical="center"/>
    </xf>
    <xf numFmtId="9" fontId="15" fillId="2" borderId="93" xfId="2" applyFont="1" applyFill="1" applyBorder="1" applyAlignment="1">
      <alignment vertical="center"/>
    </xf>
    <xf numFmtId="10" fontId="3" fillId="0" borderId="24" xfId="2" applyNumberFormat="1" applyFont="1" applyBorder="1" applyAlignment="1">
      <alignment horizontal="center" vertical="center"/>
    </xf>
    <xf numFmtId="10" fontId="20" fillId="0" borderId="1" xfId="2" applyNumberFormat="1" applyFont="1" applyBorder="1"/>
    <xf numFmtId="10" fontId="21" fillId="0" borderId="1" xfId="2" applyNumberFormat="1" applyFont="1" applyBorder="1"/>
    <xf numFmtId="165" fontId="21" fillId="0" borderId="1" xfId="1" applyNumberFormat="1" applyFont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9" fontId="3" fillId="0" borderId="1" xfId="2" applyFont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166" fontId="3" fillId="0" borderId="1" xfId="2" applyNumberFormat="1" applyFont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6" fontId="3" fillId="0" borderId="1" xfId="2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6" fontId="3" fillId="4" borderId="1" xfId="2" applyNumberFormat="1" applyFont="1" applyFill="1" applyBorder="1" applyAlignment="1">
      <alignment horizontal="center"/>
    </xf>
    <xf numFmtId="166" fontId="3" fillId="0" borderId="1" xfId="2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6" fontId="22" fillId="0" borderId="0" xfId="0" applyNumberFormat="1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0" fillId="0" borderId="0" xfId="0" applyFont="1"/>
    <xf numFmtId="168" fontId="10" fillId="0" borderId="0" xfId="3" applyNumberFormat="1" applyFont="1"/>
    <xf numFmtId="166" fontId="10" fillId="0" borderId="0" xfId="2" applyNumberFormat="1" applyFont="1"/>
    <xf numFmtId="0" fontId="10" fillId="0" borderId="0" xfId="0" applyFont="1" applyAlignment="1">
      <alignment horizontal="center" vertical="center" wrapText="1"/>
    </xf>
    <xf numFmtId="168" fontId="10" fillId="0" borderId="0" xfId="3" applyNumberFormat="1" applyFont="1" applyAlignment="1">
      <alignment horizontal="center" vertical="center" wrapText="1"/>
    </xf>
    <xf numFmtId="10" fontId="10" fillId="0" borderId="0" xfId="0" applyNumberFormat="1" applyFont="1"/>
    <xf numFmtId="166" fontId="10" fillId="0" borderId="0" xfId="0" applyNumberFormat="1" applyFont="1"/>
    <xf numFmtId="1" fontId="10" fillId="0" borderId="0" xfId="0" applyNumberFormat="1" applyFont="1"/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0" fontId="10" fillId="0" borderId="0" xfId="2" applyNumberFormat="1" applyFont="1" applyAlignment="1">
      <alignment horizontal="center"/>
    </xf>
    <xf numFmtId="10" fontId="10" fillId="0" borderId="0" xfId="2" applyNumberFormat="1" applyFont="1"/>
    <xf numFmtId="166" fontId="0" fillId="0" borderId="1" xfId="2" applyNumberFormat="1" applyFont="1" applyBorder="1"/>
    <xf numFmtId="165" fontId="0" fillId="0" borderId="1" xfId="1" applyNumberFormat="1" applyFont="1" applyBorder="1"/>
    <xf numFmtId="9" fontId="22" fillId="0" borderId="0" xfId="2" applyFont="1" applyAlignment="1">
      <alignment horizontal="center"/>
    </xf>
    <xf numFmtId="9" fontId="22" fillId="0" borderId="0" xfId="2" applyFont="1"/>
    <xf numFmtId="166" fontId="22" fillId="0" borderId="0" xfId="2" applyNumberFormat="1" applyFont="1"/>
    <xf numFmtId="0" fontId="22" fillId="0" borderId="0" xfId="0" applyFont="1" applyAlignment="1">
      <alignment horizontal="right"/>
    </xf>
    <xf numFmtId="10" fontId="3" fillId="0" borderId="94" xfId="2" applyNumberFormat="1" applyFont="1" applyBorder="1" applyAlignment="1">
      <alignment horizontal="center" vertical="center"/>
    </xf>
    <xf numFmtId="171" fontId="3" fillId="0" borderId="95" xfId="0" applyNumberFormat="1" applyFont="1" applyBorder="1" applyAlignment="1">
      <alignment vertical="center"/>
    </xf>
    <xf numFmtId="10" fontId="4" fillId="7" borderId="2" xfId="0" applyNumberFormat="1" applyFont="1" applyFill="1" applyBorder="1" applyAlignment="1">
      <alignment vertical="center"/>
    </xf>
    <xf numFmtId="0" fontId="0" fillId="8" borderId="0" xfId="0" applyFill="1"/>
    <xf numFmtId="0" fontId="3" fillId="8" borderId="0" xfId="0" applyFont="1" applyFill="1"/>
    <xf numFmtId="0" fontId="25" fillId="8" borderId="0" xfId="0" applyFont="1" applyFill="1"/>
    <xf numFmtId="0" fontId="26" fillId="8" borderId="0" xfId="0" applyFont="1" applyFill="1"/>
    <xf numFmtId="10" fontId="2" fillId="8" borderId="9" xfId="2" applyNumberFormat="1" applyFont="1" applyFill="1" applyBorder="1" applyAlignment="1">
      <alignment horizontal="right" vertical="center" indent="1"/>
    </xf>
    <xf numFmtId="0" fontId="24" fillId="8" borderId="0" xfId="0" applyFont="1" applyFill="1"/>
    <xf numFmtId="3" fontId="3" fillId="0" borderId="0" xfId="0" applyNumberFormat="1" applyFont="1"/>
    <xf numFmtId="10" fontId="3" fillId="0" borderId="0" xfId="0" applyNumberFormat="1" applyFont="1"/>
    <xf numFmtId="166" fontId="3" fillId="0" borderId="0" xfId="0" applyNumberFormat="1" applyFont="1"/>
    <xf numFmtId="10" fontId="4" fillId="8" borderId="1" xfId="2" applyNumberFormat="1" applyFont="1" applyFill="1" applyBorder="1" applyAlignment="1">
      <alignment vertical="center"/>
    </xf>
    <xf numFmtId="10" fontId="4" fillId="7" borderId="1" xfId="2" applyNumberFormat="1" applyFont="1" applyFill="1" applyBorder="1" applyAlignment="1">
      <alignment vertical="center"/>
    </xf>
    <xf numFmtId="166" fontId="19" fillId="0" borderId="0" xfId="0" applyNumberFormat="1" applyFont="1"/>
    <xf numFmtId="166" fontId="4" fillId="0" borderId="0" xfId="0" applyNumberFormat="1" applyFont="1"/>
    <xf numFmtId="166" fontId="2" fillId="8" borderId="1" xfId="2" quotePrefix="1" applyNumberFormat="1" applyFont="1" applyFill="1" applyBorder="1" applyAlignment="1">
      <alignment horizontal="right" vertical="center" indent="1"/>
    </xf>
    <xf numFmtId="166" fontId="4" fillId="8" borderId="1" xfId="2" applyNumberFormat="1" applyFont="1" applyFill="1" applyBorder="1" applyAlignment="1">
      <alignment vertical="center"/>
    </xf>
    <xf numFmtId="166" fontId="4" fillId="8" borderId="1" xfId="2" applyNumberFormat="1" applyFont="1" applyFill="1" applyBorder="1"/>
    <xf numFmtId="0" fontId="26" fillId="0" borderId="0" xfId="0" applyFont="1"/>
    <xf numFmtId="166" fontId="19" fillId="0" borderId="0" xfId="2" applyNumberFormat="1" applyFont="1"/>
    <xf numFmtId="3" fontId="0" fillId="0" borderId="0" xfId="0" applyNumberFormat="1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86" xfId="0" applyFont="1" applyFill="1" applyBorder="1" applyAlignment="1">
      <alignment horizontal="center" vertical="center"/>
    </xf>
    <xf numFmtId="0" fontId="15" fillId="2" borderId="89" xfId="0" applyFont="1" applyFill="1" applyBorder="1" applyAlignment="1">
      <alignment horizontal="center" vertical="center"/>
    </xf>
    <xf numFmtId="0" fontId="15" fillId="2" borderId="87" xfId="0" applyFont="1" applyFill="1" applyBorder="1" applyAlignment="1">
      <alignment horizontal="center"/>
    </xf>
    <xf numFmtId="0" fontId="15" fillId="2" borderId="88" xfId="0" applyFont="1" applyFill="1" applyBorder="1" applyAlignment="1">
      <alignment horizontal="center"/>
    </xf>
    <xf numFmtId="0" fontId="15" fillId="2" borderId="90" xfId="0" applyFont="1" applyFill="1" applyBorder="1" applyAlignment="1">
      <alignment horizontal="center"/>
    </xf>
    <xf numFmtId="0" fontId="15" fillId="2" borderId="87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left" vertical="center" wrapText="1" indent="1"/>
    </xf>
    <xf numFmtId="0" fontId="4" fillId="2" borderId="54" xfId="0" applyFont="1" applyFill="1" applyBorder="1" applyAlignment="1">
      <alignment horizontal="left" vertical="center" wrapText="1" indent="1"/>
    </xf>
    <xf numFmtId="0" fontId="4" fillId="2" borderId="16" xfId="0" applyFont="1" applyFill="1" applyBorder="1" applyAlignment="1">
      <alignment horizontal="left" vertical="center" wrapText="1" indent="1"/>
    </xf>
    <xf numFmtId="0" fontId="4" fillId="2" borderId="48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 indent="1"/>
    </xf>
    <xf numFmtId="0" fontId="4" fillId="2" borderId="14" xfId="0" applyFont="1" applyFill="1" applyBorder="1" applyAlignment="1">
      <alignment horizontal="left" vertical="center" wrapText="1" indent="1"/>
    </xf>
    <xf numFmtId="0" fontId="4" fillId="0" borderId="36" xfId="0" applyFont="1" applyBorder="1" applyAlignment="1">
      <alignment horizontal="left" vertical="center" wrapText="1" indent="1"/>
    </xf>
    <xf numFmtId="0" fontId="4" fillId="0" borderId="45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wrapText="1" indent="1"/>
    </xf>
    <xf numFmtId="0" fontId="4" fillId="3" borderId="36" xfId="0" applyFont="1" applyFill="1" applyBorder="1" applyAlignment="1">
      <alignment horizontal="left" vertical="center" wrapText="1" indent="1"/>
    </xf>
    <xf numFmtId="0" fontId="4" fillId="3" borderId="45" xfId="0" applyFont="1" applyFill="1" applyBorder="1" applyAlignment="1">
      <alignment horizontal="left" vertical="center" wrapText="1" indent="1"/>
    </xf>
    <xf numFmtId="0" fontId="4" fillId="3" borderId="26" xfId="0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/>
    </xf>
  </cellXfs>
  <cellStyles count="4">
    <cellStyle name="Comma" xfId="1" builtinId="3"/>
    <cellStyle name="Comma 2" xfId="3" xr:uid="{4D7E64F9-A07E-4167-B56F-185EAA553508}"/>
    <cellStyle name="Normal" xfId="0" builtinId="0"/>
    <cellStyle name="Percent" xfId="2" builtinId="5"/>
  </cellStyles>
  <dxfs count="45"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  <fill>
        <patternFill>
          <bgColor theme="3" tint="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9966"/>
      <color rgb="FF0000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66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DR_Year!$U$4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DR_Year!$Q$5:$Q$36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DR_Year!$U$5:$U$36</c:f>
              <c:numCache>
                <c:formatCode>0.00%</c:formatCode>
                <c:ptCount val="31"/>
                <c:pt idx="0">
                  <c:v>2.4528301886792451E-2</c:v>
                </c:pt>
                <c:pt idx="1">
                  <c:v>3.2626427406199018E-2</c:v>
                </c:pt>
                <c:pt idx="2">
                  <c:v>1.8571428571428569E-2</c:v>
                </c:pt>
                <c:pt idx="3">
                  <c:v>3.8461538461538457E-2</c:v>
                </c:pt>
                <c:pt idx="4">
                  <c:v>8.7126137841352411E-2</c:v>
                </c:pt>
                <c:pt idx="5">
                  <c:v>4.1717791411042947E-2</c:v>
                </c:pt>
                <c:pt idx="6">
                  <c:v>4.2410714285714288E-2</c:v>
                </c:pt>
                <c:pt idx="7">
                  <c:v>5.2016985138004249E-2</c:v>
                </c:pt>
                <c:pt idx="8">
                  <c:v>7.7551020408163265E-2</c:v>
                </c:pt>
                <c:pt idx="9">
                  <c:v>6.834170854271357E-2</c:v>
                </c:pt>
                <c:pt idx="10">
                  <c:v>4.1785375118708452E-2</c:v>
                </c:pt>
                <c:pt idx="11">
                  <c:v>3.03030303030303E-2</c:v>
                </c:pt>
                <c:pt idx="12">
                  <c:v>3.0522088353413659E-2</c:v>
                </c:pt>
                <c:pt idx="13">
                  <c:v>2.8396009209516501E-2</c:v>
                </c:pt>
                <c:pt idx="14">
                  <c:v>3.3018867924528301E-2</c:v>
                </c:pt>
                <c:pt idx="15">
                  <c:v>3.653506187389511E-2</c:v>
                </c:pt>
                <c:pt idx="16">
                  <c:v>4.0681693238042882E-2</c:v>
                </c:pt>
                <c:pt idx="17">
                  <c:v>3.0800821355236142E-2</c:v>
                </c:pt>
                <c:pt idx="18">
                  <c:v>3.1205673758865252E-2</c:v>
                </c:pt>
                <c:pt idx="19">
                  <c:v>2.2766323024054982E-2</c:v>
                </c:pt>
                <c:pt idx="20">
                  <c:v>3.9754098360655743E-2</c:v>
                </c:pt>
                <c:pt idx="21">
                  <c:v>2.9306414848583519E-2</c:v>
                </c:pt>
                <c:pt idx="22">
                  <c:v>3.6589245943366211E-2</c:v>
                </c:pt>
                <c:pt idx="23">
                  <c:v>3.1061806656101431E-2</c:v>
                </c:pt>
                <c:pt idx="24">
                  <c:v>2.773449672795263E-2</c:v>
                </c:pt>
                <c:pt idx="25">
                  <c:v>3.486624586714758E-2</c:v>
                </c:pt>
                <c:pt idx="26">
                  <c:v>5.0942285041224972E-2</c:v>
                </c:pt>
                <c:pt idx="27">
                  <c:v>3.0511516601854621E-2</c:v>
                </c:pt>
                <c:pt idx="28">
                  <c:v>3.2200357781753133E-2</c:v>
                </c:pt>
                <c:pt idx="29">
                  <c:v>3.273809523809524E-2</c:v>
                </c:pt>
                <c:pt idx="30">
                  <c:v>2.2793687901811809E-2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0-446B-86E8-A5D6638C2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58360224"/>
        <c:axId val="1158372224"/>
      </c:barChart>
      <c:lineChart>
        <c:grouping val="standard"/>
        <c:varyColors val="0"/>
        <c:ser>
          <c:idx val="1"/>
          <c:order val="1"/>
          <c:tx>
            <c:strRef>
              <c:f>DR_Year!$W$4</c:f>
              <c:strCache>
                <c:ptCount val="1"/>
                <c:pt idx="0">
                  <c:v>Overall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2.7838983050847459E-2"/>
                  <c:y val="-6.5311467916014235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F2-4A26-A434-5E67D8AC71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DR_Year!$Q$5:$Q$36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DR_Year!$W$5:$W$36</c:f>
              <c:numCache>
                <c:formatCode>0.0%</c:formatCode>
                <c:ptCount val="31"/>
                <c:pt idx="0">
                  <c:v>3.5393608598237897E-2</c:v>
                </c:pt>
                <c:pt idx="1">
                  <c:v>3.5393608598237897E-2</c:v>
                </c:pt>
                <c:pt idx="2">
                  <c:v>3.5393608598237897E-2</c:v>
                </c:pt>
                <c:pt idx="3">
                  <c:v>3.5393608598237897E-2</c:v>
                </c:pt>
                <c:pt idx="4">
                  <c:v>3.5393608598237897E-2</c:v>
                </c:pt>
                <c:pt idx="5">
                  <c:v>3.5393608598237897E-2</c:v>
                </c:pt>
                <c:pt idx="6">
                  <c:v>3.5393608598237897E-2</c:v>
                </c:pt>
                <c:pt idx="7">
                  <c:v>3.5393608598237897E-2</c:v>
                </c:pt>
                <c:pt idx="8">
                  <c:v>3.5393608598237897E-2</c:v>
                </c:pt>
                <c:pt idx="9">
                  <c:v>3.5393608598237897E-2</c:v>
                </c:pt>
                <c:pt idx="10">
                  <c:v>3.5393608598237897E-2</c:v>
                </c:pt>
                <c:pt idx="11">
                  <c:v>3.5393608598237897E-2</c:v>
                </c:pt>
                <c:pt idx="12">
                  <c:v>3.5393608598237897E-2</c:v>
                </c:pt>
                <c:pt idx="13">
                  <c:v>3.5393608598237897E-2</c:v>
                </c:pt>
                <c:pt idx="14">
                  <c:v>3.5393608598237897E-2</c:v>
                </c:pt>
                <c:pt idx="15">
                  <c:v>3.5393608598237897E-2</c:v>
                </c:pt>
                <c:pt idx="16">
                  <c:v>3.5393608598237897E-2</c:v>
                </c:pt>
                <c:pt idx="17">
                  <c:v>3.5393608598237897E-2</c:v>
                </c:pt>
                <c:pt idx="18">
                  <c:v>3.5393608598237897E-2</c:v>
                </c:pt>
                <c:pt idx="19">
                  <c:v>3.5393608598237897E-2</c:v>
                </c:pt>
                <c:pt idx="20">
                  <c:v>3.5393608598237897E-2</c:v>
                </c:pt>
                <c:pt idx="21">
                  <c:v>3.5393608598237897E-2</c:v>
                </c:pt>
                <c:pt idx="22">
                  <c:v>3.5393608598237897E-2</c:v>
                </c:pt>
                <c:pt idx="23">
                  <c:v>3.5393608598237897E-2</c:v>
                </c:pt>
                <c:pt idx="24">
                  <c:v>3.5393608598237897E-2</c:v>
                </c:pt>
                <c:pt idx="25">
                  <c:v>3.5393608598237897E-2</c:v>
                </c:pt>
                <c:pt idx="26">
                  <c:v>3.5393608598237897E-2</c:v>
                </c:pt>
                <c:pt idx="27">
                  <c:v>3.5393608598237897E-2</c:v>
                </c:pt>
                <c:pt idx="28">
                  <c:v>3.5393608598237897E-2</c:v>
                </c:pt>
                <c:pt idx="29">
                  <c:v>3.5393608598237897E-2</c:v>
                </c:pt>
                <c:pt idx="30">
                  <c:v>3.5393608598237897E-2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0-446B-86E8-A5D6638C21F2}"/>
            </c:ext>
          </c:extLst>
        </c:ser>
        <c:ser>
          <c:idx val="2"/>
          <c:order val="2"/>
          <c:tx>
            <c:strRef>
              <c:f>DR_Year!$X$4</c:f>
              <c:strCache>
                <c:ptCount val="1"/>
                <c:pt idx="0">
                  <c:v>Average 1995-2004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3.725859415728916E-2"/>
                  <c:y val="-2.16147110580657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C0-446B-86E8-A5D6638C21F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DR_Year!$Q$5:$Q$36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DR_Year!$X$5:$X$36</c:f>
              <c:numCache>
                <c:formatCode>0.0%</c:formatCode>
                <c:ptCount val="31"/>
                <c:pt idx="1">
                  <c:v>5.1426558647411059E-2</c:v>
                </c:pt>
                <c:pt idx="2">
                  <c:v>5.1426558647411059E-2</c:v>
                </c:pt>
                <c:pt idx="3">
                  <c:v>5.1426558647411059E-2</c:v>
                </c:pt>
                <c:pt idx="4">
                  <c:v>5.1426558647411059E-2</c:v>
                </c:pt>
                <c:pt idx="5">
                  <c:v>5.1426558647411059E-2</c:v>
                </c:pt>
                <c:pt idx="6">
                  <c:v>5.1426558647411059E-2</c:v>
                </c:pt>
                <c:pt idx="7">
                  <c:v>5.1426558647411059E-2</c:v>
                </c:pt>
                <c:pt idx="8">
                  <c:v>5.1426558647411059E-2</c:v>
                </c:pt>
                <c:pt idx="9">
                  <c:v>5.1426558647411059E-2</c:v>
                </c:pt>
                <c:pt idx="10">
                  <c:v>5.1426558647411059E-2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C0-446B-86E8-A5D6638C21F2}"/>
            </c:ext>
          </c:extLst>
        </c:ser>
        <c:ser>
          <c:idx val="3"/>
          <c:order val="3"/>
          <c:tx>
            <c:strRef>
              <c:f>DR_Year!$Y$4</c:f>
              <c:strCache>
                <c:ptCount val="1"/>
                <c:pt idx="0">
                  <c:v>Average 2005-2014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8319209039547971E-2"/>
                  <c:y val="-6.531146791601429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F2-4A26-A434-5E67D8AC71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DR_Year!$Q$5:$Q$36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DR_Year!$Y$5:$Y$36</c:f>
              <c:numCache>
                <c:formatCode>0.0%</c:formatCode>
                <c:ptCount val="31"/>
                <c:pt idx="11">
                  <c:v>3.2565301699555148E-2</c:v>
                </c:pt>
                <c:pt idx="12">
                  <c:v>3.2565301699555148E-2</c:v>
                </c:pt>
                <c:pt idx="13">
                  <c:v>3.2565301699555148E-2</c:v>
                </c:pt>
                <c:pt idx="14">
                  <c:v>3.2565301699555148E-2</c:v>
                </c:pt>
                <c:pt idx="15">
                  <c:v>3.2565301699555148E-2</c:v>
                </c:pt>
                <c:pt idx="16">
                  <c:v>3.2565301699555148E-2</c:v>
                </c:pt>
                <c:pt idx="17">
                  <c:v>3.2565301699555148E-2</c:v>
                </c:pt>
                <c:pt idx="18">
                  <c:v>3.2565301699555148E-2</c:v>
                </c:pt>
                <c:pt idx="19">
                  <c:v>3.2565301699555148E-2</c:v>
                </c:pt>
                <c:pt idx="20">
                  <c:v>3.2565301699555148E-2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FC0-446B-86E8-A5D6638C21F2}"/>
            </c:ext>
          </c:extLst>
        </c:ser>
        <c:ser>
          <c:idx val="4"/>
          <c:order val="4"/>
          <c:tx>
            <c:strRef>
              <c:f>DR_Year!$Z$4</c:f>
              <c:strCache>
                <c:ptCount val="1"/>
                <c:pt idx="0">
                  <c:v>Average 2015-2024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24"/>
              <c:layout>
                <c:manualLayout>
                  <c:x val="-3.0801107520345903E-2"/>
                  <c:y val="-5.82355968116499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FC0-446B-86E8-A5D6638C21F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DR_Year!$Q$5:$Q$36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DR_Year!$Z$5:$Z$36</c:f>
              <c:numCache>
                <c:formatCode>0.0%</c:formatCode>
                <c:ptCount val="31"/>
                <c:pt idx="21">
                  <c:v>3.2916412446613787E-2</c:v>
                </c:pt>
                <c:pt idx="22">
                  <c:v>3.2916412446613787E-2</c:v>
                </c:pt>
                <c:pt idx="23">
                  <c:v>3.2916412446613787E-2</c:v>
                </c:pt>
                <c:pt idx="24">
                  <c:v>3.2916412446613787E-2</c:v>
                </c:pt>
                <c:pt idx="25">
                  <c:v>3.2916412446613787E-2</c:v>
                </c:pt>
                <c:pt idx="26">
                  <c:v>3.2916412446613787E-2</c:v>
                </c:pt>
                <c:pt idx="27">
                  <c:v>3.2916412446613787E-2</c:v>
                </c:pt>
                <c:pt idx="28">
                  <c:v>3.2916412446613787E-2</c:v>
                </c:pt>
                <c:pt idx="29">
                  <c:v>3.2916412446613787E-2</c:v>
                </c:pt>
                <c:pt idx="30">
                  <c:v>3.2916412446613787E-2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FC0-446B-86E8-A5D6638C2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360224"/>
        <c:axId val="1158372224"/>
      </c:lineChart>
      <c:catAx>
        <c:axId val="115836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8372224"/>
        <c:crosses val="autoZero"/>
        <c:auto val="1"/>
        <c:lblAlgn val="ctr"/>
        <c:lblOffset val="100"/>
        <c:noMultiLvlLbl val="0"/>
      </c:catAx>
      <c:valAx>
        <c:axId val="11583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836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1147169811320755E-2"/>
          <c:y val="0.93051046946899107"/>
          <c:w val="0.89721983621584078"/>
          <c:h val="6.3650724879798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525121717949099E-2"/>
          <c:y val="4.2848117953589199E-2"/>
          <c:w val="0.88291934212289502"/>
          <c:h val="0.82476399394014677"/>
        </c:manualLayout>
      </c:layout>
      <c:lineChart>
        <c:grouping val="standard"/>
        <c:varyColors val="0"/>
        <c:ser>
          <c:idx val="13"/>
          <c:order val="0"/>
          <c:tx>
            <c:strRef>
              <c:f>DR_TtD!$E$30</c:f>
              <c:strCache>
                <c:ptCount val="1"/>
                <c:pt idx="0">
                  <c:v>All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DR_TtD!$F$29:$Z$29</c:f>
              <c:strCach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&gt;=20</c:v>
                </c:pt>
              </c:strCache>
            </c:strRef>
          </c:cat>
          <c:val>
            <c:numRef>
              <c:f>DR_TtD!$F$30:$Z$30</c:f>
              <c:numCache>
                <c:formatCode>0%</c:formatCode>
                <c:ptCount val="21"/>
                <c:pt idx="0">
                  <c:v>6.7471886713869222E-2</c:v>
                </c:pt>
                <c:pt idx="1">
                  <c:v>0.221990837151187</c:v>
                </c:pt>
                <c:pt idx="2">
                  <c:v>0.42149104539775095</c:v>
                </c:pt>
                <c:pt idx="3">
                  <c:v>0.59600166597251147</c:v>
                </c:pt>
                <c:pt idx="4">
                  <c:v>0.70970428987921697</c:v>
                </c:pt>
                <c:pt idx="5">
                  <c:v>0.79008746355685133</c:v>
                </c:pt>
                <c:pt idx="6">
                  <c:v>0.85714285714285721</c:v>
                </c:pt>
                <c:pt idx="7">
                  <c:v>0.89421074552269897</c:v>
                </c:pt>
                <c:pt idx="8">
                  <c:v>0.93252811328613083</c:v>
                </c:pt>
                <c:pt idx="9">
                  <c:v>0.95251978342357357</c:v>
                </c:pt>
                <c:pt idx="10">
                  <c:v>0.96626405664306547</c:v>
                </c:pt>
                <c:pt idx="11">
                  <c:v>0.97459391920033323</c:v>
                </c:pt>
                <c:pt idx="12">
                  <c:v>0.98375676801332779</c:v>
                </c:pt>
                <c:pt idx="13">
                  <c:v>0.99000416493127863</c:v>
                </c:pt>
                <c:pt idx="14">
                  <c:v>0.99375260308204916</c:v>
                </c:pt>
                <c:pt idx="15">
                  <c:v>0.99583506872136607</c:v>
                </c:pt>
                <c:pt idx="16">
                  <c:v>0.99833402748854638</c:v>
                </c:pt>
                <c:pt idx="17">
                  <c:v>0.99875052061640979</c:v>
                </c:pt>
                <c:pt idx="18">
                  <c:v>0.99875052061640979</c:v>
                </c:pt>
                <c:pt idx="19">
                  <c:v>0.99875052061640979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D16-4E06-82DA-758E2DC20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8603743"/>
        <c:axId val="1948859071"/>
      </c:lineChart>
      <c:catAx>
        <c:axId val="42860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0"/>
                  <a:t>Years </a:t>
                </a:r>
                <a:r>
                  <a:rPr lang="en-US" b="0" baseline="0"/>
                  <a:t>after signature</a:t>
                </a:r>
                <a:endParaRPr lang="en-US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948859071"/>
        <c:crosses val="autoZero"/>
        <c:auto val="1"/>
        <c:lblAlgn val="ctr"/>
        <c:lblOffset val="100"/>
        <c:noMultiLvlLbl val="0"/>
      </c:catAx>
      <c:valAx>
        <c:axId val="19488590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0"/>
                  <a:t>Percentage of total</a:t>
                </a:r>
              </a:p>
            </c:rich>
          </c:tx>
          <c:layout>
            <c:manualLayout>
              <c:xMode val="edge"/>
              <c:yMode val="edge"/>
              <c:x val="4.0849249423594441E-3"/>
              <c:y val="0.331211024854781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2860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66685934294451E-2"/>
          <c:y val="3.2159267762762532E-2"/>
          <c:w val="0.90707299923133189"/>
          <c:h val="0.7451539986073169"/>
        </c:manualLayout>
      </c:layout>
      <c:lineChart>
        <c:grouping val="standard"/>
        <c:varyColors val="0"/>
        <c:ser>
          <c:idx val="0"/>
          <c:order val="0"/>
          <c:tx>
            <c:strRef>
              <c:f>DR_Rat_1y!$A$30</c:f>
              <c:strCache>
                <c:ptCount val="1"/>
                <c:pt idx="0">
                  <c:v>Default rate by credit 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DR_Rat_1y!$B$29:$U$29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DR_Rat_1y!$B$30:$U$30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1E-3</c:v>
                </c:pt>
                <c:pt idx="8">
                  <c:v>2.5000000000000001E-3</c:v>
                </c:pt>
                <c:pt idx="9">
                  <c:v>4.3E-3</c:v>
                </c:pt>
                <c:pt idx="10">
                  <c:v>7.4999999999999997E-3</c:v>
                </c:pt>
                <c:pt idx="11">
                  <c:v>1.2800000000000001E-2</c:v>
                </c:pt>
                <c:pt idx="12">
                  <c:v>1.9900000000000001E-2</c:v>
                </c:pt>
                <c:pt idx="13">
                  <c:v>2.69E-2</c:v>
                </c:pt>
                <c:pt idx="14">
                  <c:v>3.3599999999999998E-2</c:v>
                </c:pt>
                <c:pt idx="15">
                  <c:v>4.8099999999999997E-2</c:v>
                </c:pt>
                <c:pt idx="16">
                  <c:v>7.1400000000000005E-2</c:v>
                </c:pt>
                <c:pt idx="17">
                  <c:v>0.10589999999999999</c:v>
                </c:pt>
                <c:pt idx="18">
                  <c:v>0.16450000000000001</c:v>
                </c:pt>
                <c:pt idx="19">
                  <c:v>0.2462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2-421A-91DA-96C0E2161948}"/>
            </c:ext>
          </c:extLst>
        </c:ser>
        <c:ser>
          <c:idx val="1"/>
          <c:order val="1"/>
          <c:tx>
            <c:strRef>
              <c:f>DR_Rat_1y!$A$31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DR_Rat_1y!$B$29:$U$29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DR_Rat_1y!$B$31:$U$31</c:f>
              <c:numCache>
                <c:formatCode>0.00%</c:formatCode>
                <c:ptCount val="20"/>
                <c:pt idx="0">
                  <c:v>3.5393608598237897E-2</c:v>
                </c:pt>
                <c:pt idx="1">
                  <c:v>3.5393608598237897E-2</c:v>
                </c:pt>
                <c:pt idx="2">
                  <c:v>3.5393608598237897E-2</c:v>
                </c:pt>
                <c:pt idx="3">
                  <c:v>3.5393608598237897E-2</c:v>
                </c:pt>
                <c:pt idx="4">
                  <c:v>3.5393608598237897E-2</c:v>
                </c:pt>
                <c:pt idx="5">
                  <c:v>3.5393608598237897E-2</c:v>
                </c:pt>
                <c:pt idx="6">
                  <c:v>3.5393608598237897E-2</c:v>
                </c:pt>
                <c:pt idx="7">
                  <c:v>3.5393608598237897E-2</c:v>
                </c:pt>
                <c:pt idx="8">
                  <c:v>3.5393608598237897E-2</c:v>
                </c:pt>
                <c:pt idx="9">
                  <c:v>3.5393608598237897E-2</c:v>
                </c:pt>
                <c:pt idx="10">
                  <c:v>3.5393608598237897E-2</c:v>
                </c:pt>
                <c:pt idx="11">
                  <c:v>3.5393608598237897E-2</c:v>
                </c:pt>
                <c:pt idx="12">
                  <c:v>3.5393608598237897E-2</c:v>
                </c:pt>
                <c:pt idx="13">
                  <c:v>3.5393608598237897E-2</c:v>
                </c:pt>
                <c:pt idx="14">
                  <c:v>3.5393608598237897E-2</c:v>
                </c:pt>
                <c:pt idx="15">
                  <c:v>3.5393608598237897E-2</c:v>
                </c:pt>
                <c:pt idx="16">
                  <c:v>3.5393608598237897E-2</c:v>
                </c:pt>
                <c:pt idx="17">
                  <c:v>3.5393608598237897E-2</c:v>
                </c:pt>
                <c:pt idx="18">
                  <c:v>3.5393608598237897E-2</c:v>
                </c:pt>
                <c:pt idx="19">
                  <c:v>3.5393608598237897E-2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2-421A-91DA-96C0E2161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626687"/>
        <c:axId val="1191624767"/>
      </c:lineChart>
      <c:catAx>
        <c:axId val="119162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b="0"/>
                  <a:t>Credit rating</a:t>
                </a:r>
              </a:p>
            </c:rich>
          </c:tx>
          <c:layout>
            <c:manualLayout>
              <c:xMode val="edge"/>
              <c:yMode val="edge"/>
              <c:x val="0.46393450961299071"/>
              <c:y val="0.88349641226353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91624767"/>
        <c:crosses val="autoZero"/>
        <c:auto val="1"/>
        <c:lblAlgn val="ctr"/>
        <c:lblOffset val="100"/>
        <c:noMultiLvlLbl val="0"/>
      </c:catAx>
      <c:valAx>
        <c:axId val="11916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b="0"/>
                  <a:t>Observed default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9162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601239287295158"/>
          <c:y val="0.92823602529135918"/>
          <c:w val="0.49217970053452981"/>
          <c:h val="6.63545090844226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RR_year!$Z$2</c:f>
              <c:strCache>
                <c:ptCount val="1"/>
                <c:pt idx="0">
                  <c:v> Default count (right y-axis)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RR_year!$Y$4:$Y$34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RR_year!$Z$4:$Z$34</c:f>
              <c:numCache>
                <c:formatCode>_-* #,##0_-;\-* #,##0_-;_-* "-"??_-;_-@_-</c:formatCode>
                <c:ptCount val="31"/>
                <c:pt idx="0">
                  <c:v>18</c:v>
                </c:pt>
                <c:pt idx="1">
                  <c:v>16</c:v>
                </c:pt>
                <c:pt idx="2">
                  <c:v>16</c:v>
                </c:pt>
                <c:pt idx="3">
                  <c:v>27</c:v>
                </c:pt>
                <c:pt idx="4">
                  <c:v>77</c:v>
                </c:pt>
                <c:pt idx="5">
                  <c:v>35</c:v>
                </c:pt>
                <c:pt idx="6">
                  <c:v>39</c:v>
                </c:pt>
                <c:pt idx="7">
                  <c:v>49</c:v>
                </c:pt>
                <c:pt idx="8">
                  <c:v>63</c:v>
                </c:pt>
                <c:pt idx="9">
                  <c:v>70</c:v>
                </c:pt>
                <c:pt idx="10">
                  <c:v>39</c:v>
                </c:pt>
                <c:pt idx="11">
                  <c:v>36</c:v>
                </c:pt>
                <c:pt idx="12">
                  <c:v>36</c:v>
                </c:pt>
                <c:pt idx="13">
                  <c:v>32</c:v>
                </c:pt>
                <c:pt idx="14">
                  <c:v>60</c:v>
                </c:pt>
                <c:pt idx="15">
                  <c:v>69</c:v>
                </c:pt>
                <c:pt idx="16">
                  <c:v>83</c:v>
                </c:pt>
                <c:pt idx="17">
                  <c:v>73</c:v>
                </c:pt>
                <c:pt idx="18">
                  <c:v>58</c:v>
                </c:pt>
                <c:pt idx="19">
                  <c:v>54</c:v>
                </c:pt>
                <c:pt idx="20">
                  <c:v>85</c:v>
                </c:pt>
                <c:pt idx="21">
                  <c:v>97</c:v>
                </c:pt>
                <c:pt idx="22">
                  <c:v>129</c:v>
                </c:pt>
                <c:pt idx="23">
                  <c:v>75</c:v>
                </c:pt>
                <c:pt idx="24">
                  <c:v>66</c:v>
                </c:pt>
                <c:pt idx="25">
                  <c:v>84</c:v>
                </c:pt>
                <c:pt idx="26">
                  <c:v>119</c:v>
                </c:pt>
                <c:pt idx="27">
                  <c:v>64</c:v>
                </c:pt>
                <c:pt idx="28">
                  <c:v>57</c:v>
                </c:pt>
                <c:pt idx="29">
                  <c:v>45</c:v>
                </c:pt>
                <c:pt idx="3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6-4A89-869B-50D88CBC3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53611423"/>
        <c:axId val="836291840"/>
      </c:barChart>
      <c:lineChart>
        <c:grouping val="standard"/>
        <c:varyColors val="0"/>
        <c:ser>
          <c:idx val="2"/>
          <c:order val="1"/>
          <c:tx>
            <c:strRef>
              <c:f>RR_year!$AB$2</c:f>
              <c:strCache>
                <c:ptCount val="1"/>
                <c:pt idx="0">
                  <c:v> Average 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RR_year!$Y$4:$Y$34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RR_year!$AB$4:$AB$34</c:f>
              <c:numCache>
                <c:formatCode>0.0%</c:formatCode>
                <c:ptCount val="31"/>
                <c:pt idx="0">
                  <c:v>0.72934569103311975</c:v>
                </c:pt>
                <c:pt idx="1">
                  <c:v>0.72934569103311975</c:v>
                </c:pt>
                <c:pt idx="2">
                  <c:v>0.72934569103311975</c:v>
                </c:pt>
                <c:pt idx="3">
                  <c:v>0.72934569103311975</c:v>
                </c:pt>
                <c:pt idx="4">
                  <c:v>0.72934569103311975</c:v>
                </c:pt>
                <c:pt idx="5">
                  <c:v>0.72934569103311975</c:v>
                </c:pt>
                <c:pt idx="6">
                  <c:v>0.72934569103311975</c:v>
                </c:pt>
                <c:pt idx="7">
                  <c:v>0.72934569103311975</c:v>
                </c:pt>
                <c:pt idx="8">
                  <c:v>0.72934569103311975</c:v>
                </c:pt>
                <c:pt idx="9">
                  <c:v>0.72934569103311975</c:v>
                </c:pt>
                <c:pt idx="10">
                  <c:v>0.72934569103311975</c:v>
                </c:pt>
                <c:pt idx="11">
                  <c:v>0.72934569103311975</c:v>
                </c:pt>
                <c:pt idx="12">
                  <c:v>0.72934569103311975</c:v>
                </c:pt>
                <c:pt idx="13">
                  <c:v>0.72934569103311975</c:v>
                </c:pt>
                <c:pt idx="14">
                  <c:v>0.72934569103311975</c:v>
                </c:pt>
                <c:pt idx="15">
                  <c:v>0.72934569103311975</c:v>
                </c:pt>
                <c:pt idx="16">
                  <c:v>0.72934569103311975</c:v>
                </c:pt>
                <c:pt idx="17">
                  <c:v>0.72934569103311975</c:v>
                </c:pt>
                <c:pt idx="18">
                  <c:v>0.72934569103311975</c:v>
                </c:pt>
                <c:pt idx="19">
                  <c:v>0.72934569103311975</c:v>
                </c:pt>
                <c:pt idx="20">
                  <c:v>0.72934569103311975</c:v>
                </c:pt>
                <c:pt idx="21">
                  <c:v>0.72934569103311975</c:v>
                </c:pt>
                <c:pt idx="22">
                  <c:v>0.72934569103311975</c:v>
                </c:pt>
                <c:pt idx="23">
                  <c:v>0.72934569103311975</c:v>
                </c:pt>
                <c:pt idx="24">
                  <c:v>0.72934569103311975</c:v>
                </c:pt>
                <c:pt idx="25">
                  <c:v>0.72934569103311975</c:v>
                </c:pt>
                <c:pt idx="26">
                  <c:v>0.72934569103311975</c:v>
                </c:pt>
                <c:pt idx="27">
                  <c:v>0.72934569103311975</c:v>
                </c:pt>
                <c:pt idx="28">
                  <c:v>0.72934569103311975</c:v>
                </c:pt>
                <c:pt idx="29">
                  <c:v>0.72934569103311975</c:v>
                </c:pt>
                <c:pt idx="30">
                  <c:v>0.72934569103311975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26-4A89-869B-50D88CBC38B3}"/>
            </c:ext>
          </c:extLst>
        </c:ser>
        <c:ser>
          <c:idx val="1"/>
          <c:order val="2"/>
          <c:tx>
            <c:strRef>
              <c:f>RR_year!$AA$2</c:f>
              <c:strCache>
                <c:ptCount val="1"/>
                <c:pt idx="0">
                  <c:v>Recovery rate (left y-axis)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RR_year!$Y$4:$Y$34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RR_year!$AA$4:$AA$34</c:f>
              <c:numCache>
                <c:formatCode>0.00%</c:formatCode>
                <c:ptCount val="31"/>
                <c:pt idx="0">
                  <c:v>0.72362125103438646</c:v>
                </c:pt>
                <c:pt idx="1">
                  <c:v>0.52030336414398126</c:v>
                </c:pt>
                <c:pt idx="2">
                  <c:v>0.59583537633776906</c:v>
                </c:pt>
                <c:pt idx="3">
                  <c:v>0.59472568498717826</c:v>
                </c:pt>
                <c:pt idx="4">
                  <c:v>0.77279502844575798</c:v>
                </c:pt>
                <c:pt idx="5">
                  <c:v>0.73508956610080212</c:v>
                </c:pt>
                <c:pt idx="6">
                  <c:v>0.6168344430285494</c:v>
                </c:pt>
                <c:pt idx="7">
                  <c:v>0.65194748107309608</c:v>
                </c:pt>
                <c:pt idx="8">
                  <c:v>0.72695864562209456</c:v>
                </c:pt>
                <c:pt idx="9">
                  <c:v>0.86917204254142899</c:v>
                </c:pt>
                <c:pt idx="10">
                  <c:v>0.76820650539848878</c:v>
                </c:pt>
                <c:pt idx="11">
                  <c:v>0.71203125539859291</c:v>
                </c:pt>
                <c:pt idx="12">
                  <c:v>0.72490494641561243</c:v>
                </c:pt>
                <c:pt idx="13">
                  <c:v>0.80005508299502193</c:v>
                </c:pt>
                <c:pt idx="14">
                  <c:v>0.79896292259324553</c:v>
                </c:pt>
                <c:pt idx="15">
                  <c:v>0.71629177272954037</c:v>
                </c:pt>
                <c:pt idx="16">
                  <c:v>0.77642992254468646</c:v>
                </c:pt>
                <c:pt idx="17">
                  <c:v>0.78730316912069964</c:v>
                </c:pt>
                <c:pt idx="18">
                  <c:v>0.73583452051326537</c:v>
                </c:pt>
                <c:pt idx="19">
                  <c:v>0.64062508234274773</c:v>
                </c:pt>
                <c:pt idx="20">
                  <c:v>0.64392746395257461</c:v>
                </c:pt>
                <c:pt idx="21">
                  <c:v>0.70944317482607688</c:v>
                </c:pt>
                <c:pt idx="22">
                  <c:v>0.6070832022010344</c:v>
                </c:pt>
                <c:pt idx="23">
                  <c:v>0.77818471191233096</c:v>
                </c:pt>
                <c:pt idx="24">
                  <c:v>0.6179109925766022</c:v>
                </c:pt>
                <c:pt idx="25">
                  <c:v>0.70717151348222473</c:v>
                </c:pt>
                <c:pt idx="26">
                  <c:v>0.80116280539188989</c:v>
                </c:pt>
                <c:pt idx="27">
                  <c:v>0.7935213700211351</c:v>
                </c:pt>
                <c:pt idx="28">
                  <c:v>0.8602522357126271</c:v>
                </c:pt>
                <c:pt idx="29">
                  <c:v>0.78655865022665827</c:v>
                </c:pt>
                <c:pt idx="30">
                  <c:v>0.79757451970936144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26-4A89-869B-50D88CBC3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157472"/>
        <c:axId val="839448656"/>
      </c:lineChart>
      <c:catAx>
        <c:axId val="72215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839448656"/>
        <c:crosses val="autoZero"/>
        <c:auto val="1"/>
        <c:lblAlgn val="ctr"/>
        <c:lblOffset val="100"/>
        <c:tickLblSkip val="1"/>
        <c:noMultiLvlLbl val="0"/>
      </c:catAx>
      <c:valAx>
        <c:axId val="8394486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722157472"/>
        <c:crosses val="autoZero"/>
        <c:crossBetween val="between"/>
      </c:valAx>
      <c:valAx>
        <c:axId val="836291840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53611423"/>
        <c:crosses val="max"/>
        <c:crossBetween val="between"/>
      </c:valAx>
      <c:catAx>
        <c:axId val="13536114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6291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016172812522309E-2"/>
          <c:y val="0.93243755966784381"/>
          <c:w val="0.89748776806372133"/>
          <c:h val="5.8654011818580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78312275397796E-2"/>
          <c:y val="3.384909304813373E-2"/>
          <c:w val="0.91897586163594358"/>
          <c:h val="0.8243264708506834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RR_Dist!$C$33:$C$34</c:f>
              <c:strCache>
                <c:ptCount val="1"/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RR_Dist!$H$39:$Q$39</c:f>
              <c:strCache>
                <c:ptCount val="10"/>
                <c:pt idx="0">
                  <c:v>below 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RR_Dist!$F$34:$O$34</c:f>
              <c:numCache>
                <c:formatCode>0.0%</c:formatCode>
                <c:ptCount val="10"/>
                <c:pt idx="0">
                  <c:v>9.605774569683509E-2</c:v>
                </c:pt>
                <c:pt idx="1">
                  <c:v>3.5535813436979459E-2</c:v>
                </c:pt>
                <c:pt idx="2">
                  <c:v>4.3309272626318715E-2</c:v>
                </c:pt>
                <c:pt idx="3">
                  <c:v>3.3314825097168238E-2</c:v>
                </c:pt>
                <c:pt idx="4">
                  <c:v>3.886729594669628E-2</c:v>
                </c:pt>
                <c:pt idx="5">
                  <c:v>4.1088284286507494E-2</c:v>
                </c:pt>
                <c:pt idx="6">
                  <c:v>4.5530260966129929E-2</c:v>
                </c:pt>
                <c:pt idx="7">
                  <c:v>5.719044975013881E-2</c:v>
                </c:pt>
                <c:pt idx="8">
                  <c:v>9.2171016102165465E-2</c:v>
                </c:pt>
                <c:pt idx="9">
                  <c:v>0.51693503609106051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D-40F2-B10C-8A110F7E6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86585632"/>
        <c:axId val="1186587552"/>
      </c:barChart>
      <c:catAx>
        <c:axId val="118658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0"/>
                  <a:t>Recovery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86587552"/>
        <c:crosses val="autoZero"/>
        <c:auto val="1"/>
        <c:lblAlgn val="ctr"/>
        <c:lblOffset val="100"/>
        <c:noMultiLvlLbl val="0"/>
      </c:catAx>
      <c:valAx>
        <c:axId val="118658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0"/>
                  <a:t>Percent of all defaults</a:t>
                </a:r>
              </a:p>
            </c:rich>
          </c:tx>
          <c:layout>
            <c:manualLayout>
              <c:xMode val="edge"/>
              <c:yMode val="edge"/>
              <c:x val="0"/>
              <c:y val="0.283547989563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8658563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9925996495772316E-2"/>
          <c:y val="3.7348430267674287E-2"/>
          <c:w val="0.85563811180047844"/>
          <c:h val="0.79196873417138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RR_TtR!$Q$44</c:f>
              <c:strCache>
                <c:ptCount val="1"/>
                <c:pt idx="0">
                  <c:v>Resolutions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RR_TtR!$S$32:$AL$32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&gt;=20</c:v>
                </c:pt>
              </c:strCache>
            </c:strRef>
          </c:cat>
          <c:val>
            <c:numRef>
              <c:f>RR_TtR!$S$33:$AL$33</c:f>
              <c:numCache>
                <c:formatCode>#,##0</c:formatCode>
                <c:ptCount val="20"/>
                <c:pt idx="0">
                  <c:v>472</c:v>
                </c:pt>
                <c:pt idx="1">
                  <c:v>267</c:v>
                </c:pt>
                <c:pt idx="2">
                  <c:v>244</c:v>
                </c:pt>
                <c:pt idx="3">
                  <c:v>235</c:v>
                </c:pt>
                <c:pt idx="4">
                  <c:v>144</c:v>
                </c:pt>
                <c:pt idx="5">
                  <c:v>91</c:v>
                </c:pt>
                <c:pt idx="6">
                  <c:v>66</c:v>
                </c:pt>
                <c:pt idx="7">
                  <c:v>50</c:v>
                </c:pt>
                <c:pt idx="8">
                  <c:v>60</c:v>
                </c:pt>
                <c:pt idx="9">
                  <c:v>33</c:v>
                </c:pt>
                <c:pt idx="10">
                  <c:v>26</c:v>
                </c:pt>
                <c:pt idx="11">
                  <c:v>22</c:v>
                </c:pt>
                <c:pt idx="12">
                  <c:v>19</c:v>
                </c:pt>
                <c:pt idx="13">
                  <c:v>10</c:v>
                </c:pt>
                <c:pt idx="14">
                  <c:v>8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8</c:v>
                </c:pt>
                <c:pt idx="1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DF0-9BF9-A88F9CA76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41113615"/>
        <c:axId val="741114095"/>
      </c:barChart>
      <c:lineChart>
        <c:grouping val="standard"/>
        <c:varyColors val="0"/>
        <c:ser>
          <c:idx val="1"/>
          <c:order val="1"/>
          <c:tx>
            <c:strRef>
              <c:f>RR_TtR!$Q$45</c:f>
              <c:strCache>
                <c:ptCount val="1"/>
                <c:pt idx="0">
                  <c:v>% resolved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RR_TtR!$S$32:$AL$32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&gt;=20</c:v>
                </c:pt>
              </c:strCache>
            </c:strRef>
          </c:cat>
          <c:val>
            <c:numRef>
              <c:f>RR_TtR!$S$34:$AL$34</c:f>
              <c:numCache>
                <c:formatCode>0%</c:formatCode>
                <c:ptCount val="20"/>
                <c:pt idx="0">
                  <c:v>0.26207662409772348</c:v>
                </c:pt>
                <c:pt idx="1">
                  <c:v>0.41032759578012218</c:v>
                </c:pt>
                <c:pt idx="2">
                  <c:v>0.54580788450860629</c:v>
                </c:pt>
                <c:pt idx="3">
                  <c:v>0.67629094947251522</c:v>
                </c:pt>
                <c:pt idx="4">
                  <c:v>0.75624652970571904</c:v>
                </c:pt>
                <c:pt idx="5">
                  <c:v>0.80677401443642416</c:v>
                </c:pt>
                <c:pt idx="6">
                  <c:v>0.8434203220433093</c:v>
                </c:pt>
                <c:pt idx="7">
                  <c:v>0.87118267629094948</c:v>
                </c:pt>
                <c:pt idx="8">
                  <c:v>0.90449750138811769</c:v>
                </c:pt>
                <c:pt idx="9">
                  <c:v>0.9228206551915602</c:v>
                </c:pt>
                <c:pt idx="10">
                  <c:v>0.93725707940033309</c:v>
                </c:pt>
                <c:pt idx="11">
                  <c:v>0.94947251526929488</c:v>
                </c:pt>
                <c:pt idx="12">
                  <c:v>0.96002220988339815</c:v>
                </c:pt>
                <c:pt idx="13">
                  <c:v>0.96557468073292618</c:v>
                </c:pt>
                <c:pt idx="14">
                  <c:v>0.97001665741254861</c:v>
                </c:pt>
                <c:pt idx="15">
                  <c:v>0.97334813992226543</c:v>
                </c:pt>
                <c:pt idx="16">
                  <c:v>0.97612437534702945</c:v>
                </c:pt>
                <c:pt idx="17">
                  <c:v>0.97890061077179347</c:v>
                </c:pt>
                <c:pt idx="18">
                  <c:v>0.98334258745141589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D-4DF0-9BF9-A88F9CA76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860367"/>
        <c:axId val="680862287"/>
      </c:lineChart>
      <c:catAx>
        <c:axId val="74111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0"/>
                  <a:t>Year after default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741114095"/>
        <c:crosses val="autoZero"/>
        <c:auto val="1"/>
        <c:lblAlgn val="ctr"/>
        <c:lblOffset val="100"/>
        <c:noMultiLvlLbl val="0"/>
      </c:catAx>
      <c:valAx>
        <c:axId val="741114095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741113615"/>
        <c:crosses val="autoZero"/>
        <c:crossBetween val="between"/>
      </c:valAx>
      <c:valAx>
        <c:axId val="680862287"/>
        <c:scaling>
          <c:orientation val="minMax"/>
          <c:max val="1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680860367"/>
        <c:crosses val="max"/>
        <c:crossBetween val="between"/>
      </c:valAx>
      <c:catAx>
        <c:axId val="6808603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8622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70840781627431"/>
          <c:y val="0.93891316710411199"/>
          <c:w val="0.58448584955366378"/>
          <c:h val="5.46541879633466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65244969378828"/>
          <c:y val="2.1512597268953715E-2"/>
          <c:w val="0.88072812773403319"/>
          <c:h val="0.84608904865152723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DR_Year!$Q$5:$Q$35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DR_Year!$T$5:$T$35</c:f>
              <c:numCache>
                <c:formatCode>_(* #,##0_);_(* \(#,##0\);_(* "-"??_);_(@_)</c:formatCode>
                <c:ptCount val="31"/>
                <c:pt idx="0">
                  <c:v>530</c:v>
                </c:pt>
                <c:pt idx="1">
                  <c:v>613</c:v>
                </c:pt>
                <c:pt idx="2">
                  <c:v>700</c:v>
                </c:pt>
                <c:pt idx="3">
                  <c:v>754</c:v>
                </c:pt>
                <c:pt idx="4">
                  <c:v>769</c:v>
                </c:pt>
                <c:pt idx="5">
                  <c:v>815</c:v>
                </c:pt>
                <c:pt idx="6">
                  <c:v>896</c:v>
                </c:pt>
                <c:pt idx="7">
                  <c:v>942</c:v>
                </c:pt>
                <c:pt idx="8">
                  <c:v>980</c:v>
                </c:pt>
                <c:pt idx="9">
                  <c:v>995</c:v>
                </c:pt>
                <c:pt idx="10">
                  <c:v>1053</c:v>
                </c:pt>
                <c:pt idx="11">
                  <c:v>1155</c:v>
                </c:pt>
                <c:pt idx="12">
                  <c:v>1245</c:v>
                </c:pt>
                <c:pt idx="13">
                  <c:v>1303</c:v>
                </c:pt>
                <c:pt idx="14">
                  <c:v>1484</c:v>
                </c:pt>
                <c:pt idx="15">
                  <c:v>1697</c:v>
                </c:pt>
                <c:pt idx="16">
                  <c:v>1819</c:v>
                </c:pt>
                <c:pt idx="17">
                  <c:v>1948</c:v>
                </c:pt>
                <c:pt idx="18">
                  <c:v>2115</c:v>
                </c:pt>
                <c:pt idx="19">
                  <c:v>2328</c:v>
                </c:pt>
                <c:pt idx="20">
                  <c:v>2440</c:v>
                </c:pt>
                <c:pt idx="21">
                  <c:v>3071</c:v>
                </c:pt>
                <c:pt idx="22">
                  <c:v>3143</c:v>
                </c:pt>
                <c:pt idx="23">
                  <c:v>3155</c:v>
                </c:pt>
                <c:pt idx="24">
                  <c:v>3209</c:v>
                </c:pt>
                <c:pt idx="25">
                  <c:v>3327</c:v>
                </c:pt>
                <c:pt idx="26">
                  <c:v>3396</c:v>
                </c:pt>
                <c:pt idx="27">
                  <c:v>3343</c:v>
                </c:pt>
                <c:pt idx="28">
                  <c:v>3354</c:v>
                </c:pt>
                <c:pt idx="29">
                  <c:v>3360</c:v>
                </c:pt>
                <c:pt idx="30">
                  <c:v>3422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DR_Year!#REF!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D7E-49AB-BDB9-6F5C85466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8360224"/>
        <c:axId val="1158372224"/>
      </c:lineChart>
      <c:catAx>
        <c:axId val="115836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8372224"/>
        <c:crosses val="autoZero"/>
        <c:auto val="1"/>
        <c:lblAlgn val="ctr"/>
        <c:lblOffset val="100"/>
        <c:noMultiLvlLbl val="0"/>
      </c:catAx>
      <c:valAx>
        <c:axId val="1158372224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0"/>
                  <a:t>Number of active counterparties</a:t>
                </a:r>
              </a:p>
            </c:rich>
          </c:tx>
          <c:layout>
            <c:manualLayout>
              <c:xMode val="edge"/>
              <c:yMode val="edge"/>
              <c:x val="7.7966879700575543E-3"/>
              <c:y val="0.248812374181382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5836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431739618857901E-2"/>
          <c:y val="3.5755843835447464E-2"/>
          <c:w val="0.93714665958523558"/>
          <c:h val="0.7613999620804579"/>
        </c:manualLayout>
      </c:layout>
      <c:stockChart>
        <c:ser>
          <c:idx val="0"/>
          <c:order val="0"/>
          <c:tx>
            <c:strRef>
              <c:f>DR_Reg!$I$1</c:f>
              <c:strCache>
                <c:ptCount val="1"/>
                <c:pt idx="0">
                  <c:v>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DR_Reg!$C$8:$C$15</c:f>
              <c:strCache>
                <c:ptCount val="6"/>
                <c:pt idx="0">
                  <c:v>East Asia &amp; Pacific</c:v>
                </c:pt>
                <c:pt idx="1">
                  <c:v>Europe &amp; 
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DR_Reg!$I$8:$I$15</c:f>
              <c:numCache>
                <c:formatCode>0.00%</c:formatCode>
                <c:ptCount val="6"/>
                <c:pt idx="0">
                  <c:v>2.8857067941490389E-2</c:v>
                </c:pt>
                <c:pt idx="1">
                  <c:v>2.2873680076258351E-2</c:v>
                </c:pt>
                <c:pt idx="2">
                  <c:v>2.2759131733658951E-2</c:v>
                </c:pt>
                <c:pt idx="3">
                  <c:v>2.6116049438902712E-2</c:v>
                </c:pt>
                <c:pt idx="4">
                  <c:v>2.1954205423444392E-2</c:v>
                </c:pt>
                <c:pt idx="5">
                  <c:v>5.4642712644265512E-2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8-4F8C-AD3E-7C01DF00673A}"/>
            </c:ext>
          </c:extLst>
        </c:ser>
        <c:ser>
          <c:idx val="1"/>
          <c:order val="1"/>
          <c:tx>
            <c:strRef>
              <c:f>DR_Reg!$J$1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DR_Reg!$C$8:$C$15</c:f>
              <c:strCache>
                <c:ptCount val="6"/>
                <c:pt idx="0">
                  <c:v>East Asia &amp; Pacific</c:v>
                </c:pt>
                <c:pt idx="1">
                  <c:v>Europe &amp; 
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DR_Reg!$J$8:$J$15</c:f>
              <c:numCache>
                <c:formatCode>0.00%</c:formatCode>
                <c:ptCount val="6"/>
                <c:pt idx="0">
                  <c:v>3.888419273034658E-2</c:v>
                </c:pt>
                <c:pt idx="1">
                  <c:v>2.7432018383761012E-2</c:v>
                </c:pt>
                <c:pt idx="2">
                  <c:v>2.9128494244773311E-2</c:v>
                </c:pt>
                <c:pt idx="3">
                  <c:v>3.3937170373767478E-2</c:v>
                </c:pt>
                <c:pt idx="4">
                  <c:v>3.2759693137051633E-2</c:v>
                </c:pt>
                <c:pt idx="5">
                  <c:v>6.0494781600309237E-2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8-4F8C-AD3E-7C01DF00673A}"/>
            </c:ext>
          </c:extLst>
        </c:ser>
        <c:ser>
          <c:idx val="2"/>
          <c:order val="2"/>
          <c:tx>
            <c:strRef>
              <c:f>DR_Reg!$K$7</c:f>
              <c:strCache>
                <c:ptCount val="1"/>
                <c:pt idx="0">
                  <c:v>Upper of 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DR_Reg!$C$8:$C$15</c:f>
              <c:strCache>
                <c:ptCount val="6"/>
                <c:pt idx="0">
                  <c:v>East Asia &amp; Pacific</c:v>
                </c:pt>
                <c:pt idx="1">
                  <c:v>Europe &amp; 
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DR_Reg!$K$8:$K$15</c:f>
              <c:numCache>
                <c:formatCode>0.00%</c:formatCode>
                <c:ptCount val="6"/>
                <c:pt idx="0">
                  <c:v>4.8911317519202767E-2</c:v>
                </c:pt>
                <c:pt idx="1">
                  <c:v>3.1990356691263669E-2</c:v>
                </c:pt>
                <c:pt idx="2">
                  <c:v>3.549785675588768E-2</c:v>
                </c:pt>
                <c:pt idx="3">
                  <c:v>4.1758291308632262E-2</c:v>
                </c:pt>
                <c:pt idx="4">
                  <c:v>4.3565180850658858E-2</c:v>
                </c:pt>
                <c:pt idx="5">
                  <c:v>6.6346850556352976E-2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8-4F8C-AD3E-7C01DF006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02662572847194E-2"/>
          <c:y val="3.6037643943474265E-2"/>
          <c:w val="0.91399733742715283"/>
          <c:h val="0.66334128922721525"/>
        </c:manualLayout>
      </c:layout>
      <c:stockChart>
        <c:ser>
          <c:idx val="0"/>
          <c:order val="0"/>
          <c:tx>
            <c:strRef>
              <c:f>DR_GICS!$H$1</c:f>
              <c:strCache>
                <c:ptCount val="1"/>
                <c:pt idx="0">
                  <c:v>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DR_GICS!$H$8:$H$20</c:f>
              <c:numCache>
                <c:formatCode>0.00%</c:formatCode>
                <c:ptCount val="13"/>
                <c:pt idx="1">
                  <c:v>3.0837344967442181E-2</c:v>
                </c:pt>
                <c:pt idx="2">
                  <c:v>5.0306666797970689E-2</c:v>
                </c:pt>
                <c:pt idx="3">
                  <c:v>4.6190928518322488E-2</c:v>
                </c:pt>
                <c:pt idx="4">
                  <c:v>2.7212805532224091E-2</c:v>
                </c:pt>
                <c:pt idx="5">
                  <c:v>1.939518317377318E-2</c:v>
                </c:pt>
                <c:pt idx="6">
                  <c:v>4.5798747868272642E-2</c:v>
                </c:pt>
                <c:pt idx="7">
                  <c:v>2.9616965081812049E-2</c:v>
                </c:pt>
                <c:pt idx="8">
                  <c:v>3.3163213015522788E-2</c:v>
                </c:pt>
                <c:pt idx="9">
                  <c:v>3.8275758328729502E-2</c:v>
                </c:pt>
                <c:pt idx="10">
                  <c:v>3.9582866118512257E-2</c:v>
                </c:pt>
                <c:pt idx="11">
                  <c:v>2.5155780041075691E-2</c:v>
                </c:pt>
                <c:pt idx="12">
                  <c:v>3.1483604195233689E-2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DR_GICS!$M$8:$M$20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AD0-4EC7-A6B0-9AB5512CADB6}"/>
            </c:ext>
          </c:extLst>
        </c:ser>
        <c:ser>
          <c:idx val="1"/>
          <c:order val="1"/>
          <c:tx>
            <c:strRef>
              <c:f>DR_GICS!$I$1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DR_GICS!$I$8:$I$20</c:f>
              <c:numCache>
                <c:formatCode>0.00%</c:formatCode>
                <c:ptCount val="13"/>
                <c:pt idx="1">
                  <c:v>3.9650537634408602E-2</c:v>
                </c:pt>
                <c:pt idx="2">
                  <c:v>5.9570537981990301E-2</c:v>
                </c:pt>
                <c:pt idx="3">
                  <c:v>5.2999240698557333E-2</c:v>
                </c:pt>
                <c:pt idx="4">
                  <c:v>3.5634743875278388E-2</c:v>
                </c:pt>
                <c:pt idx="5">
                  <c:v>2.2564547624213491E-2</c:v>
                </c:pt>
                <c:pt idx="6">
                  <c:v>5.9629331184528608E-2</c:v>
                </c:pt>
                <c:pt idx="7">
                  <c:v>3.623874940786357E-2</c:v>
                </c:pt>
                <c:pt idx="8">
                  <c:v>5.9322033898305093E-2</c:v>
                </c:pt>
                <c:pt idx="9">
                  <c:v>4.5215759849906188E-2</c:v>
                </c:pt>
                <c:pt idx="10">
                  <c:v>4.9883990719257539E-2</c:v>
                </c:pt>
                <c:pt idx="11">
                  <c:v>2.953781999304992E-2</c:v>
                </c:pt>
                <c:pt idx="12">
                  <c:v>4.308617234468938E-2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DR_GICS!$M$8:$M$20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AD0-4EC7-A6B0-9AB5512CADB6}"/>
            </c:ext>
          </c:extLst>
        </c:ser>
        <c:ser>
          <c:idx val="2"/>
          <c:order val="2"/>
          <c:tx>
            <c:strRef>
              <c:f>DR_GICS!$J$7</c:f>
              <c:strCache>
                <c:ptCount val="1"/>
                <c:pt idx="0">
                  <c:v>Upper of 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DR_GICS!$J$8:$J$20</c:f>
              <c:numCache>
                <c:formatCode>0.00%</c:formatCode>
                <c:ptCount val="13"/>
                <c:pt idx="1">
                  <c:v>4.8463730301375033E-2</c:v>
                </c:pt>
                <c:pt idx="2">
                  <c:v>6.8834409166009913E-2</c:v>
                </c:pt>
                <c:pt idx="3">
                  <c:v>5.9807552878792157E-2</c:v>
                </c:pt>
                <c:pt idx="4">
                  <c:v>4.4056682218332699E-2</c:v>
                </c:pt>
                <c:pt idx="5">
                  <c:v>2.5733912074653809E-2</c:v>
                </c:pt>
                <c:pt idx="6">
                  <c:v>7.3459914500784582E-2</c:v>
                </c:pt>
                <c:pt idx="7">
                  <c:v>4.2860533733915088E-2</c:v>
                </c:pt>
                <c:pt idx="8">
                  <c:v>8.5480854781087384E-2</c:v>
                </c:pt>
                <c:pt idx="9">
                  <c:v>5.2155761371082882E-2</c:v>
                </c:pt>
                <c:pt idx="10">
                  <c:v>6.018511532000282E-2</c:v>
                </c:pt>
                <c:pt idx="11">
                  <c:v>3.3919859945024153E-2</c:v>
                </c:pt>
                <c:pt idx="12">
                  <c:v>5.4688740494145072E-2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DR_GICS!$M$8:$M$20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AD0-4EC7-A6B0-9AB5512CA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7587026761629263"/>
          <c:y val="0.94033009793166045"/>
          <c:w val="0.44825934395396333"/>
          <c:h val="5.6895015101284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DR_SecGrp_Year!$C$44</c:f>
              <c:strCache>
                <c:ptCount val="1"/>
                <c:pt idx="0">
                  <c:v>Overall average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DR_SecGrp_Year!$B$45:$B$75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DR_SecGrp_Year!$C$45:$C$75</c:f>
              <c:numCache>
                <c:formatCode>0.00%</c:formatCode>
                <c:ptCount val="30"/>
                <c:pt idx="0">
                  <c:v>3.5393608598237897E-2</c:v>
                </c:pt>
                <c:pt idx="1">
                  <c:v>3.5393608598237897E-2</c:v>
                </c:pt>
                <c:pt idx="2">
                  <c:v>3.5393608598237897E-2</c:v>
                </c:pt>
                <c:pt idx="3">
                  <c:v>3.5393608598237897E-2</c:v>
                </c:pt>
                <c:pt idx="4">
                  <c:v>3.5393608598237897E-2</c:v>
                </c:pt>
                <c:pt idx="5">
                  <c:v>3.5393608598237897E-2</c:v>
                </c:pt>
                <c:pt idx="6">
                  <c:v>3.5393608598237897E-2</c:v>
                </c:pt>
                <c:pt idx="7">
                  <c:v>3.5393608598237897E-2</c:v>
                </c:pt>
                <c:pt idx="8">
                  <c:v>3.5393608598237897E-2</c:v>
                </c:pt>
                <c:pt idx="9">
                  <c:v>3.5393608598237897E-2</c:v>
                </c:pt>
                <c:pt idx="10">
                  <c:v>3.5393608598237897E-2</c:v>
                </c:pt>
                <c:pt idx="11">
                  <c:v>3.5393608598237897E-2</c:v>
                </c:pt>
                <c:pt idx="12">
                  <c:v>3.5393608598237897E-2</c:v>
                </c:pt>
                <c:pt idx="13">
                  <c:v>3.5393608598237897E-2</c:v>
                </c:pt>
                <c:pt idx="14">
                  <c:v>3.5393608598237897E-2</c:v>
                </c:pt>
                <c:pt idx="15">
                  <c:v>3.5393608598237897E-2</c:v>
                </c:pt>
                <c:pt idx="16">
                  <c:v>3.5393608598237897E-2</c:v>
                </c:pt>
                <c:pt idx="17">
                  <c:v>3.5393608598237897E-2</c:v>
                </c:pt>
                <c:pt idx="18">
                  <c:v>3.5393608598237897E-2</c:v>
                </c:pt>
                <c:pt idx="19">
                  <c:v>3.5393608598237897E-2</c:v>
                </c:pt>
                <c:pt idx="20">
                  <c:v>3.5393608598237897E-2</c:v>
                </c:pt>
                <c:pt idx="21">
                  <c:v>3.5393608598237897E-2</c:v>
                </c:pt>
                <c:pt idx="22">
                  <c:v>3.5393608598237897E-2</c:v>
                </c:pt>
                <c:pt idx="23">
                  <c:v>3.5393608598237897E-2</c:v>
                </c:pt>
                <c:pt idx="24">
                  <c:v>3.5393608598237897E-2</c:v>
                </c:pt>
                <c:pt idx="25">
                  <c:v>3.5393608598237897E-2</c:v>
                </c:pt>
                <c:pt idx="26">
                  <c:v>3.5393608598237897E-2</c:v>
                </c:pt>
                <c:pt idx="27">
                  <c:v>3.5393608598237897E-2</c:v>
                </c:pt>
                <c:pt idx="28">
                  <c:v>3.5393608598237897E-2</c:v>
                </c:pt>
                <c:pt idx="29">
                  <c:v>3.5393608598237897E-2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3-4046-829C-0D926A91CE88}"/>
            </c:ext>
          </c:extLst>
        </c:ser>
        <c:ser>
          <c:idx val="1"/>
          <c:order val="1"/>
          <c:tx>
            <c:strRef>
              <c:f>DR_SecGrp_Year!$D$44</c:f>
              <c:strCache>
                <c:ptCount val="1"/>
                <c:pt idx="0">
                  <c:v>Financial institutions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DR_SecGrp_Year!$B$45:$B$75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DR_SecGrp_Year!$D$45:$D$75</c:f>
              <c:numCache>
                <c:formatCode>0.00%</c:formatCode>
                <c:ptCount val="30"/>
                <c:pt idx="0">
                  <c:v>1.075268817204301E-2</c:v>
                </c:pt>
                <c:pt idx="1">
                  <c:v>0</c:v>
                </c:pt>
                <c:pt idx="2">
                  <c:v>1.2738853503184711E-2</c:v>
                </c:pt>
                <c:pt idx="3">
                  <c:v>1.075268817204301E-2</c:v>
                </c:pt>
                <c:pt idx="4">
                  <c:v>8.4158415841584164E-2</c:v>
                </c:pt>
                <c:pt idx="5">
                  <c:v>3.1963470319634701E-2</c:v>
                </c:pt>
                <c:pt idx="6">
                  <c:v>3.2258064516129031E-2</c:v>
                </c:pt>
                <c:pt idx="7">
                  <c:v>3.8596491228070177E-2</c:v>
                </c:pt>
                <c:pt idx="8">
                  <c:v>6.0897435897435903E-2</c:v>
                </c:pt>
                <c:pt idx="9">
                  <c:v>3.9156626506024098E-2</c:v>
                </c:pt>
                <c:pt idx="10">
                  <c:v>3.7940379403794043E-2</c:v>
                </c:pt>
                <c:pt idx="11">
                  <c:v>1.8912529550827419E-2</c:v>
                </c:pt>
                <c:pt idx="12">
                  <c:v>2.204408817635271E-2</c:v>
                </c:pt>
                <c:pt idx="13">
                  <c:v>2.517985611510791E-2</c:v>
                </c:pt>
                <c:pt idx="14">
                  <c:v>2.6397515527950308E-2</c:v>
                </c:pt>
                <c:pt idx="15">
                  <c:v>2.7624309392265189E-2</c:v>
                </c:pt>
                <c:pt idx="16">
                  <c:v>2.2546419098143231E-2</c:v>
                </c:pt>
                <c:pt idx="17">
                  <c:v>1.7478152309612981E-2</c:v>
                </c:pt>
                <c:pt idx="18">
                  <c:v>2.0594965675057211E-2</c:v>
                </c:pt>
                <c:pt idx="19">
                  <c:v>5.5066079295154188E-3</c:v>
                </c:pt>
                <c:pt idx="20">
                  <c:v>1.467505241090147E-2</c:v>
                </c:pt>
                <c:pt idx="21">
                  <c:v>1.4503816793893129E-2</c:v>
                </c:pt>
                <c:pt idx="22">
                  <c:v>2.0331325301204819E-2</c:v>
                </c:pt>
                <c:pt idx="23">
                  <c:v>1.987767584097859E-2</c:v>
                </c:pt>
                <c:pt idx="24">
                  <c:v>1.444866920152091E-2</c:v>
                </c:pt>
                <c:pt idx="25">
                  <c:v>2.5887573964497038E-2</c:v>
                </c:pt>
                <c:pt idx="26">
                  <c:v>3.7527593818984538E-2</c:v>
                </c:pt>
                <c:pt idx="27">
                  <c:v>2.0029673590504449E-2</c:v>
                </c:pt>
                <c:pt idx="28">
                  <c:v>1.7910447761194031E-2</c:v>
                </c:pt>
                <c:pt idx="29">
                  <c:v>2.1577380952380949E-2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3-4046-829C-0D926A91CE88}"/>
            </c:ext>
          </c:extLst>
        </c:ser>
        <c:ser>
          <c:idx val="2"/>
          <c:order val="2"/>
          <c:tx>
            <c:strRef>
              <c:f>DR_SecGrp_Year!$E$44</c:f>
              <c:strCache>
                <c:ptCount val="1"/>
                <c:pt idx="0">
                  <c:v>Non-financial institutions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DR_SecGrp_Year!$B$45:$B$75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DR_SecGrp_Year!$E$45:$E$75</c:f>
              <c:numCache>
                <c:formatCode>0.00%</c:formatCode>
                <c:ptCount val="30"/>
                <c:pt idx="0">
                  <c:v>2.7459954233409609E-2</c:v>
                </c:pt>
                <c:pt idx="1">
                  <c:v>4.065040650406504E-2</c:v>
                </c:pt>
                <c:pt idx="2">
                  <c:v>2.0257826887661139E-2</c:v>
                </c:pt>
                <c:pt idx="3">
                  <c:v>4.7535211267605633E-2</c:v>
                </c:pt>
                <c:pt idx="4">
                  <c:v>8.8183421516754845E-2</c:v>
                </c:pt>
                <c:pt idx="5">
                  <c:v>4.5302013422818789E-2</c:v>
                </c:pt>
                <c:pt idx="6">
                  <c:v>4.6296296296296287E-2</c:v>
                </c:pt>
                <c:pt idx="7">
                  <c:v>5.7838660578386603E-2</c:v>
                </c:pt>
                <c:pt idx="8">
                  <c:v>8.5329341317365276E-2</c:v>
                </c:pt>
                <c:pt idx="9">
                  <c:v>8.2956259426847659E-2</c:v>
                </c:pt>
                <c:pt idx="10">
                  <c:v>4.3859649122807022E-2</c:v>
                </c:pt>
                <c:pt idx="11">
                  <c:v>3.6885245901639337E-2</c:v>
                </c:pt>
                <c:pt idx="12">
                  <c:v>3.6193029490616632E-2</c:v>
                </c:pt>
                <c:pt idx="13">
                  <c:v>3.078982597054886E-2</c:v>
                </c:pt>
                <c:pt idx="14">
                  <c:v>3.8095238095238099E-2</c:v>
                </c:pt>
                <c:pt idx="15">
                  <c:v>4.3165467625899283E-2</c:v>
                </c:pt>
                <c:pt idx="16">
                  <c:v>5.3521126760563378E-2</c:v>
                </c:pt>
                <c:pt idx="17">
                  <c:v>4.0104620749782043E-2</c:v>
                </c:pt>
                <c:pt idx="18">
                  <c:v>3.8678485092667213E-2</c:v>
                </c:pt>
                <c:pt idx="19">
                  <c:v>3.3802816901408447E-2</c:v>
                </c:pt>
                <c:pt idx="20">
                  <c:v>5.585464333781965E-2</c:v>
                </c:pt>
                <c:pt idx="21">
                  <c:v>4.0318001135718338E-2</c:v>
                </c:pt>
                <c:pt idx="22">
                  <c:v>4.8484848484848478E-2</c:v>
                </c:pt>
                <c:pt idx="23">
                  <c:v>3.8982133188955062E-2</c:v>
                </c:pt>
                <c:pt idx="24">
                  <c:v>3.6958817317845831E-2</c:v>
                </c:pt>
                <c:pt idx="25">
                  <c:v>4.1012658227848102E-2</c:v>
                </c:pt>
                <c:pt idx="26">
                  <c:v>5.9891998036327943E-2</c:v>
                </c:pt>
                <c:pt idx="27">
                  <c:v>3.7593984962406013E-2</c:v>
                </c:pt>
                <c:pt idx="28">
                  <c:v>4.1708043694141023E-2</c:v>
                </c:pt>
                <c:pt idx="29">
                  <c:v>4.0178571428571432E-2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3-4046-829C-0D926A91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039760"/>
        <c:axId val="457040240"/>
      </c:lineChart>
      <c:catAx>
        <c:axId val="45703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40240"/>
        <c:crosses val="autoZero"/>
        <c:auto val="1"/>
        <c:lblAlgn val="ctr"/>
        <c:lblOffset val="100"/>
        <c:noMultiLvlLbl val="0"/>
      </c:catAx>
      <c:valAx>
        <c:axId val="4570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b="0"/>
                  <a:t>Observed default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39760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DR_Inc!$H$1</c:f>
              <c:strCache>
                <c:ptCount val="1"/>
                <c:pt idx="0">
                  <c:v>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DR_Inc!$H$8:$H$12</c:f>
              <c:numCache>
                <c:formatCode>0.00%</c:formatCode>
                <c:ptCount val="5"/>
                <c:pt idx="0">
                  <c:v>1.3902246564463429E-2</c:v>
                </c:pt>
                <c:pt idx="1">
                  <c:v>2.2516289254290799E-2</c:v>
                </c:pt>
                <c:pt idx="2">
                  <c:v>3.3851516910382823E-2</c:v>
                </c:pt>
                <c:pt idx="3">
                  <c:v>6.2859264636415169E-2</c:v>
                </c:pt>
                <c:pt idx="4">
                  <c:v>2.3909193577443168E-2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BA-440B-9720-40F5000F5A42}"/>
            </c:ext>
          </c:extLst>
        </c:ser>
        <c:ser>
          <c:idx val="1"/>
          <c:order val="1"/>
          <c:tx>
            <c:strRef>
              <c:f>DR_Inc!$I$1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DR_Inc!$I$8:$I$12</c:f>
              <c:numCache>
                <c:formatCode>0.00%</c:formatCode>
                <c:ptCount val="5"/>
                <c:pt idx="0">
                  <c:v>1.888858472488366E-2</c:v>
                </c:pt>
                <c:pt idx="1">
                  <c:v>2.6795591428688492E-2</c:v>
                </c:pt>
                <c:pt idx="2">
                  <c:v>3.7931833990262002E-2</c:v>
                </c:pt>
                <c:pt idx="3">
                  <c:v>7.1926833049139674E-2</c:v>
                </c:pt>
                <c:pt idx="4">
                  <c:v>2.9223744292237439E-2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BA-440B-9720-40F5000F5A42}"/>
            </c:ext>
          </c:extLst>
        </c:ser>
        <c:ser>
          <c:idx val="2"/>
          <c:order val="2"/>
          <c:tx>
            <c:strRef>
              <c:f>DR_Inc!$J$7</c:f>
              <c:strCache>
                <c:ptCount val="1"/>
                <c:pt idx="0">
                  <c:v>Upper of 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DR_Inc!$J$8:$J$12</c:f>
              <c:numCache>
                <c:formatCode>0.00%</c:formatCode>
                <c:ptCount val="5"/>
                <c:pt idx="0">
                  <c:v>2.3874922885303879E-2</c:v>
                </c:pt>
                <c:pt idx="1">
                  <c:v>3.1074893603086181E-2</c:v>
                </c:pt>
                <c:pt idx="2">
                  <c:v>4.2012151070141182E-2</c:v>
                </c:pt>
                <c:pt idx="3">
                  <c:v>8.0994401461864179E-2</c:v>
                </c:pt>
                <c:pt idx="4">
                  <c:v>3.4538295007031712E-2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BA-440B-9720-40F5000F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DR_Proj!$H$1</c:f>
              <c:strCache>
                <c:ptCount val="1"/>
                <c:pt idx="0">
                  <c:v>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DR_Proj!$B$8:$B$14</c:f>
              <c:strCache>
                <c:ptCount val="5"/>
                <c:pt idx="0">
                  <c:v>Corporate finance</c:v>
                </c:pt>
                <c:pt idx="1">
                  <c:v>Financial institution finance</c:v>
                </c:pt>
                <c:pt idx="2">
                  <c:v>Project finance</c:v>
                </c:pt>
                <c:pt idx="3">
                  <c:v>Structured finance</c:v>
                </c:pt>
                <c:pt idx="4">
                  <c:v>Other</c:v>
                </c:pt>
              </c:strCache>
            </c:strRef>
          </c:cat>
          <c:val>
            <c:numRef>
              <c:f>DR_Proj!$E$8:$E$14</c:f>
              <c:numCache>
                <c:formatCode>0.00%</c:formatCode>
                <c:ptCount val="5"/>
                <c:pt idx="0">
                  <c:v>4.4564872828862817E-2</c:v>
                </c:pt>
                <c:pt idx="1">
                  <c:v>1.949330894757988E-2</c:v>
                </c:pt>
                <c:pt idx="2">
                  <c:v>3.2133524918870372E-2</c:v>
                </c:pt>
                <c:pt idx="3">
                  <c:v>0</c:v>
                </c:pt>
                <c:pt idx="4">
                  <c:v>3.077622401925682E-2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F7-41E5-A61C-43E2306330E8}"/>
            </c:ext>
          </c:extLst>
        </c:ser>
        <c:ser>
          <c:idx val="1"/>
          <c:order val="1"/>
          <c:tx>
            <c:strRef>
              <c:f>DR_Proj!$I$1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DR_Proj!$B$8:$B$14</c:f>
              <c:strCache>
                <c:ptCount val="5"/>
                <c:pt idx="0">
                  <c:v>Corporate finance</c:v>
                </c:pt>
                <c:pt idx="1">
                  <c:v>Financial institution finance</c:v>
                </c:pt>
                <c:pt idx="2">
                  <c:v>Project finance</c:v>
                </c:pt>
                <c:pt idx="3">
                  <c:v>Structured finance</c:v>
                </c:pt>
                <c:pt idx="4">
                  <c:v>Other</c:v>
                </c:pt>
              </c:strCache>
            </c:strRef>
          </c:cat>
          <c:val>
            <c:numRef>
              <c:f>DR_Proj!$F$8:$F$14</c:f>
              <c:numCache>
                <c:formatCode>0.00%</c:formatCode>
                <c:ptCount val="5"/>
                <c:pt idx="0">
                  <c:v>4.8716158560235832E-2</c:v>
                </c:pt>
                <c:pt idx="1">
                  <c:v>2.290225760146157E-2</c:v>
                </c:pt>
                <c:pt idx="2">
                  <c:v>3.5527156549520773E-2</c:v>
                </c:pt>
                <c:pt idx="3">
                  <c:v>1.038961038961039E-2</c:v>
                </c:pt>
                <c:pt idx="4">
                  <c:v>3.6432604093154547E-2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F7-41E5-A61C-43E2306330E8}"/>
            </c:ext>
          </c:extLst>
        </c:ser>
        <c:ser>
          <c:idx val="2"/>
          <c:order val="2"/>
          <c:tx>
            <c:strRef>
              <c:f>DR_Proj!$G$7</c:f>
              <c:strCache>
                <c:ptCount val="1"/>
                <c:pt idx="0">
                  <c:v>Upper of 90% confidence interval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DR_Proj!$B$8:$B$14</c:f>
              <c:strCache>
                <c:ptCount val="5"/>
                <c:pt idx="0">
                  <c:v>Corporate finance</c:v>
                </c:pt>
                <c:pt idx="1">
                  <c:v>Financial institution finance</c:v>
                </c:pt>
                <c:pt idx="2">
                  <c:v>Project finance</c:v>
                </c:pt>
                <c:pt idx="3">
                  <c:v>Structured finance</c:v>
                </c:pt>
                <c:pt idx="4">
                  <c:v>Other</c:v>
                </c:pt>
              </c:strCache>
            </c:strRef>
          </c:cat>
          <c:val>
            <c:numRef>
              <c:f>DR_Proj!$G$8:$G$14</c:f>
              <c:numCache>
                <c:formatCode>0.00%</c:formatCode>
                <c:ptCount val="5"/>
                <c:pt idx="0">
                  <c:v>5.2867444291608827E-2</c:v>
                </c:pt>
                <c:pt idx="1">
                  <c:v>2.6311206255343261E-2</c:v>
                </c:pt>
                <c:pt idx="2">
                  <c:v>3.8920788180171167E-2</c:v>
                </c:pt>
                <c:pt idx="3">
                  <c:v>2.082668800341524E-2</c:v>
                </c:pt>
                <c:pt idx="4">
                  <c:v>4.2088984167052292E-2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F7-41E5-A61C-43E230633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746493478718164E-2"/>
          <c:y val="3.8144690549193554E-2"/>
          <c:w val="0.90293889544132611"/>
          <c:h val="0.81385527466961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Rt_Freq!$R$4</c:f>
              <c:strCache>
                <c:ptCount val="1"/>
                <c:pt idx="0">
                  <c:v>Percent of 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Rt_Freq!$Q$5:$Q$24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Rt_Freq!$R$5:$R$24</c:f>
              <c:numCache>
                <c:formatCode>0.0%</c:formatCode>
                <c:ptCount val="20"/>
                <c:pt idx="0">
                  <c:v>1.9213403270121237E-4</c:v>
                </c:pt>
                <c:pt idx="1">
                  <c:v>2.3056083924145483E-4</c:v>
                </c:pt>
                <c:pt idx="2">
                  <c:v>9.6067016350606183E-4</c:v>
                </c:pt>
                <c:pt idx="3">
                  <c:v>4.8417776240705515E-3</c:v>
                </c:pt>
                <c:pt idx="4">
                  <c:v>8.453897438853344E-4</c:v>
                </c:pt>
                <c:pt idx="5">
                  <c:v>2.4977424251157606E-3</c:v>
                </c:pt>
                <c:pt idx="6">
                  <c:v>2.4401022153053972E-3</c:v>
                </c:pt>
                <c:pt idx="7">
                  <c:v>1.9328683689741964E-2</c:v>
                </c:pt>
                <c:pt idx="8">
                  <c:v>2.4612369589025303E-2</c:v>
                </c:pt>
                <c:pt idx="9">
                  <c:v>7.016734874248276E-2</c:v>
                </c:pt>
                <c:pt idx="10">
                  <c:v>0.14435029876842084</c:v>
                </c:pt>
                <c:pt idx="11">
                  <c:v>0.1657540300113359</c:v>
                </c:pt>
                <c:pt idx="12">
                  <c:v>0.14673276077391589</c:v>
                </c:pt>
                <c:pt idx="13">
                  <c:v>5.0204622744826788E-2</c:v>
                </c:pt>
                <c:pt idx="14">
                  <c:v>6.9821507483620579E-2</c:v>
                </c:pt>
                <c:pt idx="15">
                  <c:v>7.8986300843468402E-2</c:v>
                </c:pt>
                <c:pt idx="16">
                  <c:v>9.8142063903779275E-2</c:v>
                </c:pt>
                <c:pt idx="17">
                  <c:v>7.3875535573616161E-2</c:v>
                </c:pt>
                <c:pt idx="18">
                  <c:v>3.4026937191384707E-2</c:v>
                </c:pt>
                <c:pt idx="19">
                  <c:v>1.1989163640555651E-2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18-452E-8F42-79487D20E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74633760"/>
        <c:axId val="374634720"/>
      </c:barChart>
      <c:catAx>
        <c:axId val="37463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0">
                    <a:solidFill>
                      <a:sysClr val="windowText" lastClr="000000"/>
                    </a:solidFill>
                  </a:rPr>
                  <a:t>Aligned GEMs ratings</a:t>
                </a:r>
              </a:p>
            </c:rich>
          </c:tx>
          <c:layout>
            <c:manualLayout>
              <c:xMode val="edge"/>
              <c:yMode val="edge"/>
              <c:x val="0.43579230660169982"/>
              <c:y val="0.941460837132200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74634720"/>
        <c:crosses val="autoZero"/>
        <c:auto val="1"/>
        <c:lblAlgn val="ctr"/>
        <c:lblOffset val="100"/>
        <c:noMultiLvlLbl val="0"/>
      </c:catAx>
      <c:valAx>
        <c:axId val="37463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0">
                    <a:solidFill>
                      <a:sysClr val="windowText" lastClr="000000"/>
                    </a:solidFill>
                  </a:rPr>
                  <a:t>Percentage of total</a:t>
                </a:r>
              </a:p>
            </c:rich>
          </c:tx>
          <c:layout>
            <c:manualLayout>
              <c:xMode val="edge"/>
              <c:yMode val="edge"/>
              <c:x val="3.7666479295748001E-3"/>
              <c:y val="0.332073833323220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37463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094882852797662E-2"/>
          <c:y val="3.2159299503010975E-2"/>
          <c:w val="0.90707299923133189"/>
          <c:h val="0.7451539986073169"/>
        </c:manualLayout>
      </c:layout>
      <c:lineChart>
        <c:grouping val="standard"/>
        <c:varyColors val="0"/>
        <c:ser>
          <c:idx val="0"/>
          <c:order val="0"/>
          <c:tx>
            <c:strRef>
              <c:f>DR_Rt_1y!$A$31</c:f>
              <c:strCache>
                <c:ptCount val="1"/>
                <c:pt idx="0">
                  <c:v>Observed default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DR_Rt_1y!$B$30:$U$30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DR_Rt_1y!$B$31:$U$31</c:f>
              <c:numCache>
                <c:formatCode>0.0%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1E-3</c:v>
                </c:pt>
                <c:pt idx="8">
                  <c:v>2.5000000000000001E-3</c:v>
                </c:pt>
                <c:pt idx="9">
                  <c:v>4.3E-3</c:v>
                </c:pt>
                <c:pt idx="10">
                  <c:v>7.4999999999999997E-3</c:v>
                </c:pt>
                <c:pt idx="11">
                  <c:v>1.2800000000000001E-2</c:v>
                </c:pt>
                <c:pt idx="12">
                  <c:v>1.9900000000000001E-2</c:v>
                </c:pt>
                <c:pt idx="13">
                  <c:v>2.69E-2</c:v>
                </c:pt>
                <c:pt idx="14">
                  <c:v>3.3599999999999998E-2</c:v>
                </c:pt>
                <c:pt idx="15">
                  <c:v>4.8099999999999997E-2</c:v>
                </c:pt>
                <c:pt idx="16">
                  <c:v>7.1400000000000005E-2</c:v>
                </c:pt>
                <c:pt idx="17">
                  <c:v>0.10589999999999999</c:v>
                </c:pt>
                <c:pt idx="18">
                  <c:v>0.16450000000000001</c:v>
                </c:pt>
                <c:pt idx="19">
                  <c:v>0.2462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8-46CD-9D84-549605009E47}"/>
            </c:ext>
          </c:extLst>
        </c:ser>
        <c:ser>
          <c:idx val="1"/>
          <c:order val="1"/>
          <c:tx>
            <c:strRef>
              <c:f>DR_Rt_1y!$A$32</c:f>
              <c:strCache>
                <c:ptCount val="1"/>
                <c:pt idx="0">
                  <c:v>Average default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DR_Rt_1y!$B$30:$U$30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DR_Rt_1y!$B$32:$U$32</c:f>
              <c:numCache>
                <c:formatCode>0.00%</c:formatCode>
                <c:ptCount val="20"/>
                <c:pt idx="0">
                  <c:v>3.7206279575133498E-2</c:v>
                </c:pt>
                <c:pt idx="1">
                  <c:v>3.7206279575133498E-2</c:v>
                </c:pt>
                <c:pt idx="2">
                  <c:v>3.7206279575133498E-2</c:v>
                </c:pt>
                <c:pt idx="3">
                  <c:v>3.7206279575133498E-2</c:v>
                </c:pt>
                <c:pt idx="4">
                  <c:v>3.7206279575133498E-2</c:v>
                </c:pt>
                <c:pt idx="5">
                  <c:v>3.7206279575133498E-2</c:v>
                </c:pt>
                <c:pt idx="6">
                  <c:v>3.7206279575133498E-2</c:v>
                </c:pt>
                <c:pt idx="7">
                  <c:v>3.7206279575133498E-2</c:v>
                </c:pt>
                <c:pt idx="8">
                  <c:v>3.7206279575133498E-2</c:v>
                </c:pt>
                <c:pt idx="9">
                  <c:v>3.7206279575133498E-2</c:v>
                </c:pt>
                <c:pt idx="10">
                  <c:v>3.7206279575133498E-2</c:v>
                </c:pt>
                <c:pt idx="11">
                  <c:v>3.7206279575133498E-2</c:v>
                </c:pt>
                <c:pt idx="12">
                  <c:v>3.7206279575133498E-2</c:v>
                </c:pt>
                <c:pt idx="13">
                  <c:v>3.7206279575133498E-2</c:v>
                </c:pt>
                <c:pt idx="14">
                  <c:v>3.7206279575133498E-2</c:v>
                </c:pt>
                <c:pt idx="15">
                  <c:v>3.7206279575133498E-2</c:v>
                </c:pt>
                <c:pt idx="16">
                  <c:v>3.7206279575133498E-2</c:v>
                </c:pt>
                <c:pt idx="17">
                  <c:v>3.7206279575133498E-2</c:v>
                </c:pt>
                <c:pt idx="18">
                  <c:v>3.7206279575133498E-2</c:v>
                </c:pt>
                <c:pt idx="19">
                  <c:v>3.7206279575133498E-2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88-46CD-9D84-549605009E47}"/>
            </c:ext>
          </c:extLst>
        </c:ser>
        <c:ser>
          <c:idx val="2"/>
          <c:order val="2"/>
          <c:tx>
            <c:strRef>
              <c:f>DR_Rt_1y!$A$33</c:f>
              <c:strCache>
                <c:ptCount val="1"/>
                <c:pt idx="0">
                  <c:v>GEMs PD master scale 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DR_Rt_1y!$B$30:$U$30</c:f>
              <c:strCache>
                <c:ptCount val="20"/>
                <c:pt idx="0">
                  <c:v>Gi1</c:v>
                </c:pt>
                <c:pt idx="1">
                  <c:v>Gi2</c:v>
                </c:pt>
                <c:pt idx="2">
                  <c:v>Gi3</c:v>
                </c:pt>
                <c:pt idx="3">
                  <c:v>Gi4</c:v>
                </c:pt>
                <c:pt idx="4">
                  <c:v>Gi5</c:v>
                </c:pt>
                <c:pt idx="5">
                  <c:v>Gi6</c:v>
                </c:pt>
                <c:pt idx="6">
                  <c:v>Gi7</c:v>
                </c:pt>
                <c:pt idx="7">
                  <c:v>Gi8</c:v>
                </c:pt>
                <c:pt idx="8">
                  <c:v>Gi9</c:v>
                </c:pt>
                <c:pt idx="9">
                  <c:v>Gi10</c:v>
                </c:pt>
                <c:pt idx="10">
                  <c:v>Gs1</c:v>
                </c:pt>
                <c:pt idx="11">
                  <c:v>Gs2</c:v>
                </c:pt>
                <c:pt idx="12">
                  <c:v>Gs3</c:v>
                </c:pt>
                <c:pt idx="13">
                  <c:v>Gs4</c:v>
                </c:pt>
                <c:pt idx="14">
                  <c:v>Gs5</c:v>
                </c:pt>
                <c:pt idx="15">
                  <c:v>Gs6</c:v>
                </c:pt>
                <c:pt idx="16">
                  <c:v>Gs7</c:v>
                </c:pt>
                <c:pt idx="17">
                  <c:v>Gs8</c:v>
                </c:pt>
                <c:pt idx="18">
                  <c:v>Gs9</c:v>
                </c:pt>
                <c:pt idx="19">
                  <c:v>Gs10</c:v>
                </c:pt>
              </c:strCache>
            </c:strRef>
          </c:cat>
          <c:val>
            <c:numRef>
              <c:f>DR_Rt_1y!$B$33:$U$33</c:f>
              <c:numCache>
                <c:formatCode>0.00%</c:formatCode>
                <c:ptCount val="20"/>
                <c:pt idx="0">
                  <c:v>9.9999999999999995E-7</c:v>
                </c:pt>
                <c:pt idx="1">
                  <c:v>6.0000000000000002E-6</c:v>
                </c:pt>
                <c:pt idx="2">
                  <c:v>1.4E-5</c:v>
                </c:pt>
                <c:pt idx="3">
                  <c:v>3.0000000000000001E-5</c:v>
                </c:pt>
                <c:pt idx="4">
                  <c:v>5.8E-5</c:v>
                </c:pt>
                <c:pt idx="5">
                  <c:v>1.0900000000000001E-4</c:v>
                </c:pt>
                <c:pt idx="6">
                  <c:v>2.5555E-4</c:v>
                </c:pt>
                <c:pt idx="7">
                  <c:v>8.4174999999999994E-4</c:v>
                </c:pt>
                <c:pt idx="8">
                  <c:v>2.1606999999999998E-3</c:v>
                </c:pt>
                <c:pt idx="9">
                  <c:v>4.5054999999999991E-3</c:v>
                </c:pt>
                <c:pt idx="10">
                  <c:v>8.1692499999999994E-3</c:v>
                </c:pt>
                <c:pt idx="11">
                  <c:v>1.344505E-2</c:v>
                </c:pt>
                <c:pt idx="12">
                  <c:v>2.0625999999999999E-2</c:v>
                </c:pt>
                <c:pt idx="13">
                  <c:v>2.7432000000000002E-2</c:v>
                </c:pt>
                <c:pt idx="14">
                  <c:v>3.4840000000000003E-2</c:v>
                </c:pt>
                <c:pt idx="15">
                  <c:v>4.6081999999999998E-2</c:v>
                </c:pt>
                <c:pt idx="16">
                  <c:v>7.0003999999999997E-2</c:v>
                </c:pt>
                <c:pt idx="17">
                  <c:v>9.4600000000000004E-2</c:v>
                </c:pt>
                <c:pt idx="18">
                  <c:v>0.15460000000000002</c:v>
                </c:pt>
                <c:pt idx="19">
                  <c:v>0.25460000000000005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4-4586-A103-10710F1F1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1626687"/>
        <c:axId val="1191624767"/>
      </c:lineChart>
      <c:catAx>
        <c:axId val="119162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b="0"/>
                  <a:t>GEMs credit rating</a:t>
                </a:r>
              </a:p>
            </c:rich>
          </c:tx>
          <c:layout>
            <c:manualLayout>
              <c:xMode val="edge"/>
              <c:yMode val="edge"/>
              <c:x val="0.46393455021002061"/>
              <c:y val="0.87236204033994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91624767"/>
        <c:crosses val="autoZero"/>
        <c:auto val="1"/>
        <c:lblAlgn val="ctr"/>
        <c:lblOffset val="100"/>
        <c:noMultiLvlLbl val="0"/>
      </c:catAx>
      <c:valAx>
        <c:axId val="119162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b="0"/>
                  <a:t>Default rate/probability</a:t>
                </a:r>
                <a:r>
                  <a:rPr lang="en-US" b="0" baseline="0"/>
                  <a:t> of default (PD)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6609771393017108E-4"/>
              <c:y val="0.134144735039644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191626687"/>
        <c:crosses val="autoZero"/>
        <c:crossBetween val="between"/>
        <c:majorUnit val="2.0000000000000004E-2"/>
        <c:minorUnit val="1.0000000000000002E-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278936922374866E-2"/>
          <c:y val="0.92823602529135918"/>
          <c:w val="0.80657186148659754"/>
          <c:h val="5.707318944213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RR_Reg!$F$1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RR_Reg!$B$8:$B$15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RR_Reg!$J$8:$J$15</c:f>
              <c:numCache>
                <c:formatCode>0.0%</c:formatCode>
                <c:ptCount val="6"/>
                <c:pt idx="0">
                  <c:v>0.99190140834245943</c:v>
                </c:pt>
                <c:pt idx="1">
                  <c:v>0.98270408435285139</c:v>
                </c:pt>
                <c:pt idx="2">
                  <c:v>0.9986056370215064</c:v>
                </c:pt>
                <c:pt idx="3">
                  <c:v>1</c:v>
                </c:pt>
                <c:pt idx="4">
                  <c:v>1</c:v>
                </c:pt>
                <c:pt idx="5">
                  <c:v>0.99999672817746244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D-4234-AA48-C32AD794636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RR_Reg!$B$8:$B$15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RR_Reg!$H$8:$H$15</c:f>
              <c:numCache>
                <c:formatCode>0.0%</c:formatCode>
                <c:ptCount val="6"/>
                <c:pt idx="0">
                  <c:v>0.45153072138017641</c:v>
                </c:pt>
                <c:pt idx="1">
                  <c:v>0.50397192382592326</c:v>
                </c:pt>
                <c:pt idx="2">
                  <c:v>0.3745258399075021</c:v>
                </c:pt>
                <c:pt idx="3">
                  <c:v>0.42961298153826499</c:v>
                </c:pt>
                <c:pt idx="4">
                  <c:v>0.48359631313688523</c:v>
                </c:pt>
                <c:pt idx="5">
                  <c:v>0.65456767423403428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6D-4234-AA48-C32AD794636F}"/>
            </c:ext>
          </c:extLst>
        </c:ser>
        <c:ser>
          <c:idx val="2"/>
          <c:order val="2"/>
          <c:tx>
            <c:strRef>
              <c:f>RR_Reg!$I$7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RR_Reg!$B$8:$B$15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RR_Reg!$I$8:$I$15</c:f>
              <c:numCache>
                <c:formatCode>0.0%</c:formatCode>
                <c:ptCount val="6"/>
                <c:pt idx="0">
                  <c:v>0.89201074776141698</c:v>
                </c:pt>
                <c:pt idx="1">
                  <c:v>0.8653042758016154</c:v>
                </c:pt>
                <c:pt idx="2">
                  <c:v>0.83945679924923466</c:v>
                </c:pt>
                <c:pt idx="3">
                  <c:v>0.93217759695571967</c:v>
                </c:pt>
                <c:pt idx="4">
                  <c:v>0.93926146112356235</c:v>
                </c:pt>
                <c:pt idx="5">
                  <c:v>0.97843639769865709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D-4234-AA48-C32AD794636F}"/>
            </c:ext>
          </c:extLst>
        </c:ser>
        <c:ser>
          <c:idx val="3"/>
          <c:order val="3"/>
          <c:tx>
            <c:strRef>
              <c:f>RR_Reg!$E$7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RR_Reg!$B$8:$B$15</c:f>
              <c:strCache>
                <c:ptCount val="6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 &amp; 
North Africa</c:v>
                </c:pt>
                <c:pt idx="4">
                  <c:v>South Asia</c:v>
                </c:pt>
                <c:pt idx="5">
                  <c:v>Sub-Saharan Africa</c:v>
                </c:pt>
              </c:strCache>
            </c:strRef>
          </c:cat>
          <c:val>
            <c:numRef>
              <c:f>RR_Reg!$E$8:$E$15</c:f>
              <c:numCache>
                <c:formatCode>0.0%</c:formatCode>
                <c:ptCount val="6"/>
                <c:pt idx="0">
                  <c:v>0.70715370118981835</c:v>
                </c:pt>
                <c:pt idx="1">
                  <c:v>0.72183591815073622</c:v>
                </c:pt>
                <c:pt idx="2">
                  <c:v>0.67865355593701104</c:v>
                </c:pt>
                <c:pt idx="3">
                  <c:v>0.71731271945428687</c:v>
                </c:pt>
                <c:pt idx="4">
                  <c:v>0.72076528762131487</c:v>
                </c:pt>
                <c:pt idx="5">
                  <c:v>0.78377919836613519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59-44CD-A7BE-0A3DCDC34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tx>
            <c:strRef>
              <c:f>RR_GICS!$F$1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RR_GICS!$J$8:$J$20</c:f>
              <c:numCache>
                <c:formatCode>0.0%</c:formatCode>
                <c:ptCount val="13"/>
                <c:pt idx="1">
                  <c:v>1</c:v>
                </c:pt>
                <c:pt idx="2">
                  <c:v>0.99973459871317139</c:v>
                </c:pt>
                <c:pt idx="3">
                  <c:v>0.99695217334020381</c:v>
                </c:pt>
                <c:pt idx="4">
                  <c:v>0.99572876726386261</c:v>
                </c:pt>
                <c:pt idx="5">
                  <c:v>0.99823155075362668</c:v>
                </c:pt>
                <c:pt idx="6">
                  <c:v>1</c:v>
                </c:pt>
                <c:pt idx="7">
                  <c:v>0.9984393150501345</c:v>
                </c:pt>
                <c:pt idx="8">
                  <c:v>0.94645508705760417</c:v>
                </c:pt>
                <c:pt idx="9">
                  <c:v>1</c:v>
                </c:pt>
                <c:pt idx="10">
                  <c:v>0.97624682666690965</c:v>
                </c:pt>
                <c:pt idx="11">
                  <c:v>0.98753334005989513</c:v>
                </c:pt>
                <c:pt idx="12">
                  <c:v>0.99082204757478887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RR_GICS!$O$8:$O$20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A9F-4037-AB87-7A7CF0D2481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RR_GICS!$H$8:$H$20</c:f>
              <c:numCache>
                <c:formatCode>0.0%</c:formatCode>
                <c:ptCount val="13"/>
                <c:pt idx="1">
                  <c:v>0.67386219895369537</c:v>
                </c:pt>
                <c:pt idx="2">
                  <c:v>0.3799564135829856</c:v>
                </c:pt>
                <c:pt idx="3">
                  <c:v>0.3621983329666284</c:v>
                </c:pt>
                <c:pt idx="4">
                  <c:v>0.40971244882895202</c:v>
                </c:pt>
                <c:pt idx="5">
                  <c:v>0.71085344789405125</c:v>
                </c:pt>
                <c:pt idx="6">
                  <c:v>0.49826416921094629</c:v>
                </c:pt>
                <c:pt idx="7">
                  <c:v>0.27734696271970488</c:v>
                </c:pt>
                <c:pt idx="8">
                  <c:v>0.25159976798349781</c:v>
                </c:pt>
                <c:pt idx="9">
                  <c:v>0.4880300053533877</c:v>
                </c:pt>
                <c:pt idx="10">
                  <c:v>0.6268577560499784</c:v>
                </c:pt>
                <c:pt idx="11">
                  <c:v>0.5641385124538254</c:v>
                </c:pt>
                <c:pt idx="12">
                  <c:v>0.54223761038527019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RR_GICS!$O$8:$O$20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A9F-4037-AB87-7A7CF0D2481D}"/>
            </c:ext>
          </c:extLst>
        </c:ser>
        <c:ser>
          <c:idx val="2"/>
          <c:order val="2"/>
          <c:tx>
            <c:strRef>
              <c:f>RR_GICS!$I$7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RR_GICS!$I$8:$I$20</c:f>
              <c:numCache>
                <c:formatCode>0.0%</c:formatCode>
                <c:ptCount val="13"/>
                <c:pt idx="1">
                  <c:v>0.92806049034997229</c:v>
                </c:pt>
                <c:pt idx="2">
                  <c:v>0.8745963283793029</c:v>
                </c:pt>
                <c:pt idx="3">
                  <c:v>0.88299910892955724</c:v>
                </c:pt>
                <c:pt idx="4">
                  <c:v>0.84577810297750067</c:v>
                </c:pt>
                <c:pt idx="5">
                  <c:v>0.96813920863125014</c:v>
                </c:pt>
                <c:pt idx="6">
                  <c:v>0.88447894483041556</c:v>
                </c:pt>
                <c:pt idx="7">
                  <c:v>0.84714596724015945</c:v>
                </c:pt>
                <c:pt idx="8">
                  <c:v>0.78983396145363804</c:v>
                </c:pt>
                <c:pt idx="9">
                  <c:v>0.9173912824118633</c:v>
                </c:pt>
                <c:pt idx="10">
                  <c:v>0.88022580617970858</c:v>
                </c:pt>
                <c:pt idx="11">
                  <c:v>0.8443801458932837</c:v>
                </c:pt>
                <c:pt idx="12">
                  <c:v>0.88575716327109133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RR_GICS!$O$8:$O$20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A9F-4037-AB87-7A7CF0D2481D}"/>
            </c:ext>
          </c:extLst>
        </c:ser>
        <c:ser>
          <c:idx val="3"/>
          <c:order val="3"/>
          <c:tx>
            <c:strRef>
              <c:f>RR_GICS!$E$7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RR_GICS!$E$8:$E$20</c:f>
              <c:numCache>
                <c:formatCode>0.0%</c:formatCode>
                <c:ptCount val="13"/>
                <c:pt idx="1">
                  <c:v>0.77071774282429373</c:v>
                </c:pt>
                <c:pt idx="2">
                  <c:v>0.68807865644470434</c:v>
                </c:pt>
                <c:pt idx="3">
                  <c:v>0.69476716837706365</c:v>
                </c:pt>
                <c:pt idx="4">
                  <c:v>0.66758370753045282</c:v>
                </c:pt>
                <c:pt idx="5">
                  <c:v>0.79083737534669207</c:v>
                </c:pt>
                <c:pt idx="6">
                  <c:v>0.73067731094386767</c:v>
                </c:pt>
                <c:pt idx="7">
                  <c:v>0.65578711620031249</c:v>
                </c:pt>
                <c:pt idx="8">
                  <c:v>0.61279994704079832</c:v>
                </c:pt>
                <c:pt idx="9">
                  <c:v>0.72831725157453098</c:v>
                </c:pt>
                <c:pt idx="10">
                  <c:v>0.74844290954103188</c:v>
                </c:pt>
                <c:pt idx="11">
                  <c:v>0.72002136353851398</c:v>
                </c:pt>
                <c:pt idx="12">
                  <c:v>0.74557925390209978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RR_GICS!$O$8:$O$20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AF1-4ACB-B21E-994EA36B6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05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tickLblSkip val="1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RR_SecGrp_Year!$C$41</c:f>
              <c:strCache>
                <c:ptCount val="1"/>
                <c:pt idx="0">
                  <c:v>Overall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RR_SecGrp_Year!$B$42:$B$72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RR_SecGrp_Year!$C$42:$C$72</c:f>
              <c:numCache>
                <c:formatCode>0.00%</c:formatCode>
                <c:ptCount val="31"/>
                <c:pt idx="0">
                  <c:v>0.72934569103311975</c:v>
                </c:pt>
                <c:pt idx="1">
                  <c:v>0.72934569103311975</c:v>
                </c:pt>
                <c:pt idx="2">
                  <c:v>0.72934569103311975</c:v>
                </c:pt>
                <c:pt idx="3">
                  <c:v>0.72934569103311975</c:v>
                </c:pt>
                <c:pt idx="4">
                  <c:v>0.72934569103311975</c:v>
                </c:pt>
                <c:pt idx="5">
                  <c:v>0.72934569103311975</c:v>
                </c:pt>
                <c:pt idx="6">
                  <c:v>0.72934569103311975</c:v>
                </c:pt>
                <c:pt idx="7">
                  <c:v>0.72934569103311975</c:v>
                </c:pt>
                <c:pt idx="8">
                  <c:v>0.72934569103311975</c:v>
                </c:pt>
                <c:pt idx="9">
                  <c:v>0.72934569103311975</c:v>
                </c:pt>
                <c:pt idx="10">
                  <c:v>0.72934569103311975</c:v>
                </c:pt>
                <c:pt idx="11">
                  <c:v>0.72934569103311975</c:v>
                </c:pt>
                <c:pt idx="12">
                  <c:v>0.72934569103311975</c:v>
                </c:pt>
                <c:pt idx="13">
                  <c:v>0.72934569103311975</c:v>
                </c:pt>
                <c:pt idx="14">
                  <c:v>0.72934569103311975</c:v>
                </c:pt>
                <c:pt idx="15">
                  <c:v>0.72934569103311975</c:v>
                </c:pt>
                <c:pt idx="16">
                  <c:v>0.72934569103311975</c:v>
                </c:pt>
                <c:pt idx="17">
                  <c:v>0.72934569103311975</c:v>
                </c:pt>
                <c:pt idx="18">
                  <c:v>0.72934569103311975</c:v>
                </c:pt>
                <c:pt idx="19">
                  <c:v>0.72934569103311975</c:v>
                </c:pt>
                <c:pt idx="20">
                  <c:v>0.72934569103311975</c:v>
                </c:pt>
                <c:pt idx="21">
                  <c:v>0.72934569103311975</c:v>
                </c:pt>
                <c:pt idx="22">
                  <c:v>0.72934569103311975</c:v>
                </c:pt>
                <c:pt idx="23">
                  <c:v>0.72934569103311975</c:v>
                </c:pt>
                <c:pt idx="24">
                  <c:v>0.72934569103311975</c:v>
                </c:pt>
                <c:pt idx="25">
                  <c:v>0.72934569103311975</c:v>
                </c:pt>
                <c:pt idx="26">
                  <c:v>0.72934569103311975</c:v>
                </c:pt>
                <c:pt idx="27">
                  <c:v>0.72934569103311975</c:v>
                </c:pt>
                <c:pt idx="28">
                  <c:v>0.72934569103311975</c:v>
                </c:pt>
                <c:pt idx="29">
                  <c:v>0.72934569103311975</c:v>
                </c:pt>
                <c:pt idx="30">
                  <c:v>0.72934569103311975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5-454F-BA75-4623C4656C84}"/>
            </c:ext>
          </c:extLst>
        </c:ser>
        <c:ser>
          <c:idx val="1"/>
          <c:order val="1"/>
          <c:tx>
            <c:strRef>
              <c:f>RR_SecGrp_Year!$D$41</c:f>
              <c:strCache>
                <c:ptCount val="1"/>
                <c:pt idx="0">
                  <c:v>Financial institutions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RR_SecGrp_Year!$B$42:$B$72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RR_SecGrp_Year!$D$42:$D$72</c:f>
              <c:numCache>
                <c:formatCode>0.00%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0.35495723474737462</c:v>
                </c:pt>
                <c:pt idx="4">
                  <c:v>0.8231091691179363</c:v>
                </c:pt>
                <c:pt idx="5">
                  <c:v>0.75073824143217793</c:v>
                </c:pt>
                <c:pt idx="6">
                  <c:v>0.61869245310269672</c:v>
                </c:pt>
                <c:pt idx="7">
                  <c:v>0.72469820026466447</c:v>
                </c:pt>
                <c:pt idx="8">
                  <c:v>0.84322917904614414</c:v>
                </c:pt>
                <c:pt idx="9">
                  <c:v>0.94732187245783117</c:v>
                </c:pt>
                <c:pt idx="10">
                  <c:v>0.82177737956320029</c:v>
                </c:pt>
                <c:pt idx="11">
                  <c:v>0.63300028258228092</c:v>
                </c:pt>
                <c:pt idx="12">
                  <c:v>0.71523833526805458</c:v>
                </c:pt>
                <c:pt idx="13">
                  <c:v>0.95952608719701438</c:v>
                </c:pt>
                <c:pt idx="14">
                  <c:v>0.90658236475080722</c:v>
                </c:pt>
                <c:pt idx="15">
                  <c:v>0.78088293053958779</c:v>
                </c:pt>
                <c:pt idx="16">
                  <c:v>0.83111146468045061</c:v>
                </c:pt>
                <c:pt idx="17">
                  <c:v>0.93096842077587949</c:v>
                </c:pt>
                <c:pt idx="18">
                  <c:v>0.87965092240266951</c:v>
                </c:pt>
                <c:pt idx="19">
                  <c:v>0.38030722006046752</c:v>
                </c:pt>
                <c:pt idx="20">
                  <c:v>0.65706172175513644</c:v>
                </c:pt>
                <c:pt idx="21">
                  <c:v>0.7697179653480366</c:v>
                </c:pt>
                <c:pt idx="22">
                  <c:v>0.69736576306640585</c:v>
                </c:pt>
                <c:pt idx="23">
                  <c:v>0.83345185195944171</c:v>
                </c:pt>
                <c:pt idx="24">
                  <c:v>0.52579332079034136</c:v>
                </c:pt>
                <c:pt idx="25">
                  <c:v>0.75051924472893239</c:v>
                </c:pt>
                <c:pt idx="26">
                  <c:v>0.73961689624843152</c:v>
                </c:pt>
                <c:pt idx="27">
                  <c:v>0.74988104642631237</c:v>
                </c:pt>
                <c:pt idx="28">
                  <c:v>0.92410386641656173</c:v>
                </c:pt>
                <c:pt idx="29">
                  <c:v>0.80753751908871185</c:v>
                </c:pt>
                <c:pt idx="30">
                  <c:v>0.82476787048670153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5-454F-BA75-4623C4656C84}"/>
            </c:ext>
          </c:extLst>
        </c:ser>
        <c:ser>
          <c:idx val="2"/>
          <c:order val="2"/>
          <c:tx>
            <c:strRef>
              <c:f>RR_SecGrp_Year!$E$41</c:f>
              <c:strCache>
                <c:ptCount val="1"/>
                <c:pt idx="0">
                  <c:v>Non-financial institutions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RR_SecGrp_Year!$B$42:$B$72</c:f>
              <c:numCache>
                <c:formatCode>General</c:formatCod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numCache>
            </c:numRef>
          </c:cat>
          <c:val>
            <c:numRef>
              <c:f>RR_SecGrp_Year!$E$42:$E$72</c:f>
              <c:numCache>
                <c:formatCode>0.00%</c:formatCode>
                <c:ptCount val="31"/>
                <c:pt idx="0">
                  <c:v>0.72362125103438646</c:v>
                </c:pt>
                <c:pt idx="1">
                  <c:v>0.52030336414398126</c:v>
                </c:pt>
                <c:pt idx="2">
                  <c:v>0.59583537633776906</c:v>
                </c:pt>
                <c:pt idx="3">
                  <c:v>0.60394754845793985</c:v>
                </c:pt>
                <c:pt idx="4">
                  <c:v>0.75392722569369119</c:v>
                </c:pt>
                <c:pt idx="5">
                  <c:v>0.72967271694763347</c:v>
                </c:pt>
                <c:pt idx="6">
                  <c:v>0.61656120625293953</c:v>
                </c:pt>
                <c:pt idx="7">
                  <c:v>0.63982236120783464</c:v>
                </c:pt>
                <c:pt idx="8">
                  <c:v>0.71004656803314181</c:v>
                </c:pt>
                <c:pt idx="9">
                  <c:v>0.84410511596446958</c:v>
                </c:pt>
                <c:pt idx="10">
                  <c:v>0.75648787667495809</c:v>
                </c:pt>
                <c:pt idx="11">
                  <c:v>0.7166801361524936</c:v>
                </c:pt>
                <c:pt idx="12">
                  <c:v>0.72723826634778155</c:v>
                </c:pt>
                <c:pt idx="13">
                  <c:v>0.77052341555020831</c:v>
                </c:pt>
                <c:pt idx="14">
                  <c:v>0.73206435044124762</c:v>
                </c:pt>
                <c:pt idx="15">
                  <c:v>0.68992803484788834</c:v>
                </c:pt>
                <c:pt idx="16">
                  <c:v>0.76436781766179762</c:v>
                </c:pt>
                <c:pt idx="17">
                  <c:v>0.70782877458804694</c:v>
                </c:pt>
                <c:pt idx="18">
                  <c:v>0.685666008226264</c:v>
                </c:pt>
                <c:pt idx="19">
                  <c:v>0.66718812951440898</c:v>
                </c:pt>
                <c:pt idx="20">
                  <c:v>0.64155600073822305</c:v>
                </c:pt>
                <c:pt idx="21">
                  <c:v>0.69753704336494937</c:v>
                </c:pt>
                <c:pt idx="22">
                  <c:v>0.56194192176834834</c:v>
                </c:pt>
                <c:pt idx="23">
                  <c:v>0.72982596437110914</c:v>
                </c:pt>
                <c:pt idx="24">
                  <c:v>0.63633452693385395</c:v>
                </c:pt>
                <c:pt idx="25">
                  <c:v>0.68308944056738696</c:v>
                </c:pt>
                <c:pt idx="26">
                  <c:v>0.82785741658664325</c:v>
                </c:pt>
                <c:pt idx="27">
                  <c:v>0.80930616791713472</c:v>
                </c:pt>
                <c:pt idx="28">
                  <c:v>0.83078225231081071</c:v>
                </c:pt>
                <c:pt idx="29">
                  <c:v>0.76820213997236164</c:v>
                </c:pt>
                <c:pt idx="30">
                  <c:v>0.74318781815468049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5-454F-BA75-4623C4656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039760"/>
        <c:axId val="457040240"/>
      </c:lineChart>
      <c:catAx>
        <c:axId val="45703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40240"/>
        <c:crosses val="autoZero"/>
        <c:auto val="1"/>
        <c:lblAlgn val="ctr"/>
        <c:lblOffset val="100"/>
        <c:noMultiLvlLbl val="0"/>
      </c:catAx>
      <c:valAx>
        <c:axId val="457040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sz="1200" b="0"/>
                  <a:t>Observed recovery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5703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51634760738849E-2"/>
          <c:y val="2.5415148896181631E-2"/>
          <c:w val="0.93357830973472478"/>
          <c:h val="0.81797351913505056"/>
        </c:manualLayout>
      </c:layout>
      <c:stockChart>
        <c:ser>
          <c:idx val="0"/>
          <c:order val="0"/>
          <c:tx>
            <c:strRef>
              <c:f>RR_Inc!$F$1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RR_Inc!$J$8:$J$12</c:f>
              <c:numCache>
                <c:formatCode>0.0%</c:formatCode>
                <c:ptCount val="5"/>
                <c:pt idx="0">
                  <c:v>0.91335557223207242</c:v>
                </c:pt>
                <c:pt idx="1">
                  <c:v>0.99519916189956437</c:v>
                </c:pt>
                <c:pt idx="2">
                  <c:v>0.99863944241067304</c:v>
                </c:pt>
                <c:pt idx="3">
                  <c:v>1</c:v>
                </c:pt>
                <c:pt idx="4">
                  <c:v>0.95293611365957731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C2-4531-B83E-864E62979BD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RR_Inc!$H$8:$H$12</c:f>
              <c:numCache>
                <c:formatCode>0.0%</c:formatCode>
                <c:ptCount val="5"/>
                <c:pt idx="0">
                  <c:v>0.21812432757895131</c:v>
                </c:pt>
                <c:pt idx="1">
                  <c:v>0.51691692481781981</c:v>
                </c:pt>
                <c:pt idx="2">
                  <c:v>0.54844991200637094</c:v>
                </c:pt>
                <c:pt idx="3">
                  <c:v>0.54395704392140254</c:v>
                </c:pt>
                <c:pt idx="4">
                  <c:v>0.22148817140543561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C2-4531-B83E-864E62979BD5}"/>
            </c:ext>
          </c:extLst>
        </c:ser>
        <c:ser>
          <c:idx val="2"/>
          <c:order val="2"/>
          <c:tx>
            <c:strRef>
              <c:f>RR_Inc!$I$7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RR_Inc!$I$8:$I$12</c:f>
              <c:numCache>
                <c:formatCode>0.0%</c:formatCode>
                <c:ptCount val="5"/>
                <c:pt idx="0">
                  <c:v>0.62268264109035387</c:v>
                </c:pt>
                <c:pt idx="1">
                  <c:v>0.89177300182235197</c:v>
                </c:pt>
                <c:pt idx="2">
                  <c:v>0.91812520908349948</c:v>
                </c:pt>
                <c:pt idx="3">
                  <c:v>0.96704155090443322</c:v>
                </c:pt>
                <c:pt idx="4">
                  <c:v>0.68913168149758208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C2-4531-B83E-864E62979BD5}"/>
            </c:ext>
          </c:extLst>
        </c:ser>
        <c:ser>
          <c:idx val="3"/>
          <c:order val="3"/>
          <c:tx>
            <c:strRef>
              <c:f>RR_Inc!$E$7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RR_Inc!$B$8:$B$12</c:f>
              <c:strCache>
                <c:ptCount val="5"/>
                <c:pt idx="0">
                  <c:v>High income</c:v>
                </c:pt>
                <c:pt idx="1">
                  <c:v>Upper middle income</c:v>
                </c:pt>
                <c:pt idx="2">
                  <c:v>Lower middle income</c:v>
                </c:pt>
                <c:pt idx="3">
                  <c:v>Low income</c:v>
                </c:pt>
                <c:pt idx="4">
                  <c:v>Not available</c:v>
                </c:pt>
              </c:strCache>
            </c:strRef>
          </c:cat>
          <c:val>
            <c:numRef>
              <c:f>RR_Inc!$E$8:$E$12</c:f>
              <c:numCache>
                <c:formatCode>0.0%</c:formatCode>
                <c:ptCount val="5"/>
                <c:pt idx="0">
                  <c:v>0.57599948406984769</c:v>
                </c:pt>
                <c:pt idx="1">
                  <c:v>0.73305910647267292</c:v>
                </c:pt>
                <c:pt idx="2">
                  <c:v>0.73803405102117425</c:v>
                </c:pt>
                <c:pt idx="3">
                  <c:v>0.75919467944029206</c:v>
                </c:pt>
                <c:pt idx="4">
                  <c:v>0.55874832471710711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3-4BFE-A4A6-7F047B443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51634760738849E-2"/>
          <c:y val="2.5415148896181631E-2"/>
          <c:w val="0.93357830973472478"/>
          <c:h val="0.81797351913505056"/>
        </c:manualLayout>
      </c:layout>
      <c:stockChart>
        <c:ser>
          <c:idx val="0"/>
          <c:order val="0"/>
          <c:tx>
            <c:strRef>
              <c:f>RR_Curr!$F$1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RR_Curr!$B$8:$B$10</c:f>
              <c:strCache>
                <c:ptCount val="3"/>
                <c:pt idx="0">
                  <c:v>Local currency</c:v>
                </c:pt>
                <c:pt idx="1">
                  <c:v>Foreign currency</c:v>
                </c:pt>
                <c:pt idx="2">
                  <c:v>Mixed currency</c:v>
                </c:pt>
              </c:strCache>
            </c:strRef>
          </c:cat>
          <c:val>
            <c:numRef>
              <c:f>RR_Curr!$J$8:$J$10</c:f>
              <c:numCache>
                <c:formatCode>0.0%</c:formatCode>
                <c:ptCount val="3"/>
                <c:pt idx="0">
                  <c:v>0.99977014933872521</c:v>
                </c:pt>
                <c:pt idx="1">
                  <c:v>0.9973439819548926</c:v>
                </c:pt>
                <c:pt idx="2">
                  <c:v>0.99522705664030675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6D-407B-B1BC-43344F319B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RR_Curr!$B$8:$B$10</c:f>
              <c:strCache>
                <c:ptCount val="3"/>
                <c:pt idx="0">
                  <c:v>Local currency</c:v>
                </c:pt>
                <c:pt idx="1">
                  <c:v>Foreign currency</c:v>
                </c:pt>
                <c:pt idx="2">
                  <c:v>Mixed currency</c:v>
                </c:pt>
              </c:strCache>
            </c:strRef>
          </c:cat>
          <c:val>
            <c:numRef>
              <c:f>RR_Curr!$H$8:$H$10</c:f>
              <c:numCache>
                <c:formatCode>0.0%</c:formatCode>
                <c:ptCount val="3"/>
                <c:pt idx="0">
                  <c:v>0.78863798078599334</c:v>
                </c:pt>
                <c:pt idx="1">
                  <c:v>0.46419772948887489</c:v>
                </c:pt>
                <c:pt idx="2">
                  <c:v>0.61116507865623537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D-407B-B1BC-43344F319BCB}"/>
            </c:ext>
          </c:extLst>
        </c:ser>
        <c:ser>
          <c:idx val="2"/>
          <c:order val="2"/>
          <c:tx>
            <c:strRef>
              <c:f>RR_Curr!$I$7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RR_Curr!$B$8:$B$10</c:f>
              <c:strCache>
                <c:ptCount val="3"/>
                <c:pt idx="0">
                  <c:v>Local currency</c:v>
                </c:pt>
                <c:pt idx="1">
                  <c:v>Foreign currency</c:v>
                </c:pt>
                <c:pt idx="2">
                  <c:v>Mixed currency</c:v>
                </c:pt>
              </c:strCache>
            </c:strRef>
          </c:cat>
          <c:val>
            <c:numRef>
              <c:f>RR_Curr!$I$8:$I$10</c:f>
              <c:numCache>
                <c:formatCode>0.0%</c:formatCode>
                <c:ptCount val="3"/>
                <c:pt idx="0">
                  <c:v>0.98078601690433087</c:v>
                </c:pt>
                <c:pt idx="1">
                  <c:v>0.87780722546312073</c:v>
                </c:pt>
                <c:pt idx="2">
                  <c:v>0.91317477266364633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D-407B-B1BC-43344F319BCB}"/>
            </c:ext>
          </c:extLst>
        </c:ser>
        <c:ser>
          <c:idx val="3"/>
          <c:order val="3"/>
          <c:tx>
            <c:strRef>
              <c:f>RR_Curr!$E$7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RR_Curr!$B$8:$B$10</c:f>
              <c:strCache>
                <c:ptCount val="3"/>
                <c:pt idx="0">
                  <c:v>Local currency</c:v>
                </c:pt>
                <c:pt idx="1">
                  <c:v>Foreign currency</c:v>
                </c:pt>
                <c:pt idx="2">
                  <c:v>Mixed currency</c:v>
                </c:pt>
              </c:strCache>
            </c:strRef>
          </c:cat>
          <c:val>
            <c:numRef>
              <c:f>RR_Curr!$E$8:$E$10</c:f>
              <c:numCache>
                <c:formatCode>0.0%</c:formatCode>
                <c:ptCount val="3"/>
                <c:pt idx="0">
                  <c:v>0.80716292714263627</c:v>
                </c:pt>
                <c:pt idx="1">
                  <c:v>0.70907731754453951</c:v>
                </c:pt>
                <c:pt idx="2">
                  <c:v>0.75459532932046303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7-4D74-B7E6-4248FFF9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9381232020303E-2"/>
          <c:y val="1.9919921888359182E-2"/>
          <c:w val="0.93357830973472478"/>
          <c:h val="0.81797351913505056"/>
        </c:manualLayout>
      </c:layout>
      <c:stockChart>
        <c:ser>
          <c:idx val="0"/>
          <c:order val="0"/>
          <c:tx>
            <c:strRef>
              <c:f>RR_Proj!$F$1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RR_Proj!$B$8:$B$13</c:f>
              <c:strCache>
                <c:ptCount val="6"/>
                <c:pt idx="0">
                  <c:v>Corporate finance</c:v>
                </c:pt>
                <c:pt idx="1">
                  <c:v>Financial institution finance</c:v>
                </c:pt>
                <c:pt idx="2">
                  <c:v>Structured finance</c:v>
                </c:pt>
                <c:pt idx="3">
                  <c:v>Project finance</c:v>
                </c:pt>
                <c:pt idx="4">
                  <c:v>Real estate finance</c:v>
                </c:pt>
                <c:pt idx="5">
                  <c:v>Other</c:v>
                </c:pt>
              </c:strCache>
            </c:strRef>
          </c:cat>
          <c:val>
            <c:numRef>
              <c:f>RR_Proj!$J$8:$J$13</c:f>
              <c:numCache>
                <c:formatCode>0.0%</c:formatCode>
                <c:ptCount val="6"/>
                <c:pt idx="0">
                  <c:v>0.99829953112067837</c:v>
                </c:pt>
                <c:pt idx="1">
                  <c:v>0.99967467034942314</c:v>
                </c:pt>
                <c:pt idx="3">
                  <c:v>0.99662776113376506</c:v>
                </c:pt>
                <c:pt idx="5">
                  <c:v>0.99652357442716288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82-490E-BCAA-91E0EFF525D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RR_Proj!$B$8:$B$13</c:f>
              <c:strCache>
                <c:ptCount val="6"/>
                <c:pt idx="0">
                  <c:v>Corporate finance</c:v>
                </c:pt>
                <c:pt idx="1">
                  <c:v>Financial institution finance</c:v>
                </c:pt>
                <c:pt idx="2">
                  <c:v>Structured finance</c:v>
                </c:pt>
                <c:pt idx="3">
                  <c:v>Project finance</c:v>
                </c:pt>
                <c:pt idx="4">
                  <c:v>Real estate finance</c:v>
                </c:pt>
                <c:pt idx="5">
                  <c:v>Other</c:v>
                </c:pt>
              </c:strCache>
            </c:strRef>
          </c:cat>
          <c:val>
            <c:numRef>
              <c:f>RR_Proj!$H$8:$H$13</c:f>
              <c:numCache>
                <c:formatCode>0.0%</c:formatCode>
                <c:ptCount val="6"/>
                <c:pt idx="0">
                  <c:v>0.4534020032187564</c:v>
                </c:pt>
                <c:pt idx="1">
                  <c:v>0.74162559483695112</c:v>
                </c:pt>
                <c:pt idx="3">
                  <c:v>0.45939843436899352</c:v>
                </c:pt>
                <c:pt idx="5">
                  <c:v>0.46085695677105809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82-490E-BCAA-91E0EFF525D2}"/>
            </c:ext>
          </c:extLst>
        </c:ser>
        <c:ser>
          <c:idx val="2"/>
          <c:order val="2"/>
          <c:tx>
            <c:strRef>
              <c:f>RR_Proj!$I$7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RR_Proj!$B$8:$B$13</c:f>
              <c:strCache>
                <c:ptCount val="6"/>
                <c:pt idx="0">
                  <c:v>Corporate finance</c:v>
                </c:pt>
                <c:pt idx="1">
                  <c:v>Financial institution finance</c:v>
                </c:pt>
                <c:pt idx="2">
                  <c:v>Structured finance</c:v>
                </c:pt>
                <c:pt idx="3">
                  <c:v>Project finance</c:v>
                </c:pt>
                <c:pt idx="4">
                  <c:v>Real estate finance</c:v>
                </c:pt>
                <c:pt idx="5">
                  <c:v>Other</c:v>
                </c:pt>
              </c:strCache>
            </c:strRef>
          </c:cat>
          <c:val>
            <c:numRef>
              <c:f>RR_Proj!$I$8:$I$13</c:f>
              <c:numCache>
                <c:formatCode>0.0%</c:formatCode>
                <c:ptCount val="6"/>
                <c:pt idx="0">
                  <c:v>0.9120705057459334</c:v>
                </c:pt>
                <c:pt idx="1">
                  <c:v>0.98078487650353807</c:v>
                </c:pt>
                <c:pt idx="3">
                  <c:v>0.86353344334157756</c:v>
                </c:pt>
                <c:pt idx="5">
                  <c:v>0.87404657780918216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82-490E-BCAA-91E0EFF525D2}"/>
            </c:ext>
          </c:extLst>
        </c:ser>
        <c:ser>
          <c:idx val="3"/>
          <c:order val="3"/>
          <c:tx>
            <c:strRef>
              <c:f>RR_Proj!$E$7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RR_Proj!$B$8:$B$13</c:f>
              <c:strCache>
                <c:ptCount val="6"/>
                <c:pt idx="0">
                  <c:v>Corporate finance</c:v>
                </c:pt>
                <c:pt idx="1">
                  <c:v>Financial institution finance</c:v>
                </c:pt>
                <c:pt idx="2">
                  <c:v>Structured finance</c:v>
                </c:pt>
                <c:pt idx="3">
                  <c:v>Project finance</c:v>
                </c:pt>
                <c:pt idx="4">
                  <c:v>Real estate finance</c:v>
                </c:pt>
                <c:pt idx="5">
                  <c:v>Other</c:v>
                </c:pt>
              </c:strCache>
            </c:strRef>
          </c:cat>
          <c:val>
            <c:numRef>
              <c:f>RR_Proj!$E$8:$E$13</c:f>
              <c:numCache>
                <c:formatCode>0.0%</c:formatCode>
                <c:ptCount val="6"/>
                <c:pt idx="0">
                  <c:v>0.70764219219053215</c:v>
                </c:pt>
                <c:pt idx="1">
                  <c:v>0.81087409549121259</c:v>
                </c:pt>
                <c:pt idx="3">
                  <c:v>0.70884723124408733</c:v>
                </c:pt>
                <c:pt idx="5">
                  <c:v>0.70859173633344252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82-490E-BCAA-91E0EFF5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1619561228260795"/>
          <c:y val="0.94298623983420082"/>
          <c:w val="0.56760866887264505"/>
          <c:h val="5.701366996858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51634760738849E-2"/>
          <c:y val="2.5415148896181631E-2"/>
          <c:w val="0.93357830973472478"/>
          <c:h val="0.81797351913505056"/>
        </c:manualLayout>
      </c:layout>
      <c:stockChart>
        <c:ser>
          <c:idx val="0"/>
          <c:order val="0"/>
          <c:tx>
            <c:strRef>
              <c:f>RR_Sen!$F$1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RR_Sen!$B$8:$B$12</c:f>
              <c:strCache>
                <c:ptCount val="5"/>
                <c:pt idx="0">
                  <c:v>Senior-secured</c:v>
                </c:pt>
                <c:pt idx="1">
                  <c:v>Senior-unsecured</c:v>
                </c:pt>
                <c:pt idx="2">
                  <c:v>Senior*</c:v>
                </c:pt>
                <c:pt idx="3">
                  <c:v>Subordinated</c:v>
                </c:pt>
                <c:pt idx="4">
                  <c:v>Not available</c:v>
                </c:pt>
              </c:strCache>
            </c:strRef>
          </c:cat>
          <c:val>
            <c:numRef>
              <c:f>RR_Sen!$J$8:$J$12</c:f>
              <c:numCache>
                <c:formatCode>0.0%</c:formatCode>
                <c:ptCount val="5"/>
                <c:pt idx="0">
                  <c:v>0.99999628084779846</c:v>
                </c:pt>
                <c:pt idx="1">
                  <c:v>0.99555622098605756</c:v>
                </c:pt>
                <c:pt idx="2">
                  <c:v>0.98876605585762178</c:v>
                </c:pt>
                <c:pt idx="3">
                  <c:v>0.99438862850858234</c:v>
                </c:pt>
                <c:pt idx="4">
                  <c:v>0.89543616919504632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3-44DA-95C1-927A62A692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RR_Sen!$B$8:$B$12</c:f>
              <c:strCache>
                <c:ptCount val="5"/>
                <c:pt idx="0">
                  <c:v>Senior-secured</c:v>
                </c:pt>
                <c:pt idx="1">
                  <c:v>Senior-unsecured</c:v>
                </c:pt>
                <c:pt idx="2">
                  <c:v>Senior*</c:v>
                </c:pt>
                <c:pt idx="3">
                  <c:v>Subordinated</c:v>
                </c:pt>
                <c:pt idx="4">
                  <c:v>Not available</c:v>
                </c:pt>
              </c:strCache>
            </c:strRef>
          </c:cat>
          <c:val>
            <c:numRef>
              <c:f>RR_Sen!$H$8:$H$12</c:f>
              <c:numCache>
                <c:formatCode>0.0%</c:formatCode>
                <c:ptCount val="5"/>
                <c:pt idx="0">
                  <c:v>0.57811869907167257</c:v>
                </c:pt>
                <c:pt idx="1">
                  <c:v>0.4368406122219759</c:v>
                </c:pt>
                <c:pt idx="2">
                  <c:v>0.40442868831947792</c:v>
                </c:pt>
                <c:pt idx="3">
                  <c:v>0.25031084949480348</c:v>
                </c:pt>
                <c:pt idx="4">
                  <c:v>0.72959534847705299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3-44DA-95C1-927A62A692FD}"/>
            </c:ext>
          </c:extLst>
        </c:ser>
        <c:ser>
          <c:idx val="2"/>
          <c:order val="2"/>
          <c:tx>
            <c:strRef>
              <c:f>RR_Sen!$I$7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RR_Sen!$B$8:$B$12</c:f>
              <c:strCache>
                <c:ptCount val="5"/>
                <c:pt idx="0">
                  <c:v>Senior-secured</c:v>
                </c:pt>
                <c:pt idx="1">
                  <c:v>Senior-unsecured</c:v>
                </c:pt>
                <c:pt idx="2">
                  <c:v>Senior*</c:v>
                </c:pt>
                <c:pt idx="3">
                  <c:v>Subordinated</c:v>
                </c:pt>
                <c:pt idx="4">
                  <c:v>Not available</c:v>
                </c:pt>
              </c:strCache>
            </c:strRef>
          </c:cat>
          <c:val>
            <c:numRef>
              <c:f>RR_Sen!$I$8:$I$12</c:f>
              <c:numCache>
                <c:formatCode>0.0%</c:formatCode>
                <c:ptCount val="5"/>
                <c:pt idx="0">
                  <c:v>0.9423319389122482</c:v>
                </c:pt>
                <c:pt idx="1">
                  <c:v>0.88630575779014831</c:v>
                </c:pt>
                <c:pt idx="2">
                  <c:v>0.8503323880343554</c:v>
                </c:pt>
                <c:pt idx="3">
                  <c:v>0.85285425773637225</c:v>
                </c:pt>
                <c:pt idx="4">
                  <c:v>0.81557336906926914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3-44DA-95C1-927A62A692FD}"/>
            </c:ext>
          </c:extLst>
        </c:ser>
        <c:ser>
          <c:idx val="3"/>
          <c:order val="3"/>
          <c:tx>
            <c:strRef>
              <c:f>RR_Sen!$E$7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RR_Sen!$B$8:$B$12</c:f>
              <c:strCache>
                <c:ptCount val="5"/>
                <c:pt idx="0">
                  <c:v>Senior-secured</c:v>
                </c:pt>
                <c:pt idx="1">
                  <c:v>Senior-unsecured</c:v>
                </c:pt>
                <c:pt idx="2">
                  <c:v>Senior*</c:v>
                </c:pt>
                <c:pt idx="3">
                  <c:v>Subordinated</c:v>
                </c:pt>
                <c:pt idx="4">
                  <c:v>Not available</c:v>
                </c:pt>
              </c:strCache>
            </c:strRef>
          </c:cat>
          <c:val>
            <c:numRef>
              <c:f>RR_Sen!$E$8:$E$12</c:f>
              <c:numCache>
                <c:formatCode>0.0%</c:formatCode>
                <c:ptCount val="5"/>
                <c:pt idx="0">
                  <c:v>0.76303699515972601</c:v>
                </c:pt>
                <c:pt idx="1">
                  <c:v>0.69608693166013946</c:v>
                </c:pt>
                <c:pt idx="2">
                  <c:v>0.67270539668920093</c:v>
                </c:pt>
                <c:pt idx="3">
                  <c:v>0.64567593441687665</c:v>
                </c:pt>
                <c:pt idx="4">
                  <c:v>0.75543855866514831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E3-44DA-95C1-927A62A69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1786146961249644"/>
          <c:y val="0.93464430800409348"/>
          <c:w val="0.56427695483835971"/>
          <c:h val="5.7013669968589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51634760738849E-2"/>
          <c:y val="2.5415148896181631E-2"/>
          <c:w val="0.93357830973472478"/>
          <c:h val="0.81797351913505056"/>
        </c:manualLayout>
      </c:layout>
      <c:stockChart>
        <c:ser>
          <c:idx val="0"/>
          <c:order val="0"/>
          <c:tx>
            <c:strRef>
              <c:f>RR_Size!$F$1</c:f>
              <c:strCache>
                <c:ptCount val="1"/>
                <c:pt idx="0">
                  <c:v>25th percentile to 75th percentile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4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RR_Size!$B$8:$B$13</c:f>
              <c:strCache>
                <c:ptCount val="6"/>
                <c:pt idx="0">
                  <c:v>Up to €1 million</c:v>
                </c:pt>
                <c:pt idx="1">
                  <c:v>Up to €2 million</c:v>
                </c:pt>
                <c:pt idx="2">
                  <c:v>Up to €5 million</c:v>
                </c:pt>
                <c:pt idx="3">
                  <c:v>Up to €10 million</c:v>
                </c:pt>
                <c:pt idx="4">
                  <c:v>Up to €25 million</c:v>
                </c:pt>
                <c:pt idx="5">
                  <c:v>More than €25 million</c:v>
                </c:pt>
              </c:strCache>
            </c:strRef>
          </c:cat>
          <c:val>
            <c:numRef>
              <c:f>RR_Size!$J$8:$J$13</c:f>
              <c:numCache>
                <c:formatCode>0.0%</c:formatCode>
                <c:ptCount val="6"/>
                <c:pt idx="0">
                  <c:v>0.99862016664359787</c:v>
                </c:pt>
                <c:pt idx="1">
                  <c:v>0.99491910670443784</c:v>
                </c:pt>
                <c:pt idx="2">
                  <c:v>0.99308732223990426</c:v>
                </c:pt>
                <c:pt idx="3">
                  <c:v>1</c:v>
                </c:pt>
                <c:pt idx="4">
                  <c:v>1</c:v>
                </c:pt>
                <c:pt idx="5">
                  <c:v>0.99332837844365474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A-4F7E-B313-848A5A54BEF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RR_Size!$B$8:$B$13</c:f>
              <c:strCache>
                <c:ptCount val="6"/>
                <c:pt idx="0">
                  <c:v>Up to €1 million</c:v>
                </c:pt>
                <c:pt idx="1">
                  <c:v>Up to €2 million</c:v>
                </c:pt>
                <c:pt idx="2">
                  <c:v>Up to €5 million</c:v>
                </c:pt>
                <c:pt idx="3">
                  <c:v>Up to €10 million</c:v>
                </c:pt>
                <c:pt idx="4">
                  <c:v>Up to €25 million</c:v>
                </c:pt>
                <c:pt idx="5">
                  <c:v>More than €25 million</c:v>
                </c:pt>
              </c:strCache>
            </c:strRef>
          </c:cat>
          <c:val>
            <c:numRef>
              <c:f>RR_Size!$H$8:$H$13</c:f>
              <c:numCache>
                <c:formatCode>0.0%</c:formatCode>
                <c:ptCount val="6"/>
                <c:pt idx="0">
                  <c:v>0.6456346120934815</c:v>
                </c:pt>
                <c:pt idx="1">
                  <c:v>0.43302093661124069</c:v>
                </c:pt>
                <c:pt idx="2">
                  <c:v>0.44751645303623139</c:v>
                </c:pt>
                <c:pt idx="3">
                  <c:v>0.52631218434023563</c:v>
                </c:pt>
                <c:pt idx="4">
                  <c:v>0.61924813716767202</c:v>
                </c:pt>
                <c:pt idx="5">
                  <c:v>0.46314031885190893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A-4F7E-B313-848A5A54BEF3}"/>
            </c:ext>
          </c:extLst>
        </c:ser>
        <c:ser>
          <c:idx val="2"/>
          <c:order val="2"/>
          <c:tx>
            <c:strRef>
              <c:f>RR_Size!$I$7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00FF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RR_Size!$B$8:$B$13</c:f>
              <c:strCache>
                <c:ptCount val="6"/>
                <c:pt idx="0">
                  <c:v>Up to €1 million</c:v>
                </c:pt>
                <c:pt idx="1">
                  <c:v>Up to €2 million</c:v>
                </c:pt>
                <c:pt idx="2">
                  <c:v>Up to €5 million</c:v>
                </c:pt>
                <c:pt idx="3">
                  <c:v>Up to €10 million</c:v>
                </c:pt>
                <c:pt idx="4">
                  <c:v>Up to €25 million</c:v>
                </c:pt>
                <c:pt idx="5">
                  <c:v>More than €25 million</c:v>
                </c:pt>
              </c:strCache>
            </c:strRef>
          </c:cat>
          <c:val>
            <c:numRef>
              <c:f>RR_Size!$I$8:$I$13</c:f>
              <c:numCache>
                <c:formatCode>0.0%</c:formatCode>
                <c:ptCount val="6"/>
                <c:pt idx="0">
                  <c:v>0.96454240186633766</c:v>
                </c:pt>
                <c:pt idx="1">
                  <c:v>0.89428164987397274</c:v>
                </c:pt>
                <c:pt idx="2">
                  <c:v>0.86725208594426073</c:v>
                </c:pt>
                <c:pt idx="3">
                  <c:v>0.90017143893630158</c:v>
                </c:pt>
                <c:pt idx="4">
                  <c:v>0.95345426838243008</c:v>
                </c:pt>
                <c:pt idx="5">
                  <c:v>0.87595834565801878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FA-4F7E-B313-848A5A54BEF3}"/>
            </c:ext>
          </c:extLst>
        </c:ser>
        <c:ser>
          <c:idx val="3"/>
          <c:order val="3"/>
          <c:tx>
            <c:strRef>
              <c:f>RR_Size!$E$7</c:f>
              <c:strCache>
                <c:ptCount val="1"/>
                <c:pt idx="0">
                  <c:v>Average recovery rate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RR_Size!$B$8:$B$13</c:f>
              <c:strCache>
                <c:ptCount val="6"/>
                <c:pt idx="0">
                  <c:v>Up to €1 million</c:v>
                </c:pt>
                <c:pt idx="1">
                  <c:v>Up to €2 million</c:v>
                </c:pt>
                <c:pt idx="2">
                  <c:v>Up to €5 million</c:v>
                </c:pt>
                <c:pt idx="3">
                  <c:v>Up to €10 million</c:v>
                </c:pt>
                <c:pt idx="4">
                  <c:v>Up to €25 million</c:v>
                </c:pt>
                <c:pt idx="5">
                  <c:v>More than €25 million</c:v>
                </c:pt>
              </c:strCache>
            </c:strRef>
          </c:cat>
          <c:val>
            <c:numRef>
              <c:f>RR_Size!$E$8:$E$13</c:f>
              <c:numCache>
                <c:formatCode>0.0%</c:formatCode>
                <c:ptCount val="6"/>
                <c:pt idx="0">
                  <c:v>0.74819283792706426</c:v>
                </c:pt>
                <c:pt idx="1">
                  <c:v>0.68832040066288491</c:v>
                </c:pt>
                <c:pt idx="2">
                  <c:v>0.68964306570801603</c:v>
                </c:pt>
                <c:pt idx="3">
                  <c:v>0.7431592120106929</c:v>
                </c:pt>
                <c:pt idx="4">
                  <c:v>0.76404614183090436</c:v>
                </c:pt>
                <c:pt idx="5">
                  <c:v>0.71326526839471893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3-4E67-AEC4-F945D1F0F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28575" cap="flat" cmpd="sng" algn="ctr">
              <a:solidFill>
                <a:srgbClr val="C00000"/>
              </a:solidFill>
              <a:round/>
            </a:ln>
            <a:effectLst/>
          </c:spPr>
        </c:hiLowLines>
        <c:axId val="1445278992"/>
        <c:axId val="1445277072"/>
      </c:stockChart>
      <c:catAx>
        <c:axId val="14452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7072"/>
        <c:crosses val="autoZero"/>
        <c:auto val="1"/>
        <c:lblAlgn val="ctr"/>
        <c:lblOffset val="100"/>
        <c:noMultiLvlLbl val="0"/>
      </c:catAx>
      <c:valAx>
        <c:axId val="144527707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baseline="0">
                <a:solidFill>
                  <a:schemeClr val="tx1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4452789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ayout>
        <c:manualLayout>
          <c:xMode val="edge"/>
          <c:yMode val="edge"/>
          <c:x val="0.21974424972271975"/>
          <c:y val="0.93735967049470481"/>
          <c:w val="0.56051139532485461"/>
          <c:h val="5.7073176932875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chemeClr val="tx1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28197253351632E-2"/>
          <c:y val="3.181674498627797E-2"/>
          <c:w val="0.85174576476533248"/>
          <c:h val="0.779889598128977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MM_GEMsRt_Up!$W$11</c:f>
              <c:strCache>
                <c:ptCount val="1"/>
                <c:pt idx="0">
                  <c:v>Upgrades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MM_GEMsRt_Up!$V$12:$V$41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MM_GEMsRt_Up!$W$12:$W$41</c:f>
              <c:numCache>
                <c:formatCode>General</c:formatCode>
                <c:ptCount val="30"/>
                <c:pt idx="0">
                  <c:v>52</c:v>
                </c:pt>
                <c:pt idx="1">
                  <c:v>104</c:v>
                </c:pt>
                <c:pt idx="2">
                  <c:v>136</c:v>
                </c:pt>
                <c:pt idx="3">
                  <c:v>72</c:v>
                </c:pt>
                <c:pt idx="4">
                  <c:v>98</c:v>
                </c:pt>
                <c:pt idx="5">
                  <c:v>123</c:v>
                </c:pt>
                <c:pt idx="6">
                  <c:v>158</c:v>
                </c:pt>
                <c:pt idx="7">
                  <c:v>108</c:v>
                </c:pt>
                <c:pt idx="8">
                  <c:v>123</c:v>
                </c:pt>
                <c:pt idx="9">
                  <c:v>167</c:v>
                </c:pt>
                <c:pt idx="10">
                  <c:v>144</c:v>
                </c:pt>
                <c:pt idx="11">
                  <c:v>155</c:v>
                </c:pt>
                <c:pt idx="12">
                  <c:v>145</c:v>
                </c:pt>
                <c:pt idx="13">
                  <c:v>141</c:v>
                </c:pt>
                <c:pt idx="14">
                  <c:v>109</c:v>
                </c:pt>
                <c:pt idx="15">
                  <c:v>102</c:v>
                </c:pt>
                <c:pt idx="16">
                  <c:v>298</c:v>
                </c:pt>
                <c:pt idx="17">
                  <c:v>228</c:v>
                </c:pt>
                <c:pt idx="18">
                  <c:v>205</c:v>
                </c:pt>
                <c:pt idx="19">
                  <c:v>163</c:v>
                </c:pt>
                <c:pt idx="20">
                  <c:v>187</c:v>
                </c:pt>
                <c:pt idx="21">
                  <c:v>215</c:v>
                </c:pt>
                <c:pt idx="22">
                  <c:v>232</c:v>
                </c:pt>
                <c:pt idx="23">
                  <c:v>525</c:v>
                </c:pt>
                <c:pt idx="24">
                  <c:v>352</c:v>
                </c:pt>
                <c:pt idx="25">
                  <c:v>332</c:v>
                </c:pt>
                <c:pt idx="26">
                  <c:v>200</c:v>
                </c:pt>
                <c:pt idx="27">
                  <c:v>339</c:v>
                </c:pt>
                <c:pt idx="28">
                  <c:v>309</c:v>
                </c:pt>
                <c:pt idx="29">
                  <c:v>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9-4557-B446-78F154E541C2}"/>
            </c:ext>
          </c:extLst>
        </c:ser>
        <c:ser>
          <c:idx val="3"/>
          <c:order val="3"/>
          <c:tx>
            <c:strRef>
              <c:f>MM_GEMsRt_Up!$X$11</c:f>
              <c:strCache>
                <c:ptCount val="1"/>
                <c:pt idx="0">
                  <c:v>Downgrades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MM_GEMsRt_Up!$V$12:$V$41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MM_GEMsRt_Up!$X$12:$X$41</c:f>
              <c:numCache>
                <c:formatCode>General</c:formatCode>
                <c:ptCount val="30"/>
                <c:pt idx="0">
                  <c:v>-108</c:v>
                </c:pt>
                <c:pt idx="1">
                  <c:v>-125</c:v>
                </c:pt>
                <c:pt idx="2">
                  <c:v>-93</c:v>
                </c:pt>
                <c:pt idx="3">
                  <c:v>-149</c:v>
                </c:pt>
                <c:pt idx="4">
                  <c:v>-197</c:v>
                </c:pt>
                <c:pt idx="5">
                  <c:v>-265</c:v>
                </c:pt>
                <c:pt idx="6">
                  <c:v>-206</c:v>
                </c:pt>
                <c:pt idx="7">
                  <c:v>-247</c:v>
                </c:pt>
                <c:pt idx="8">
                  <c:v>-189</c:v>
                </c:pt>
                <c:pt idx="9">
                  <c:v>-156</c:v>
                </c:pt>
                <c:pt idx="10">
                  <c:v>-121</c:v>
                </c:pt>
                <c:pt idx="11">
                  <c:v>-123</c:v>
                </c:pt>
                <c:pt idx="12">
                  <c:v>-111</c:v>
                </c:pt>
                <c:pt idx="13">
                  <c:v>-116</c:v>
                </c:pt>
                <c:pt idx="14">
                  <c:v>-175</c:v>
                </c:pt>
                <c:pt idx="15">
                  <c:v>-455</c:v>
                </c:pt>
                <c:pt idx="16">
                  <c:v>-280</c:v>
                </c:pt>
                <c:pt idx="17">
                  <c:v>-252</c:v>
                </c:pt>
                <c:pt idx="18">
                  <c:v>-273</c:v>
                </c:pt>
                <c:pt idx="19">
                  <c:v>-305</c:v>
                </c:pt>
                <c:pt idx="20">
                  <c:v>-350</c:v>
                </c:pt>
                <c:pt idx="21">
                  <c:v>-358</c:v>
                </c:pt>
                <c:pt idx="22">
                  <c:v>-673</c:v>
                </c:pt>
                <c:pt idx="23">
                  <c:v>-455</c:v>
                </c:pt>
                <c:pt idx="24">
                  <c:v>-494</c:v>
                </c:pt>
                <c:pt idx="25">
                  <c:v>-488</c:v>
                </c:pt>
                <c:pt idx="26">
                  <c:v>-823</c:v>
                </c:pt>
                <c:pt idx="27">
                  <c:v>-421</c:v>
                </c:pt>
                <c:pt idx="28">
                  <c:v>-529</c:v>
                </c:pt>
                <c:pt idx="29">
                  <c:v>-454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69-4557-B446-78F154E5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59891647"/>
        <c:axId val="360049967"/>
      </c:barChart>
      <c:lineChart>
        <c:grouping val="standard"/>
        <c:varyColors val="0"/>
        <c:ser>
          <c:idx val="1"/>
          <c:order val="1"/>
          <c:tx>
            <c:strRef>
              <c:f>MM_GEMsRt_Up!$Y$11</c:f>
              <c:strCache>
                <c:ptCount val="1"/>
                <c:pt idx="0">
                  <c:v>Average ratio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MM_GEMsRt_Up!$V$12:$V$41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MM_GEMsRt_Up!$Y$12:$Y$41</c:f>
              <c:numCache>
                <c:formatCode>0%</c:formatCode>
                <c:ptCount val="30"/>
                <c:pt idx="0">
                  <c:v>-0.20895522388059701</c:v>
                </c:pt>
                <c:pt idx="1">
                  <c:v>-0.20895522388059701</c:v>
                </c:pt>
                <c:pt idx="2">
                  <c:v>-0.20895522388059701</c:v>
                </c:pt>
                <c:pt idx="3">
                  <c:v>-0.20895522388059701</c:v>
                </c:pt>
                <c:pt idx="4">
                  <c:v>-0.20895522388059701</c:v>
                </c:pt>
                <c:pt idx="5">
                  <c:v>-0.20895522388059701</c:v>
                </c:pt>
                <c:pt idx="6">
                  <c:v>-0.20895522388059701</c:v>
                </c:pt>
                <c:pt idx="7">
                  <c:v>-0.20895522388059701</c:v>
                </c:pt>
                <c:pt idx="8">
                  <c:v>-0.20895522388059701</c:v>
                </c:pt>
                <c:pt idx="9">
                  <c:v>-0.20895522388059701</c:v>
                </c:pt>
                <c:pt idx="10">
                  <c:v>-0.20895522388059701</c:v>
                </c:pt>
                <c:pt idx="11">
                  <c:v>-0.20895522388059701</c:v>
                </c:pt>
                <c:pt idx="12">
                  <c:v>-0.20895522388059701</c:v>
                </c:pt>
                <c:pt idx="13">
                  <c:v>-0.20895522388059701</c:v>
                </c:pt>
                <c:pt idx="14">
                  <c:v>-0.20895522388059701</c:v>
                </c:pt>
                <c:pt idx="15">
                  <c:v>-0.20895522388059701</c:v>
                </c:pt>
                <c:pt idx="16">
                  <c:v>-0.20895522388059701</c:v>
                </c:pt>
                <c:pt idx="17">
                  <c:v>-0.20895522388059701</c:v>
                </c:pt>
                <c:pt idx="18">
                  <c:v>-0.20895522388059701</c:v>
                </c:pt>
                <c:pt idx="19">
                  <c:v>-0.20895522388059701</c:v>
                </c:pt>
                <c:pt idx="20">
                  <c:v>-0.20895522388059701</c:v>
                </c:pt>
                <c:pt idx="21">
                  <c:v>-0.20895522388059701</c:v>
                </c:pt>
                <c:pt idx="22">
                  <c:v>-0.20895522388059701</c:v>
                </c:pt>
                <c:pt idx="23">
                  <c:v>-0.20895522388059701</c:v>
                </c:pt>
                <c:pt idx="24">
                  <c:v>-0.20895522388059701</c:v>
                </c:pt>
                <c:pt idx="25">
                  <c:v>-0.20895522388059701</c:v>
                </c:pt>
                <c:pt idx="26">
                  <c:v>-0.20895522388059701</c:v>
                </c:pt>
                <c:pt idx="27">
                  <c:v>-0.20895522388059701</c:v>
                </c:pt>
                <c:pt idx="28">
                  <c:v>-0.20895522388059701</c:v>
                </c:pt>
                <c:pt idx="29">
                  <c:v>-0.20895522388059701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9-4557-B446-78F154E541C2}"/>
            </c:ext>
          </c:extLst>
        </c:ser>
        <c:ser>
          <c:idx val="2"/>
          <c:order val="2"/>
          <c:tx>
            <c:strRef>
              <c:f>MM_GEMsRt_Up!$Z$11</c:f>
              <c:strCache>
                <c:ptCount val="1"/>
                <c:pt idx="0">
                  <c:v>Ratio: Difference of rating changes over total rating changes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MM_GEMsRt_Up!$V$12:$V$41</c:f>
              <c:numCache>
                <c:formatCode>General</c:formatCode>
                <c:ptCount val="30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</c:numCache>
            </c:numRef>
          </c:cat>
          <c:val>
            <c:numRef>
              <c:f>MM_GEMsRt_Up!$Z$12:$Z$41</c:f>
              <c:numCache>
                <c:formatCode>0%</c:formatCode>
                <c:ptCount val="30"/>
                <c:pt idx="0">
                  <c:v>-0.35</c:v>
                </c:pt>
                <c:pt idx="1">
                  <c:v>-9.1703056768558958E-2</c:v>
                </c:pt>
                <c:pt idx="2">
                  <c:v>0.18777292576419213</c:v>
                </c:pt>
                <c:pt idx="3">
                  <c:v>-0.34841628959276016</c:v>
                </c:pt>
                <c:pt idx="4">
                  <c:v>-0.33559322033898303</c:v>
                </c:pt>
                <c:pt idx="5">
                  <c:v>-0.36597938144329895</c:v>
                </c:pt>
                <c:pt idx="6">
                  <c:v>-0.13186813186813187</c:v>
                </c:pt>
                <c:pt idx="7">
                  <c:v>-0.39154929577464787</c:v>
                </c:pt>
                <c:pt idx="8">
                  <c:v>-0.21153846153846154</c:v>
                </c:pt>
                <c:pt idx="9">
                  <c:v>3.4055727554179564E-2</c:v>
                </c:pt>
                <c:pt idx="10">
                  <c:v>8.6792452830188674E-2</c:v>
                </c:pt>
                <c:pt idx="11">
                  <c:v>0.11510791366906475</c:v>
                </c:pt>
                <c:pt idx="12">
                  <c:v>0.1328125</c:v>
                </c:pt>
                <c:pt idx="13">
                  <c:v>9.727626459143969E-2</c:v>
                </c:pt>
                <c:pt idx="14">
                  <c:v>-0.23239436619718309</c:v>
                </c:pt>
                <c:pt idx="15">
                  <c:v>-0.63375224416517051</c:v>
                </c:pt>
                <c:pt idx="16">
                  <c:v>3.1141868512110725E-2</c:v>
                </c:pt>
                <c:pt idx="17">
                  <c:v>-0.05</c:v>
                </c:pt>
                <c:pt idx="18">
                  <c:v>-0.14225941422594143</c:v>
                </c:pt>
                <c:pt idx="19">
                  <c:v>-0.3034188034188034</c:v>
                </c:pt>
                <c:pt idx="20">
                  <c:v>-0.30353817504655495</c:v>
                </c:pt>
                <c:pt idx="21">
                  <c:v>-0.24956369982547993</c:v>
                </c:pt>
                <c:pt idx="22">
                  <c:v>-0.48729281767955801</c:v>
                </c:pt>
                <c:pt idx="23">
                  <c:v>7.1428571428571425E-2</c:v>
                </c:pt>
                <c:pt idx="24">
                  <c:v>-0.16784869976359337</c:v>
                </c:pt>
                <c:pt idx="25">
                  <c:v>-0.19024390243902439</c:v>
                </c:pt>
                <c:pt idx="26">
                  <c:v>-0.60899315738025417</c:v>
                </c:pt>
                <c:pt idx="27">
                  <c:v>-0.10789473684210527</c:v>
                </c:pt>
                <c:pt idx="28">
                  <c:v>-0.26252983293556087</c:v>
                </c:pt>
                <c:pt idx="29">
                  <c:v>-0.11411042944785275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9-4557-B446-78F154E5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1662784"/>
        <c:axId val="191579119"/>
      </c:lineChart>
      <c:catAx>
        <c:axId val="45989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360049967"/>
        <c:crosses val="autoZero"/>
        <c:auto val="1"/>
        <c:lblAlgn val="ctr"/>
        <c:lblOffset val="100"/>
        <c:noMultiLvlLbl val="0"/>
      </c:catAx>
      <c:valAx>
        <c:axId val="360049967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0"/>
                  <a:t>Number of upgrades/downgrades</a:t>
                </a:r>
              </a:p>
            </c:rich>
          </c:tx>
          <c:layout>
            <c:manualLayout>
              <c:xMode val="edge"/>
              <c:yMode val="edge"/>
              <c:x val="4.4717439365722465E-4"/>
              <c:y val="0.282864641031999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459891647"/>
        <c:crosses val="autoZero"/>
        <c:crossBetween val="between"/>
        <c:majorUnit val="100"/>
      </c:valAx>
      <c:valAx>
        <c:axId val="191579119"/>
        <c:scaling>
          <c:orientation val="minMax"/>
          <c:max val="0.60000000000000009"/>
          <c:min val="-0.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Calibri" panose="020F0502020204030204" pitchFamily="34" charset="0"/>
                    <a:ea typeface="+mn-ea"/>
                    <a:cs typeface="Calibri" panose="020F0502020204030204" pitchFamily="34" charset="0"/>
                  </a:defRPr>
                </a:pPr>
                <a:r>
                  <a:rPr lang="en-US" sz="1200" b="0"/>
                  <a:t>Ratio</a:t>
                </a:r>
              </a:p>
            </c:rich>
          </c:tx>
          <c:layout>
            <c:manualLayout>
              <c:xMode val="edge"/>
              <c:yMode val="edge"/>
              <c:x val="0.97586935450496093"/>
              <c:y val="0.392432344192572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Calibri" panose="020F0502020204030204" pitchFamily="34" charset="0"/>
                  <a:ea typeface="+mn-ea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1821662784"/>
        <c:crosses val="max"/>
        <c:crossBetween val="between"/>
        <c:majorUnit val="0.1"/>
      </c:valAx>
      <c:catAx>
        <c:axId val="1821662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579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3118103561365935E-2"/>
          <c:y val="0.92767440704636417"/>
          <c:w val="0.96357650895721425"/>
          <c:h val="5.12905977800687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solidFill>
            <a:sysClr val="windowText" lastClr="000000"/>
          </a:solidFill>
          <a:latin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14</xdr:col>
      <xdr:colOff>571500</xdr:colOff>
      <xdr:row>28</xdr:row>
      <xdr:rowOff>14288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EA774-F96F-4674-B849-44402688FC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15874</xdr:colOff>
      <xdr:row>3</xdr:row>
      <xdr:rowOff>14287</xdr:rowOff>
    </xdr:from>
    <xdr:to>
      <xdr:col>15</xdr:col>
      <xdr:colOff>0</xdr:colOff>
      <xdr:row>27</xdr:row>
      <xdr:rowOff>10583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E71D39-F199-4326-92ED-213213D18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9525</xdr:rowOff>
    </xdr:from>
    <xdr:to>
      <xdr:col>15</xdr:col>
      <xdr:colOff>19050</xdr:colOff>
      <xdr:row>27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47713C-355A-47CD-BDC8-1306BE8AC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134868</xdr:rowOff>
    </xdr:from>
    <xdr:to>
      <xdr:col>15</xdr:col>
      <xdr:colOff>285750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CBDE0-851E-4F40-857E-F135832FA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589818</xdr:colOff>
      <xdr:row>2</xdr:row>
      <xdr:rowOff>172589</xdr:rowOff>
    </xdr:from>
    <xdr:to>
      <xdr:col>14</xdr:col>
      <xdr:colOff>536902</xdr:colOff>
      <xdr:row>26</xdr:row>
      <xdr:rowOff>135547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DA526D-A9C1-4A1B-9446-E753176BE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</xdr:row>
      <xdr:rowOff>35168</xdr:rowOff>
    </xdr:from>
    <xdr:to>
      <xdr:col>16</xdr:col>
      <xdr:colOff>87923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01D1A1-7506-4EDA-A956-ACF5A5A917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10</xdr:col>
      <xdr:colOff>57150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EEA42-7840-4F98-BFB1-ADAFD980C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11</xdr:col>
      <xdr:colOff>1</xdr:colOff>
      <xdr:row>42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B9F9D5-AED9-4956-8A96-089F153B2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214313</xdr:colOff>
      <xdr:row>23</xdr:row>
      <xdr:rowOff>166687</xdr:rowOff>
    </xdr:from>
    <xdr:to>
      <xdr:col>9</xdr:col>
      <xdr:colOff>890587</xdr:colOff>
      <xdr:row>47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9BC290-BD97-42FD-9D75-3785EAD793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3</xdr:row>
      <xdr:rowOff>38100</xdr:rowOff>
    </xdr:from>
    <xdr:to>
      <xdr:col>24</xdr:col>
      <xdr:colOff>85725</xdr:colOff>
      <xdr:row>25</xdr:row>
      <xdr:rowOff>100013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F5CAED-D386-4BA7-8729-9ED262183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15</xdr:row>
      <xdr:rowOff>171448</xdr:rowOff>
    </xdr:from>
    <xdr:to>
      <xdr:col>10</xdr:col>
      <xdr:colOff>4764</xdr:colOff>
      <xdr:row>39</xdr:row>
      <xdr:rowOff>157164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125B4-3907-47E2-896A-C166E10EF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17</xdr:row>
      <xdr:rowOff>171448</xdr:rowOff>
    </xdr:from>
    <xdr:to>
      <xdr:col>10</xdr:col>
      <xdr:colOff>4764</xdr:colOff>
      <xdr:row>41</xdr:row>
      <xdr:rowOff>176214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D1798-6077-4CBF-AE79-EAD0A69C1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572964</xdr:colOff>
      <xdr:row>3</xdr:row>
      <xdr:rowOff>0</xdr:rowOff>
    </xdr:from>
    <xdr:to>
      <xdr:col>14</xdr:col>
      <xdr:colOff>572964</xdr:colOff>
      <xdr:row>26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417D8D-EAF6-4D26-A360-E734E8D020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42861</xdr:colOff>
      <xdr:row>2</xdr:row>
      <xdr:rowOff>152399</xdr:rowOff>
    </xdr:from>
    <xdr:to>
      <xdr:col>15</xdr:col>
      <xdr:colOff>57150</xdr:colOff>
      <xdr:row>26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411F2-EB43-4E51-A490-7BA5BEABF3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19</xdr:row>
      <xdr:rowOff>9525</xdr:rowOff>
    </xdr:from>
    <xdr:to>
      <xdr:col>12</xdr:col>
      <xdr:colOff>4764</xdr:colOff>
      <xdr:row>43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3DECAD-F8EB-43C6-8239-B2D1B3F73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24</xdr:row>
      <xdr:rowOff>9525</xdr:rowOff>
    </xdr:from>
    <xdr:to>
      <xdr:col>12</xdr:col>
      <xdr:colOff>4764</xdr:colOff>
      <xdr:row>48</xdr:row>
      <xdr:rowOff>19051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55CBC2-3A4D-4322-953A-CCF26F9A0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645317</xdr:colOff>
      <xdr:row>7</xdr:row>
      <xdr:rowOff>2380</xdr:rowOff>
    </xdr:from>
    <xdr:to>
      <xdr:col>24</xdr:col>
      <xdr:colOff>14288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E3C2E-6A11-455A-B9F5-B9492F094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16</xdr:row>
      <xdr:rowOff>9525</xdr:rowOff>
    </xdr:from>
    <xdr:to>
      <xdr:col>12</xdr:col>
      <xdr:colOff>4764</xdr:colOff>
      <xdr:row>39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339EFB-52C5-4A17-A633-BB9A1B4C5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14</xdr:row>
      <xdr:rowOff>9525</xdr:rowOff>
    </xdr:from>
    <xdr:to>
      <xdr:col>12</xdr:col>
      <xdr:colOff>4764</xdr:colOff>
      <xdr:row>38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702B18-794D-49E1-9EA4-83A5FA2B2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17</xdr:row>
      <xdr:rowOff>9524</xdr:rowOff>
    </xdr:from>
    <xdr:to>
      <xdr:col>12</xdr:col>
      <xdr:colOff>4764</xdr:colOff>
      <xdr:row>41</xdr:row>
      <xdr:rowOff>115956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8A8554-7E37-405E-942C-D8A42EB5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16</xdr:row>
      <xdr:rowOff>9525</xdr:rowOff>
    </xdr:from>
    <xdr:to>
      <xdr:col>12</xdr:col>
      <xdr:colOff>4764</xdr:colOff>
      <xdr:row>40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920170-C475-46E7-BE1E-088339B6F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4763</xdr:colOff>
      <xdr:row>17</xdr:row>
      <xdr:rowOff>9525</xdr:rowOff>
    </xdr:from>
    <xdr:to>
      <xdr:col>12</xdr:col>
      <xdr:colOff>4764</xdr:colOff>
      <xdr:row>41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C52078-D009-4E44-89FD-0366D6BCA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176214</xdr:rowOff>
    </xdr:from>
    <xdr:to>
      <xdr:col>15</xdr:col>
      <xdr:colOff>514350</xdr:colOff>
      <xdr:row>28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9AC7FB-6F52-46DB-8306-E1C8AA777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49EEC-1A15-43BE-A8FE-824895E2A359}" name="Table398" displayName="Table398" ref="Q5:S21" totalsRowShown="0" headerRowDxfId="44" dataDxfId="42" headerRowBorderDxfId="43" tableBorderDxfId="41" totalsRowBorderDxfId="40">
  <tableColumns count="3">
    <tableColumn id="1" xr3:uid="{97AFD885-B4DD-46DD-8B1B-9FE4A64A8E29}" name="Year" dataDxfId="39">
      <calculatedColumnFormula>+Y4</calculatedColumnFormula>
    </tableColumn>
    <tableColumn id="2" xr3:uid="{FCB662F4-AE7F-4575-AC1C-374E48489052}" name="Defaults" dataDxfId="38">
      <calculatedColumnFormula>+Z4</calculatedColumnFormula>
    </tableColumn>
    <tableColumn id="4" xr3:uid="{C830FD04-04E6-4FB2-A948-E1BACBE2BEA4}" name="Recovery  rate" dataDxfId="37">
      <calculatedColumnFormula>IF(R6=0,"",AA4)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CFDA-847F-416E-A556-7FF8F0CBE8C3}">
  <dimension ref="C2:J5"/>
  <sheetViews>
    <sheetView workbookViewId="0"/>
  </sheetViews>
  <sheetFormatPr defaultColWidth="9.296875" defaultRowHeight="14.4"/>
  <cols>
    <col min="1" max="1" width="9.296875" style="3"/>
    <col min="2" max="2" width="0.296875" style="3" customWidth="1"/>
    <col min="3" max="3" width="9.59765625" style="3" bestFit="1" customWidth="1"/>
    <col min="4" max="4" width="9.69921875" style="3" bestFit="1" customWidth="1"/>
    <col min="5" max="5" width="10.59765625" style="3" bestFit="1" customWidth="1"/>
    <col min="6" max="6" width="12.296875" style="3" customWidth="1"/>
    <col min="7" max="7" width="11.59765625" style="3" bestFit="1" customWidth="1"/>
    <col min="8" max="10" width="13.3984375" style="3" customWidth="1"/>
    <col min="11" max="16384" width="9.296875" style="3"/>
  </cols>
  <sheetData>
    <row r="2" spans="3:10">
      <c r="C2" s="235" t="s">
        <v>233</v>
      </c>
    </row>
    <row r="4" spans="3:10" ht="45" customHeight="1">
      <c r="C4" s="52" t="s">
        <v>0</v>
      </c>
      <c r="D4" s="52" t="s">
        <v>1</v>
      </c>
      <c r="E4" s="52" t="s">
        <v>2</v>
      </c>
      <c r="F4" s="52" t="s">
        <v>3</v>
      </c>
      <c r="G4" s="52" t="s">
        <v>4</v>
      </c>
      <c r="H4" s="52" t="s">
        <v>234</v>
      </c>
      <c r="I4" s="52" t="s">
        <v>5</v>
      </c>
      <c r="J4" s="52" t="s">
        <v>235</v>
      </c>
    </row>
    <row r="5" spans="3:10" s="17" customFormat="1" ht="19.2" customHeight="1">
      <c r="C5" s="245">
        <v>10476</v>
      </c>
      <c r="D5" s="245">
        <v>31</v>
      </c>
      <c r="E5" s="245">
        <v>2101</v>
      </c>
      <c r="F5" s="245">
        <v>59361</v>
      </c>
      <c r="G5" s="245">
        <v>446360.85084900609</v>
      </c>
      <c r="H5" s="159">
        <v>3.1889332934405899E-2</v>
      </c>
      <c r="I5" s="394">
        <v>3.5393608598237897E-2</v>
      </c>
      <c r="J5" s="159">
        <v>3.8897884262069908E-2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CAAD-0129-4241-B29A-A34649EF68BF}">
  <sheetPr>
    <tabColor rgb="FFFF0000"/>
  </sheetPr>
  <dimension ref="B2:Z62"/>
  <sheetViews>
    <sheetView topLeftCell="I10" workbookViewId="0">
      <selection activeCell="V38" sqref="V6:V38"/>
    </sheetView>
  </sheetViews>
  <sheetFormatPr defaultColWidth="9.296875" defaultRowHeight="14.4"/>
  <cols>
    <col min="1" max="1" width="5.59765625" style="3" customWidth="1"/>
    <col min="2" max="15" width="9" style="3" customWidth="1"/>
    <col min="16" max="16" width="9.296875" style="3"/>
    <col min="17" max="17" width="9.296875" style="6"/>
    <col min="18" max="18" width="14" style="3" customWidth="1"/>
    <col min="19" max="19" width="12.296875" style="3" customWidth="1"/>
    <col min="20" max="20" width="13.59765625" style="3" customWidth="1"/>
    <col min="21" max="21" width="15.296875" style="3" customWidth="1"/>
    <col min="22" max="16384" width="9.296875" style="3"/>
  </cols>
  <sheetData>
    <row r="2" spans="2:26">
      <c r="Q2" s="235" t="s">
        <v>354</v>
      </c>
    </row>
    <row r="3" spans="2:26">
      <c r="B3" s="235" t="s">
        <v>355</v>
      </c>
    </row>
    <row r="4" spans="2:26" s="43" customFormat="1" ht="28.8">
      <c r="Q4" s="392" t="s">
        <v>6</v>
      </c>
      <c r="R4" s="52" t="s">
        <v>4</v>
      </c>
      <c r="S4" s="52" t="s">
        <v>2</v>
      </c>
      <c r="T4" s="52" t="s">
        <v>7</v>
      </c>
      <c r="U4" s="52" t="s">
        <v>8</v>
      </c>
      <c r="V4" s="17"/>
      <c r="W4" s="522" t="s">
        <v>9</v>
      </c>
      <c r="X4" s="522" t="str">
        <f>"Average "&amp;$Q6&amp;"-"&amp;$Q15</f>
        <v>Average 1995-2004</v>
      </c>
      <c r="Y4" s="522" t="str">
        <f>"Average "&amp;$Q16&amp;"-"&amp;$Q25</f>
        <v>Average 2005-2014</v>
      </c>
      <c r="Z4" s="522" t="str">
        <f>"Average "&amp;$Q26&amp;"-"&amp;$Q35</f>
        <v>Average 2015-2024</v>
      </c>
    </row>
    <row r="5" spans="2:26">
      <c r="Q5" s="427">
        <v>1994</v>
      </c>
      <c r="R5" s="76">
        <v>7922.2769188674738</v>
      </c>
      <c r="S5" s="76">
        <v>13</v>
      </c>
      <c r="T5" s="76">
        <v>530</v>
      </c>
      <c r="U5" s="390">
        <v>2.4528301886792451E-2</v>
      </c>
      <c r="V5" s="17"/>
      <c r="W5" s="523">
        <f>U37</f>
        <v>3.5393608598237897E-2</v>
      </c>
      <c r="X5" s="523"/>
      <c r="Y5" s="523"/>
      <c r="Z5" s="523"/>
    </row>
    <row r="6" spans="2:26">
      <c r="Q6" s="429">
        <v>1995</v>
      </c>
      <c r="R6" s="74">
        <v>10863.275299537663</v>
      </c>
      <c r="S6" s="74">
        <v>20</v>
      </c>
      <c r="T6" s="74">
        <v>613</v>
      </c>
      <c r="U6" s="391">
        <v>3.2626427406199018E-2</v>
      </c>
      <c r="V6" s="546">
        <f>((S6-S5)/(T6-T5))*U5</f>
        <v>2.0686519663559895E-3</v>
      </c>
      <c r="W6" s="523">
        <f>W5</f>
        <v>3.5393608598237897E-2</v>
      </c>
      <c r="X6" s="523">
        <f>SUM($S6:$S15)/SUM($T6:$T15)</f>
        <v>5.1426558647411059E-2</v>
      </c>
      <c r="Y6" s="523"/>
      <c r="Z6" s="523"/>
    </row>
    <row r="7" spans="2:26">
      <c r="Q7" s="427">
        <v>1996</v>
      </c>
      <c r="R7" s="76">
        <v>14745.529237765257</v>
      </c>
      <c r="S7" s="76">
        <v>13</v>
      </c>
      <c r="T7" s="76">
        <v>700</v>
      </c>
      <c r="U7" s="390">
        <v>1.8571428571428569E-2</v>
      </c>
      <c r="V7" s="546">
        <f t="shared" ref="V7:V36" si="0">((S7-S6)/(T7-T6))*U6</f>
        <v>-2.6251148487746335E-3</v>
      </c>
      <c r="W7" s="523">
        <f t="shared" ref="W7:W36" si="1">W6</f>
        <v>3.5393608598237897E-2</v>
      </c>
      <c r="X7" s="523">
        <f t="shared" ref="X7:X15" si="2">X6</f>
        <v>5.1426558647411059E-2</v>
      </c>
      <c r="Y7" s="523"/>
      <c r="Z7" s="523"/>
    </row>
    <row r="8" spans="2:26">
      <c r="Q8" s="429">
        <v>1997</v>
      </c>
      <c r="R8" s="74">
        <v>17273.044586256525</v>
      </c>
      <c r="S8" s="74">
        <v>29</v>
      </c>
      <c r="T8" s="74">
        <v>754</v>
      </c>
      <c r="U8" s="391">
        <v>3.8461538461538457E-2</v>
      </c>
      <c r="V8" s="546">
        <f t="shared" si="0"/>
        <v>5.5026455026455012E-3</v>
      </c>
      <c r="W8" s="523">
        <f t="shared" si="1"/>
        <v>3.5393608598237897E-2</v>
      </c>
      <c r="X8" s="523">
        <f t="shared" si="2"/>
        <v>5.1426558647411059E-2</v>
      </c>
      <c r="Y8" s="523"/>
      <c r="Z8" s="523"/>
    </row>
    <row r="9" spans="2:26">
      <c r="Q9" s="427">
        <v>1998</v>
      </c>
      <c r="R9" s="76">
        <v>19274.240804045752</v>
      </c>
      <c r="S9" s="76">
        <v>67</v>
      </c>
      <c r="T9" s="76">
        <v>769</v>
      </c>
      <c r="U9" s="390">
        <v>8.7126137841352411E-2</v>
      </c>
      <c r="V9" s="546">
        <f t="shared" si="0"/>
        <v>9.7435897435897423E-2</v>
      </c>
      <c r="W9" s="523">
        <f t="shared" si="1"/>
        <v>3.5393608598237897E-2</v>
      </c>
      <c r="X9" s="523">
        <f t="shared" si="2"/>
        <v>5.1426558647411059E-2</v>
      </c>
      <c r="Y9" s="523"/>
      <c r="Z9" s="523"/>
    </row>
    <row r="10" spans="2:26">
      <c r="Q10" s="429">
        <v>1999</v>
      </c>
      <c r="R10" s="74">
        <v>21607.41780825605</v>
      </c>
      <c r="S10" s="74">
        <v>34</v>
      </c>
      <c r="T10" s="74">
        <v>815</v>
      </c>
      <c r="U10" s="391">
        <v>4.1717791411042947E-2</v>
      </c>
      <c r="V10" s="546">
        <f t="shared" si="0"/>
        <v>-6.2503533668796296E-2</v>
      </c>
      <c r="W10" s="523">
        <f t="shared" si="1"/>
        <v>3.5393608598237897E-2</v>
      </c>
      <c r="X10" s="523">
        <f t="shared" si="2"/>
        <v>5.1426558647411059E-2</v>
      </c>
      <c r="Y10" s="523"/>
      <c r="Z10" s="523"/>
    </row>
    <row r="11" spans="2:26">
      <c r="Q11" s="427">
        <v>2000</v>
      </c>
      <c r="R11" s="76">
        <v>27399.962610506856</v>
      </c>
      <c r="S11" s="76">
        <v>38</v>
      </c>
      <c r="T11" s="76">
        <v>896</v>
      </c>
      <c r="U11" s="390">
        <v>4.2410714285714288E-2</v>
      </c>
      <c r="V11" s="546">
        <f t="shared" si="0"/>
        <v>2.0601378474589109E-3</v>
      </c>
      <c r="W11" s="523">
        <f t="shared" si="1"/>
        <v>3.5393608598237897E-2</v>
      </c>
      <c r="X11" s="523">
        <f t="shared" si="2"/>
        <v>5.1426558647411059E-2</v>
      </c>
      <c r="Y11" s="523"/>
      <c r="Z11" s="523"/>
    </row>
    <row r="12" spans="2:26">
      <c r="Q12" s="429">
        <v>2001</v>
      </c>
      <c r="R12" s="74">
        <v>29836.363369735773</v>
      </c>
      <c r="S12" s="74">
        <v>49</v>
      </c>
      <c r="T12" s="74">
        <v>942</v>
      </c>
      <c r="U12" s="391">
        <v>5.2016985138004249E-2</v>
      </c>
      <c r="V12" s="546">
        <f t="shared" si="0"/>
        <v>1.0141692546583852E-2</v>
      </c>
      <c r="W12" s="523">
        <f t="shared" si="1"/>
        <v>3.5393608598237897E-2</v>
      </c>
      <c r="X12" s="523">
        <f t="shared" si="2"/>
        <v>5.1426558647411059E-2</v>
      </c>
      <c r="Y12" s="523"/>
      <c r="Z12" s="523"/>
    </row>
    <row r="13" spans="2:26">
      <c r="Q13" s="427">
        <v>2002</v>
      </c>
      <c r="R13" s="76">
        <v>35431.857353961102</v>
      </c>
      <c r="S13" s="76">
        <v>76</v>
      </c>
      <c r="T13" s="76">
        <v>980</v>
      </c>
      <c r="U13" s="390">
        <v>7.7551020408163265E-2</v>
      </c>
      <c r="V13" s="546">
        <f t="shared" si="0"/>
        <v>3.6959436808581964E-2</v>
      </c>
      <c r="W13" s="523">
        <f t="shared" si="1"/>
        <v>3.5393608598237897E-2</v>
      </c>
      <c r="X13" s="523">
        <f t="shared" si="2"/>
        <v>5.1426558647411059E-2</v>
      </c>
      <c r="Y13" s="523"/>
      <c r="Z13" s="523"/>
    </row>
    <row r="14" spans="2:26">
      <c r="Q14" s="429">
        <v>2003</v>
      </c>
      <c r="R14" s="74">
        <v>39134.171418136757</v>
      </c>
      <c r="S14" s="74">
        <v>68</v>
      </c>
      <c r="T14" s="74">
        <v>995</v>
      </c>
      <c r="U14" s="391">
        <v>6.834170854271357E-2</v>
      </c>
      <c r="V14" s="546">
        <f t="shared" si="0"/>
        <v>-4.1360544217687076E-2</v>
      </c>
      <c r="W14" s="523">
        <f t="shared" si="1"/>
        <v>3.5393608598237897E-2</v>
      </c>
      <c r="X14" s="523">
        <f t="shared" si="2"/>
        <v>5.1426558647411059E-2</v>
      </c>
      <c r="Y14" s="523"/>
      <c r="Z14" s="523"/>
    </row>
    <row r="15" spans="2:26">
      <c r="Q15" s="427">
        <v>2004</v>
      </c>
      <c r="R15" s="76">
        <v>47796.307885142982</v>
      </c>
      <c r="S15" s="76">
        <v>44</v>
      </c>
      <c r="T15" s="76">
        <v>1053</v>
      </c>
      <c r="U15" s="390">
        <v>4.1785375118708452E-2</v>
      </c>
      <c r="V15" s="546">
        <f t="shared" si="0"/>
        <v>-2.8279327672846993E-2</v>
      </c>
      <c r="W15" s="523">
        <f t="shared" si="1"/>
        <v>3.5393608598237897E-2</v>
      </c>
      <c r="X15" s="523">
        <f t="shared" si="2"/>
        <v>5.1426558647411059E-2</v>
      </c>
      <c r="Y15" s="523"/>
      <c r="Z15" s="523"/>
    </row>
    <row r="16" spans="2:26">
      <c r="Q16" s="429">
        <v>2005</v>
      </c>
      <c r="R16" s="74">
        <v>53217.757257950114</v>
      </c>
      <c r="S16" s="74">
        <v>35</v>
      </c>
      <c r="T16" s="74">
        <v>1155</v>
      </c>
      <c r="U16" s="391">
        <v>3.03030303030303E-2</v>
      </c>
      <c r="V16" s="546">
        <f t="shared" si="0"/>
        <v>-3.6869448634154517E-3</v>
      </c>
      <c r="W16" s="523">
        <f t="shared" si="1"/>
        <v>3.5393608598237897E-2</v>
      </c>
      <c r="X16" s="523"/>
      <c r="Y16" s="523">
        <f>SUM($S16:$S25)/SUM($T16:$T25)</f>
        <v>3.2565301699555148E-2</v>
      </c>
      <c r="Z16" s="523"/>
    </row>
    <row r="17" spans="17:26">
      <c r="Q17" s="427">
        <v>2006</v>
      </c>
      <c r="R17" s="76">
        <v>60067.18918932246</v>
      </c>
      <c r="S17" s="76">
        <v>38</v>
      </c>
      <c r="T17" s="76">
        <v>1245</v>
      </c>
      <c r="U17" s="390">
        <v>3.0522088353413659E-2</v>
      </c>
      <c r="V17" s="546">
        <f t="shared" si="0"/>
        <v>1.0101010101010101E-3</v>
      </c>
      <c r="W17" s="523">
        <f t="shared" si="1"/>
        <v>3.5393608598237897E-2</v>
      </c>
      <c r="X17" s="523"/>
      <c r="Y17" s="523">
        <f>Y16</f>
        <v>3.2565301699555148E-2</v>
      </c>
      <c r="Z17" s="523"/>
    </row>
    <row r="18" spans="17:26">
      <c r="Q18" s="429">
        <v>2007</v>
      </c>
      <c r="R18" s="74">
        <v>65421.938958497449</v>
      </c>
      <c r="S18" s="74">
        <v>37</v>
      </c>
      <c r="T18" s="74">
        <v>1303</v>
      </c>
      <c r="U18" s="391">
        <v>2.8396009209516501E-2</v>
      </c>
      <c r="V18" s="546">
        <f t="shared" si="0"/>
        <v>-5.2624290264506309E-4</v>
      </c>
      <c r="W18" s="523">
        <f t="shared" si="1"/>
        <v>3.5393608598237897E-2</v>
      </c>
      <c r="X18" s="523"/>
      <c r="Y18" s="523">
        <f t="shared" ref="Y18:Y25" si="3">Y17</f>
        <v>3.2565301699555148E-2</v>
      </c>
      <c r="Z18" s="523"/>
    </row>
    <row r="19" spans="17:26">
      <c r="Q19" s="427">
        <v>2008</v>
      </c>
      <c r="R19" s="76">
        <v>74981.766289283027</v>
      </c>
      <c r="S19" s="76">
        <v>49</v>
      </c>
      <c r="T19" s="76">
        <v>1484</v>
      </c>
      <c r="U19" s="390">
        <v>3.3018867924528301E-2</v>
      </c>
      <c r="V19" s="546">
        <f t="shared" si="0"/>
        <v>1.8826083453823094E-3</v>
      </c>
      <c r="W19" s="523">
        <f t="shared" si="1"/>
        <v>3.5393608598237897E-2</v>
      </c>
      <c r="X19" s="523"/>
      <c r="Y19" s="523">
        <f t="shared" si="3"/>
        <v>3.2565301699555148E-2</v>
      </c>
      <c r="Z19" s="523"/>
    </row>
    <row r="20" spans="17:26">
      <c r="Q20" s="429">
        <v>2009</v>
      </c>
      <c r="R20" s="74">
        <v>85584.745295445493</v>
      </c>
      <c r="S20" s="74">
        <v>62</v>
      </c>
      <c r="T20" s="74">
        <v>1697</v>
      </c>
      <c r="U20" s="391">
        <v>3.653506187389511E-2</v>
      </c>
      <c r="V20" s="546">
        <f t="shared" si="0"/>
        <v>2.015236070511117E-3</v>
      </c>
      <c r="W20" s="523">
        <f t="shared" si="1"/>
        <v>3.5393608598237897E-2</v>
      </c>
      <c r="X20" s="523"/>
      <c r="Y20" s="523">
        <f t="shared" si="3"/>
        <v>3.2565301699555148E-2</v>
      </c>
      <c r="Z20" s="523"/>
    </row>
    <row r="21" spans="17:26">
      <c r="Q21" s="427">
        <v>2010</v>
      </c>
      <c r="R21" s="76">
        <v>94477.821642062772</v>
      </c>
      <c r="S21" s="76">
        <v>74</v>
      </c>
      <c r="T21" s="76">
        <v>1819</v>
      </c>
      <c r="U21" s="390">
        <v>4.0681693238042882E-2</v>
      </c>
      <c r="V21" s="546">
        <f t="shared" si="0"/>
        <v>3.5936126433339451E-3</v>
      </c>
      <c r="W21" s="523">
        <f t="shared" si="1"/>
        <v>3.5393608598237897E-2</v>
      </c>
      <c r="X21" s="523"/>
      <c r="Y21" s="523">
        <f t="shared" si="3"/>
        <v>3.2565301699555148E-2</v>
      </c>
      <c r="Z21" s="523"/>
    </row>
    <row r="22" spans="17:26">
      <c r="Q22" s="429">
        <v>2011</v>
      </c>
      <c r="R22" s="74">
        <v>103204.8055258072</v>
      </c>
      <c r="S22" s="74">
        <v>60</v>
      </c>
      <c r="T22" s="74">
        <v>1948</v>
      </c>
      <c r="U22" s="391">
        <v>3.0800821355236142E-2</v>
      </c>
      <c r="V22" s="546">
        <f t="shared" si="0"/>
        <v>-4.4150674831984526E-3</v>
      </c>
      <c r="W22" s="523">
        <f t="shared" si="1"/>
        <v>3.5393608598237897E-2</v>
      </c>
      <c r="X22" s="523"/>
      <c r="Y22" s="523">
        <f t="shared" si="3"/>
        <v>3.2565301699555148E-2</v>
      </c>
      <c r="Z22" s="523"/>
    </row>
    <row r="23" spans="17:26">
      <c r="Q23" s="427">
        <v>2012</v>
      </c>
      <c r="R23" s="76">
        <v>114336.61401388996</v>
      </c>
      <c r="S23" s="76">
        <v>66</v>
      </c>
      <c r="T23" s="76">
        <v>2115</v>
      </c>
      <c r="U23" s="390">
        <v>3.1205673758865252E-2</v>
      </c>
      <c r="V23" s="546">
        <f t="shared" si="0"/>
        <v>1.1066163361162684E-3</v>
      </c>
      <c r="W23" s="523">
        <f t="shared" si="1"/>
        <v>3.5393608598237897E-2</v>
      </c>
      <c r="X23" s="523"/>
      <c r="Y23" s="523">
        <f t="shared" si="3"/>
        <v>3.2565301699555148E-2</v>
      </c>
      <c r="Z23" s="523"/>
    </row>
    <row r="24" spans="17:26">
      <c r="Q24" s="429">
        <v>2013</v>
      </c>
      <c r="R24" s="74">
        <v>131087.47157287804</v>
      </c>
      <c r="S24" s="74">
        <v>53</v>
      </c>
      <c r="T24" s="74">
        <v>2328</v>
      </c>
      <c r="U24" s="391">
        <v>2.2766323024054982E-2</v>
      </c>
      <c r="V24" s="546">
        <f t="shared" si="0"/>
        <v>-1.9045716378650154E-3</v>
      </c>
      <c r="W24" s="523">
        <f t="shared" si="1"/>
        <v>3.5393608598237897E-2</v>
      </c>
      <c r="X24" s="523"/>
      <c r="Y24" s="523">
        <f t="shared" si="3"/>
        <v>3.2565301699555148E-2</v>
      </c>
      <c r="Z24" s="523"/>
    </row>
    <row r="25" spans="17:26">
      <c r="Q25" s="427">
        <v>2014</v>
      </c>
      <c r="R25" s="76">
        <v>137957.7419136207</v>
      </c>
      <c r="S25" s="76">
        <v>97</v>
      </c>
      <c r="T25" s="76">
        <v>2440</v>
      </c>
      <c r="U25" s="390">
        <v>3.9754098360655743E-2</v>
      </c>
      <c r="V25" s="546">
        <f>((S25-S24)/(T25-T24))*U24</f>
        <v>8.9439126165930284E-3</v>
      </c>
      <c r="W25" s="523">
        <f t="shared" si="1"/>
        <v>3.5393608598237897E-2</v>
      </c>
      <c r="X25" s="523"/>
      <c r="Y25" s="523">
        <f t="shared" si="3"/>
        <v>3.2565301699555148E-2</v>
      </c>
      <c r="Z25" s="523"/>
    </row>
    <row r="26" spans="17:26">
      <c r="Q26" s="429">
        <v>2015</v>
      </c>
      <c r="R26" s="74">
        <v>171555.24089843026</v>
      </c>
      <c r="S26" s="74">
        <v>90</v>
      </c>
      <c r="T26" s="74">
        <v>3071</v>
      </c>
      <c r="U26" s="391">
        <v>2.9306414848583519E-2</v>
      </c>
      <c r="V26" s="546">
        <f t="shared" si="0"/>
        <v>-4.4101218466654552E-4</v>
      </c>
      <c r="W26" s="523">
        <f t="shared" si="1"/>
        <v>3.5393608598237897E-2</v>
      </c>
      <c r="X26" s="523"/>
      <c r="Y26" s="523"/>
      <c r="Z26" s="523">
        <f>SUM($S26:$S35)/SUM($T26:$T35)</f>
        <v>3.2916412446613787E-2</v>
      </c>
    </row>
    <row r="27" spans="17:26">
      <c r="Q27" s="427">
        <v>2016</v>
      </c>
      <c r="R27" s="76">
        <v>180298.46481960829</v>
      </c>
      <c r="S27" s="76">
        <v>115</v>
      </c>
      <c r="T27" s="76">
        <v>3143</v>
      </c>
      <c r="U27" s="390">
        <v>3.6589245943366211E-2</v>
      </c>
      <c r="V27" s="546">
        <f t="shared" si="0"/>
        <v>1.0175838489091499E-2</v>
      </c>
      <c r="W27" s="523">
        <f t="shared" si="1"/>
        <v>3.5393608598237897E-2</v>
      </c>
      <c r="X27" s="523"/>
      <c r="Y27" s="523"/>
      <c r="Z27" s="523">
        <f t="shared" ref="Z27:Z36" si="4">Z26</f>
        <v>3.2916412446613787E-2</v>
      </c>
    </row>
    <row r="28" spans="17:26">
      <c r="Q28" s="429">
        <v>2017</v>
      </c>
      <c r="R28" s="74">
        <v>196268.51142276757</v>
      </c>
      <c r="S28" s="74">
        <v>98</v>
      </c>
      <c r="T28" s="74">
        <v>3155</v>
      </c>
      <c r="U28" s="391">
        <v>3.1061806656101431E-2</v>
      </c>
      <c r="V28" s="546">
        <f t="shared" si="0"/>
        <v>-5.1834765086435468E-2</v>
      </c>
      <c r="W28" s="523">
        <f t="shared" si="1"/>
        <v>3.5393608598237897E-2</v>
      </c>
      <c r="X28" s="523"/>
      <c r="Y28" s="523"/>
      <c r="Z28" s="523">
        <f t="shared" si="4"/>
        <v>3.2916412446613787E-2</v>
      </c>
    </row>
    <row r="29" spans="17:26">
      <c r="Q29" s="427">
        <v>2018</v>
      </c>
      <c r="R29" s="76">
        <v>206027.22262836006</v>
      </c>
      <c r="S29" s="76">
        <v>89</v>
      </c>
      <c r="T29" s="76">
        <v>3209</v>
      </c>
      <c r="U29" s="390">
        <v>2.773449672795263E-2</v>
      </c>
      <c r="V29" s="546">
        <f t="shared" si="0"/>
        <v>-5.1769677760169046E-3</v>
      </c>
      <c r="W29" s="523">
        <f t="shared" si="1"/>
        <v>3.5393608598237897E-2</v>
      </c>
      <c r="X29" s="523"/>
      <c r="Y29" s="523"/>
      <c r="Z29" s="523">
        <f t="shared" si="4"/>
        <v>3.2916412446613787E-2</v>
      </c>
    </row>
    <row r="30" spans="17:26">
      <c r="Q30" s="429">
        <v>2019</v>
      </c>
      <c r="R30" s="74">
        <v>216576.03847199492</v>
      </c>
      <c r="S30" s="74">
        <v>116</v>
      </c>
      <c r="T30" s="74">
        <v>3327</v>
      </c>
      <c r="U30" s="391">
        <v>3.486624586714758E-2</v>
      </c>
      <c r="V30" s="546">
        <f t="shared" si="0"/>
        <v>6.3460289123281437E-3</v>
      </c>
      <c r="W30" s="523">
        <f t="shared" si="1"/>
        <v>3.5393608598237897E-2</v>
      </c>
      <c r="X30" s="523"/>
      <c r="Y30" s="523"/>
      <c r="Z30" s="523">
        <f t="shared" si="4"/>
        <v>3.2916412446613787E-2</v>
      </c>
    </row>
    <row r="31" spans="17:26">
      <c r="Q31" s="427">
        <v>2020</v>
      </c>
      <c r="R31" s="76">
        <v>224028.91108306308</v>
      </c>
      <c r="S31" s="76">
        <v>173</v>
      </c>
      <c r="T31" s="76">
        <v>3396</v>
      </c>
      <c r="U31" s="390">
        <v>5.0942285041224972E-2</v>
      </c>
      <c r="V31" s="546">
        <f t="shared" si="0"/>
        <v>2.880255093373061E-2</v>
      </c>
      <c r="W31" s="523">
        <f t="shared" si="1"/>
        <v>3.5393608598237897E-2</v>
      </c>
      <c r="X31" s="523"/>
      <c r="Y31" s="523"/>
      <c r="Z31" s="523">
        <f t="shared" si="4"/>
        <v>3.2916412446613787E-2</v>
      </c>
    </row>
    <row r="32" spans="17:26">
      <c r="Q32" s="429">
        <v>2021</v>
      </c>
      <c r="R32" s="74">
        <v>222992.57611334813</v>
      </c>
      <c r="S32" s="74">
        <v>102</v>
      </c>
      <c r="T32" s="74">
        <v>3343</v>
      </c>
      <c r="U32" s="391">
        <v>3.0511516601854621E-2</v>
      </c>
      <c r="V32" s="546">
        <f t="shared" si="0"/>
        <v>6.8243438451452323E-2</v>
      </c>
      <c r="W32" s="523">
        <f t="shared" si="1"/>
        <v>3.5393608598237897E-2</v>
      </c>
      <c r="X32" s="523"/>
      <c r="Y32" s="523"/>
      <c r="Z32" s="523">
        <f t="shared" si="4"/>
        <v>3.2916412446613787E-2</v>
      </c>
    </row>
    <row r="33" spans="3:26">
      <c r="Q33" s="427">
        <v>2022</v>
      </c>
      <c r="R33" s="76">
        <v>224376.36366696688</v>
      </c>
      <c r="S33" s="76">
        <v>108</v>
      </c>
      <c r="T33" s="76">
        <v>3354</v>
      </c>
      <c r="U33" s="390">
        <v>3.2200357781753133E-2</v>
      </c>
      <c r="V33" s="546">
        <f t="shared" si="0"/>
        <v>1.6642645419193428E-2</v>
      </c>
      <c r="W33" s="523">
        <f t="shared" si="1"/>
        <v>3.5393608598237897E-2</v>
      </c>
      <c r="X33" s="523"/>
      <c r="Y33" s="523"/>
      <c r="Z33" s="523">
        <f t="shared" si="4"/>
        <v>3.2916412446613787E-2</v>
      </c>
    </row>
    <row r="34" spans="3:26">
      <c r="Q34" s="429">
        <v>2023</v>
      </c>
      <c r="R34" s="74">
        <v>229318.93759322236</v>
      </c>
      <c r="S34" s="74">
        <v>110</v>
      </c>
      <c r="T34" s="74">
        <v>3360</v>
      </c>
      <c r="U34" s="391">
        <v>3.273809523809524E-2</v>
      </c>
      <c r="V34" s="546">
        <f t="shared" si="0"/>
        <v>1.0733452593917711E-2</v>
      </c>
      <c r="W34" s="523">
        <f t="shared" si="1"/>
        <v>3.5393608598237897E-2</v>
      </c>
      <c r="X34" s="523"/>
      <c r="Y34" s="523"/>
      <c r="Z34" s="523">
        <f t="shared" si="4"/>
        <v>3.2916412446613787E-2</v>
      </c>
    </row>
    <row r="35" spans="3:26">
      <c r="Q35" s="427">
        <v>2024</v>
      </c>
      <c r="R35" s="76">
        <v>240900.02855078471</v>
      </c>
      <c r="S35" s="76">
        <v>78</v>
      </c>
      <c r="T35" s="76">
        <v>3422</v>
      </c>
      <c r="U35" s="390">
        <v>2.2793687901811809E-2</v>
      </c>
      <c r="V35" s="546">
        <f>((S35-S34)/(T35-T34))*U34</f>
        <v>-1.6897081413210446E-2</v>
      </c>
      <c r="W35" s="523">
        <f t="shared" si="1"/>
        <v>3.5393608598237897E-2</v>
      </c>
      <c r="X35" s="523"/>
      <c r="Y35" s="523"/>
      <c r="Z35" s="523">
        <f t="shared" si="4"/>
        <v>3.2916412446613787E-2</v>
      </c>
    </row>
    <row r="36" spans="3:26" hidden="1">
      <c r="Q36" s="427">
        <v>2023</v>
      </c>
      <c r="R36" s="76">
        <v>229318.93759322236</v>
      </c>
      <c r="S36" s="76">
        <v>110</v>
      </c>
      <c r="T36" s="76">
        <v>3360</v>
      </c>
      <c r="U36" s="390">
        <v>3.273809523809524E-2</v>
      </c>
      <c r="V36" s="546">
        <f t="shared" si="0"/>
        <v>-1.1764484078354481E-2</v>
      </c>
      <c r="W36" s="523">
        <f t="shared" si="1"/>
        <v>3.5393608598237897E-2</v>
      </c>
      <c r="X36" s="523"/>
      <c r="Y36" s="523"/>
      <c r="Z36" s="523">
        <f t="shared" si="4"/>
        <v>3.2916412446613787E-2</v>
      </c>
    </row>
    <row r="37" spans="3:26" s="17" customFormat="1" ht="21" customHeight="1" thickBot="1">
      <c r="Q37" s="392" t="s">
        <v>10</v>
      </c>
      <c r="R37" s="393"/>
      <c r="S37" s="393">
        <f>DR!E5</f>
        <v>2101</v>
      </c>
      <c r="T37" s="393">
        <f>DR!F5</f>
        <v>59361</v>
      </c>
      <c r="U37" s="394">
        <f>DR!I5</f>
        <v>3.5393608598237897E-2</v>
      </c>
      <c r="V37" s="547">
        <f>SUMPRODUCT(V6:V35,T6:T35)/SUM(T6:T35)</f>
        <v>4.3523221548979873E-3</v>
      </c>
      <c r="W37" s="524"/>
      <c r="X37" s="524"/>
      <c r="Y37" s="524"/>
      <c r="Z37" s="524"/>
    </row>
    <row r="38" spans="3:26" s="17" customFormat="1" ht="21" customHeight="1" thickBot="1">
      <c r="Q38" s="234"/>
      <c r="S38" s="43"/>
      <c r="T38" s="43"/>
      <c r="U38" s="43"/>
      <c r="V38" s="548">
        <f>AVERAGE(V7:V35)</f>
        <v>3.1705061450814035E-3</v>
      </c>
      <c r="W38" s="525"/>
      <c r="X38" s="525"/>
      <c r="Y38" s="525"/>
      <c r="Z38" s="524"/>
    </row>
    <row r="39" spans="3:26">
      <c r="C39" s="36"/>
      <c r="O39" s="36"/>
      <c r="S39" s="43"/>
      <c r="T39" s="43"/>
      <c r="U39" s="43"/>
      <c r="V39" s="43"/>
      <c r="W39" s="43"/>
      <c r="X39" s="43"/>
      <c r="Y39" s="43"/>
    </row>
    <row r="40" spans="3:26">
      <c r="S40" s="43"/>
      <c r="T40" s="43"/>
      <c r="U40" s="43"/>
      <c r="V40" s="43"/>
      <c r="W40" s="43"/>
      <c r="X40" s="43"/>
      <c r="Y40" s="43"/>
    </row>
    <row r="41" spans="3:26">
      <c r="S41" s="43"/>
      <c r="T41" s="43"/>
      <c r="U41" s="43"/>
      <c r="V41" s="43"/>
      <c r="W41" s="43"/>
      <c r="X41" s="43"/>
      <c r="Y41" s="43"/>
    </row>
    <row r="42" spans="3:26">
      <c r="S42" s="43"/>
      <c r="T42" s="43"/>
      <c r="U42" s="43"/>
      <c r="V42" s="43"/>
      <c r="W42" s="43"/>
      <c r="X42" s="43"/>
      <c r="Y42" s="43"/>
    </row>
    <row r="43" spans="3:26">
      <c r="S43" s="43"/>
      <c r="T43" s="43"/>
      <c r="U43" s="43"/>
      <c r="V43" s="43"/>
      <c r="W43" s="43"/>
      <c r="X43" s="43"/>
      <c r="Y43" s="43"/>
    </row>
    <row r="44" spans="3:26">
      <c r="S44" s="43"/>
      <c r="T44" s="43"/>
      <c r="U44" s="43"/>
      <c r="V44" s="43"/>
      <c r="W44" s="43"/>
      <c r="X44" s="43"/>
      <c r="Y44" s="43"/>
    </row>
    <row r="45" spans="3:26">
      <c r="S45" s="43"/>
      <c r="T45" s="43"/>
      <c r="U45" s="43"/>
      <c r="V45" s="43"/>
      <c r="W45" s="43"/>
      <c r="X45" s="43"/>
      <c r="Y45" s="43"/>
    </row>
    <row r="46" spans="3:26">
      <c r="S46" s="43"/>
      <c r="T46" s="43"/>
      <c r="U46" s="43"/>
      <c r="V46" s="43"/>
      <c r="W46" s="43"/>
      <c r="X46" s="43"/>
      <c r="Y46" s="43"/>
    </row>
    <row r="47" spans="3:26">
      <c r="Q47" s="3"/>
      <c r="S47" s="43"/>
      <c r="T47" s="43"/>
      <c r="U47" s="43"/>
      <c r="V47" s="43"/>
      <c r="W47" s="43"/>
      <c r="X47" s="43"/>
      <c r="Y47" s="43"/>
    </row>
    <row r="62" spans="3:15">
      <c r="C62" s="36"/>
      <c r="O62" s="36"/>
    </row>
  </sheetData>
  <pageMargins left="0.7" right="0.7" top="0.75" bottom="0.75" header="0.3" footer="0.3"/>
  <headerFooter>
    <oddHeader>&amp;C&amp;"Calibri"&amp;10&amp;K808080 Corporate Use&amp;1#_x000D_</oddHeader>
  </headerFooter>
  <ignoredErrors>
    <ignoredError sqref="X6:Z26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AB80-828B-4D62-A1E5-B40F9A3CBC05}">
  <dimension ref="B2:Z30"/>
  <sheetViews>
    <sheetView workbookViewId="0">
      <selection activeCell="F48" sqref="F48"/>
    </sheetView>
  </sheetViews>
  <sheetFormatPr defaultRowHeight="13.8"/>
  <cols>
    <col min="1" max="1" width="2.296875" customWidth="1"/>
    <col min="5" max="5" width="9" customWidth="1"/>
    <col min="7" max="16" width="9" customWidth="1"/>
    <col min="17" max="25" width="6.296875" customWidth="1"/>
    <col min="26" max="26" width="7.296875" bestFit="1" customWidth="1"/>
    <col min="27" max="31" width="4.69921875" customWidth="1"/>
  </cols>
  <sheetData>
    <row r="2" spans="2:26">
      <c r="B2" s="235" t="s">
        <v>356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</row>
    <row r="29" spans="4:26">
      <c r="F29" s="79">
        <v>0</v>
      </c>
      <c r="G29" s="79">
        <v>1</v>
      </c>
      <c r="H29" s="79">
        <v>2</v>
      </c>
      <c r="I29" s="79">
        <v>3</v>
      </c>
      <c r="J29" s="79">
        <v>4</v>
      </c>
      <c r="K29" s="79">
        <v>5</v>
      </c>
      <c r="L29" s="79">
        <v>6</v>
      </c>
      <c r="M29" s="79">
        <v>7</v>
      </c>
      <c r="N29" s="79">
        <v>8</v>
      </c>
      <c r="O29" s="79">
        <v>9</v>
      </c>
      <c r="P29" s="79">
        <v>10</v>
      </c>
      <c r="Q29" s="79">
        <v>11</v>
      </c>
      <c r="R29" s="79">
        <v>12</v>
      </c>
      <c r="S29" s="79">
        <v>13</v>
      </c>
      <c r="T29" s="79">
        <v>14</v>
      </c>
      <c r="U29" s="79">
        <v>15</v>
      </c>
      <c r="V29" s="79">
        <v>16</v>
      </c>
      <c r="W29" s="79">
        <v>17</v>
      </c>
      <c r="X29" s="79">
        <v>18</v>
      </c>
      <c r="Y29" s="79">
        <v>19</v>
      </c>
      <c r="Z29" s="79" t="s">
        <v>11</v>
      </c>
    </row>
    <row r="30" spans="4:26">
      <c r="D30">
        <v>2401</v>
      </c>
      <c r="E30" t="s">
        <v>12</v>
      </c>
      <c r="F30" s="80">
        <v>6.7471886713869222E-2</v>
      </c>
      <c r="G30" s="80">
        <v>0.221990837151187</v>
      </c>
      <c r="H30" s="80">
        <v>0.42149104539775095</v>
      </c>
      <c r="I30" s="80">
        <v>0.59600166597251147</v>
      </c>
      <c r="J30" s="80">
        <v>0.70970428987921697</v>
      </c>
      <c r="K30" s="80">
        <v>0.79008746355685133</v>
      </c>
      <c r="L30" s="80">
        <v>0.85714285714285721</v>
      </c>
      <c r="M30" s="80">
        <v>0.89421074552269897</v>
      </c>
      <c r="N30" s="80">
        <v>0.93252811328613083</v>
      </c>
      <c r="O30" s="80">
        <v>0.95251978342357357</v>
      </c>
      <c r="P30" s="80">
        <v>0.96626405664306547</v>
      </c>
      <c r="Q30" s="80">
        <v>0.97459391920033323</v>
      </c>
      <c r="R30" s="80">
        <v>0.98375676801332779</v>
      </c>
      <c r="S30" s="80">
        <v>0.99000416493127863</v>
      </c>
      <c r="T30" s="80">
        <v>0.99375260308204916</v>
      </c>
      <c r="U30" s="80">
        <v>0.99583506872136607</v>
      </c>
      <c r="V30" s="80">
        <v>0.99833402748854638</v>
      </c>
      <c r="W30" s="80">
        <v>0.99875052061640979</v>
      </c>
      <c r="X30" s="80">
        <v>0.99875052061640979</v>
      </c>
      <c r="Y30" s="80">
        <v>0.99875052061640979</v>
      </c>
      <c r="Z30" s="80">
        <v>1</v>
      </c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7B60-DA3F-4316-814F-08096066E349}">
  <dimension ref="A1:W31"/>
  <sheetViews>
    <sheetView topLeftCell="A5" workbookViewId="0">
      <selection activeCell="I10" sqref="I10"/>
    </sheetView>
  </sheetViews>
  <sheetFormatPr defaultRowHeight="13.8"/>
  <cols>
    <col min="21" max="23" width="9.296875" customWidth="1"/>
  </cols>
  <sheetData>
    <row r="1" spans="2:23"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</row>
    <row r="2" spans="2:23">
      <c r="B2" s="235" t="s">
        <v>357</v>
      </c>
    </row>
    <row r="3" spans="2:23">
      <c r="C3" s="235"/>
    </row>
    <row r="29" spans="1:23">
      <c r="A29" s="81"/>
      <c r="B29" s="81" t="s">
        <v>147</v>
      </c>
      <c r="C29" s="81" t="s">
        <v>148</v>
      </c>
      <c r="D29" s="81" t="s">
        <v>149</v>
      </c>
      <c r="E29" s="81" t="s">
        <v>150</v>
      </c>
      <c r="F29" s="81" t="s">
        <v>151</v>
      </c>
      <c r="G29" s="81" t="s">
        <v>152</v>
      </c>
      <c r="H29" s="81" t="s">
        <v>153</v>
      </c>
      <c r="I29" s="81" t="s">
        <v>154</v>
      </c>
      <c r="J29" s="81" t="s">
        <v>155</v>
      </c>
      <c r="K29" s="81" t="s">
        <v>156</v>
      </c>
      <c r="L29" s="81" t="s">
        <v>157</v>
      </c>
      <c r="M29" s="81" t="s">
        <v>158</v>
      </c>
      <c r="N29" s="81" t="s">
        <v>159</v>
      </c>
      <c r="O29" s="81" t="s">
        <v>160</v>
      </c>
      <c r="P29" s="81" t="s">
        <v>161</v>
      </c>
      <c r="Q29" s="81" t="s">
        <v>162</v>
      </c>
      <c r="R29" s="81" t="s">
        <v>163</v>
      </c>
      <c r="S29" s="81" t="s">
        <v>164</v>
      </c>
      <c r="T29" s="81" t="s">
        <v>165</v>
      </c>
      <c r="U29" s="81" t="s">
        <v>166</v>
      </c>
      <c r="V29" s="81"/>
      <c r="W29" s="81"/>
    </row>
    <row r="30" spans="1:23">
      <c r="A30" s="81" t="s">
        <v>13</v>
      </c>
      <c r="B30" s="81">
        <v>0</v>
      </c>
      <c r="C30" s="81">
        <v>0</v>
      </c>
      <c r="D30" s="81">
        <v>0</v>
      </c>
      <c r="E30" s="81">
        <v>0</v>
      </c>
      <c r="F30" s="81">
        <v>0</v>
      </c>
      <c r="G30" s="81">
        <v>0</v>
      </c>
      <c r="H30" s="81">
        <v>0</v>
      </c>
      <c r="I30" s="81">
        <v>1E-3</v>
      </c>
      <c r="J30" s="81">
        <v>2.5000000000000001E-3</v>
      </c>
      <c r="K30" s="81">
        <v>4.3E-3</v>
      </c>
      <c r="L30" s="81">
        <v>7.4999999999999997E-3</v>
      </c>
      <c r="M30" s="81">
        <v>1.2800000000000001E-2</v>
      </c>
      <c r="N30" s="81">
        <v>1.9900000000000001E-2</v>
      </c>
      <c r="O30" s="81">
        <v>2.69E-2</v>
      </c>
      <c r="P30" s="81">
        <v>3.3599999999999998E-2</v>
      </c>
      <c r="Q30" s="81">
        <v>4.8099999999999997E-2</v>
      </c>
      <c r="R30" s="81">
        <v>7.1400000000000005E-2</v>
      </c>
      <c r="S30" s="81">
        <v>0.10589999999999999</v>
      </c>
      <c r="T30" s="81">
        <v>0.16450000000000001</v>
      </c>
      <c r="U30" s="81">
        <v>0.2462</v>
      </c>
      <c r="V30" s="81"/>
      <c r="W30" s="81"/>
    </row>
    <row r="31" spans="1:23">
      <c r="A31" t="s">
        <v>14</v>
      </c>
      <c r="B31" s="82">
        <f>+DR!I5</f>
        <v>3.5393608598237897E-2</v>
      </c>
      <c r="C31" s="82">
        <f t="shared" ref="C31:U31" si="0">$B$31</f>
        <v>3.5393608598237897E-2</v>
      </c>
      <c r="D31" s="82">
        <f t="shared" si="0"/>
        <v>3.5393608598237897E-2</v>
      </c>
      <c r="E31" s="82">
        <f t="shared" si="0"/>
        <v>3.5393608598237897E-2</v>
      </c>
      <c r="F31" s="82">
        <f t="shared" si="0"/>
        <v>3.5393608598237897E-2</v>
      </c>
      <c r="G31" s="82">
        <f t="shared" si="0"/>
        <v>3.5393608598237897E-2</v>
      </c>
      <c r="H31" s="82">
        <f t="shared" si="0"/>
        <v>3.5393608598237897E-2</v>
      </c>
      <c r="I31" s="82">
        <f t="shared" si="0"/>
        <v>3.5393608598237897E-2</v>
      </c>
      <c r="J31" s="82">
        <f t="shared" si="0"/>
        <v>3.5393608598237897E-2</v>
      </c>
      <c r="K31" s="82">
        <f t="shared" si="0"/>
        <v>3.5393608598237897E-2</v>
      </c>
      <c r="L31" s="82">
        <f t="shared" si="0"/>
        <v>3.5393608598237897E-2</v>
      </c>
      <c r="M31" s="82">
        <f t="shared" si="0"/>
        <v>3.5393608598237897E-2</v>
      </c>
      <c r="N31" s="82">
        <f t="shared" si="0"/>
        <v>3.5393608598237897E-2</v>
      </c>
      <c r="O31" s="82">
        <f t="shared" si="0"/>
        <v>3.5393608598237897E-2</v>
      </c>
      <c r="P31" s="82">
        <f t="shared" si="0"/>
        <v>3.5393608598237897E-2</v>
      </c>
      <c r="Q31" s="82">
        <f t="shared" si="0"/>
        <v>3.5393608598237897E-2</v>
      </c>
      <c r="R31" s="82">
        <f t="shared" si="0"/>
        <v>3.5393608598237897E-2</v>
      </c>
      <c r="S31" s="82">
        <f t="shared" si="0"/>
        <v>3.5393608598237897E-2</v>
      </c>
      <c r="T31" s="82">
        <f t="shared" si="0"/>
        <v>3.5393608598237897E-2</v>
      </c>
      <c r="U31" s="82">
        <f t="shared" si="0"/>
        <v>3.5393608598237897E-2</v>
      </c>
      <c r="V31" s="82"/>
      <c r="W31" s="82"/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2BB5-8F57-4844-A6BC-5491ACB94CF7}">
  <dimension ref="C2:L5"/>
  <sheetViews>
    <sheetView workbookViewId="0">
      <selection activeCell="I10" sqref="I10"/>
    </sheetView>
  </sheetViews>
  <sheetFormatPr defaultColWidth="9.296875" defaultRowHeight="14.4"/>
  <cols>
    <col min="1" max="1" width="9.296875" style="3"/>
    <col min="2" max="2" width="0.296875" style="3" customWidth="1"/>
    <col min="3" max="12" width="10.59765625" style="3" customWidth="1"/>
    <col min="13" max="16384" width="9.296875" style="3"/>
  </cols>
  <sheetData>
    <row r="2" spans="3:12">
      <c r="C2" s="235" t="s">
        <v>358</v>
      </c>
    </row>
    <row r="4" spans="3:12" ht="45" customHeight="1">
      <c r="C4" s="52" t="s">
        <v>2</v>
      </c>
      <c r="D4" s="52" t="s">
        <v>15</v>
      </c>
      <c r="E4" s="52" t="s">
        <v>16</v>
      </c>
      <c r="F4" s="366" t="s">
        <v>17</v>
      </c>
      <c r="G4" s="366" t="s">
        <v>18</v>
      </c>
      <c r="H4" s="366" t="s">
        <v>19</v>
      </c>
      <c r="I4" s="366" t="s">
        <v>20</v>
      </c>
      <c r="J4" s="366" t="s">
        <v>21</v>
      </c>
      <c r="K4" s="366" t="s">
        <v>22</v>
      </c>
      <c r="L4" s="366" t="s">
        <v>23</v>
      </c>
    </row>
    <row r="5" spans="3:12" s="17" customFormat="1" ht="19.2" customHeight="1">
      <c r="C5" s="367">
        <v>1801</v>
      </c>
      <c r="D5" s="367">
        <v>27449.833117429749</v>
      </c>
      <c r="E5" s="368">
        <v>0.72934569103311975</v>
      </c>
      <c r="F5" s="369">
        <v>0</v>
      </c>
      <c r="G5" s="369">
        <v>0.1113689440293414</v>
      </c>
      <c r="H5" s="369">
        <v>0.50618334346212235</v>
      </c>
      <c r="I5" s="368">
        <v>0.91081310600256249</v>
      </c>
      <c r="J5" s="369">
        <v>0.99822109295292116</v>
      </c>
      <c r="K5" s="369">
        <v>1</v>
      </c>
      <c r="L5" s="369">
        <v>1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CF22-604E-4B28-B40E-F0315B84B418}">
  <dimension ref="A1:AB39"/>
  <sheetViews>
    <sheetView workbookViewId="0"/>
  </sheetViews>
  <sheetFormatPr defaultRowHeight="13.8"/>
  <cols>
    <col min="19" max="19" width="15.296875" customWidth="1"/>
    <col min="20" max="20" width="3.296875" customWidth="1"/>
    <col min="23" max="23" width="15.296875" customWidth="1"/>
    <col min="26" max="26" width="8.69921875" style="83"/>
  </cols>
  <sheetData>
    <row r="1" spans="1:28">
      <c r="Y1" s="526"/>
      <c r="Z1" s="527">
        <f>SUM(Z4:Z440)</f>
        <v>1801</v>
      </c>
      <c r="AA1" s="528">
        <f>SUMPRODUCT(AA4:AA40,Z4:Z40)/Z1</f>
        <v>0.72934569103312052</v>
      </c>
      <c r="AB1" s="526"/>
    </row>
    <row r="2" spans="1:28" ht="15.45" customHeight="1">
      <c r="A2" s="243" t="s">
        <v>359</v>
      </c>
      <c r="Q2" s="235" t="s">
        <v>360</v>
      </c>
      <c r="Y2" s="529" t="s">
        <v>24</v>
      </c>
      <c r="Z2" s="530" t="s">
        <v>25</v>
      </c>
      <c r="AA2" s="529" t="s">
        <v>26</v>
      </c>
      <c r="AB2" s="530" t="s">
        <v>27</v>
      </c>
    </row>
    <row r="3" spans="1:28" ht="15.45" customHeight="1">
      <c r="A3" s="243"/>
      <c r="Q3" s="235"/>
      <c r="Y3" s="529"/>
      <c r="Z3" s="530"/>
      <c r="AA3" s="529"/>
      <c r="AB3" s="530"/>
    </row>
    <row r="4" spans="1:28">
      <c r="Y4" s="526">
        <v>1994</v>
      </c>
      <c r="Z4" s="527">
        <v>18</v>
      </c>
      <c r="AA4" s="531">
        <v>0.72362125103438646</v>
      </c>
      <c r="AB4" s="532">
        <v>0.72934569103311975</v>
      </c>
    </row>
    <row r="5" spans="1:28" ht="14.4">
      <c r="Q5" s="513" t="s">
        <v>6</v>
      </c>
      <c r="R5" s="514" t="s">
        <v>28</v>
      </c>
      <c r="S5" s="515" t="s">
        <v>29</v>
      </c>
      <c r="T5" s="6"/>
      <c r="U5" s="445" t="s">
        <v>6</v>
      </c>
      <c r="V5" s="516" t="s">
        <v>28</v>
      </c>
      <c r="W5" s="516" t="s">
        <v>29</v>
      </c>
      <c r="Y5" s="526">
        <v>1995</v>
      </c>
      <c r="Z5" s="527">
        <v>16</v>
      </c>
      <c r="AA5" s="531">
        <v>0.52030336414398126</v>
      </c>
      <c r="AB5" s="532">
        <f>+AB4</f>
        <v>0.72934569103311975</v>
      </c>
    </row>
    <row r="6" spans="1:28" ht="14.4">
      <c r="Q6" s="238">
        <f t="shared" ref="Q6:R21" si="0">+Y4</f>
        <v>1994</v>
      </c>
      <c r="R6" s="88">
        <f t="shared" si="0"/>
        <v>18</v>
      </c>
      <c r="S6" s="239">
        <f t="shared" ref="S6:S21" si="1">IF(R6=0,"",AA4)</f>
        <v>0.72362125103438646</v>
      </c>
      <c r="T6" s="6"/>
      <c r="U6" s="427">
        <f>1+Q21</f>
        <v>2010</v>
      </c>
      <c r="V6" s="88">
        <f t="shared" ref="V6:V20" si="2">+Z20</f>
        <v>83</v>
      </c>
      <c r="W6" s="517">
        <f t="shared" ref="W6:W20" si="3">IF(V6=0,"",AA20)</f>
        <v>0.77642992254468646</v>
      </c>
      <c r="Y6" s="526">
        <v>1996</v>
      </c>
      <c r="Z6" s="527">
        <v>16</v>
      </c>
      <c r="AA6" s="531">
        <v>0.59583537633776906</v>
      </c>
      <c r="AB6" s="532">
        <f t="shared" ref="AB6:AB34" si="4">+AB5</f>
        <v>0.72934569103311975</v>
      </c>
    </row>
    <row r="7" spans="1:28" ht="14.4">
      <c r="Q7" s="238">
        <f t="shared" si="0"/>
        <v>1995</v>
      </c>
      <c r="R7" s="88">
        <f t="shared" si="0"/>
        <v>16</v>
      </c>
      <c r="S7" s="239">
        <f t="shared" si="1"/>
        <v>0.52030336414398126</v>
      </c>
      <c r="T7" s="6"/>
      <c r="U7" s="518">
        <f>1+U6</f>
        <v>2011</v>
      </c>
      <c r="V7" s="89">
        <f t="shared" si="2"/>
        <v>73</v>
      </c>
      <c r="W7" s="519">
        <f t="shared" si="3"/>
        <v>0.78730316912069964</v>
      </c>
      <c r="Y7" s="526">
        <v>1997</v>
      </c>
      <c r="Z7" s="527">
        <v>27</v>
      </c>
      <c r="AA7" s="531">
        <v>0.59472568498717826</v>
      </c>
      <c r="AB7" s="532">
        <f t="shared" si="4"/>
        <v>0.72934569103311975</v>
      </c>
    </row>
    <row r="8" spans="1:28" ht="14.4">
      <c r="Q8" s="238">
        <f t="shared" si="0"/>
        <v>1996</v>
      </c>
      <c r="R8" s="88">
        <f t="shared" si="0"/>
        <v>16</v>
      </c>
      <c r="S8" s="239">
        <f t="shared" si="1"/>
        <v>0.59583537633776906</v>
      </c>
      <c r="T8" s="6"/>
      <c r="U8" s="427">
        <f t="shared" ref="U8:U20" si="5">1+U7</f>
        <v>2012</v>
      </c>
      <c r="V8" s="88">
        <f t="shared" si="2"/>
        <v>58</v>
      </c>
      <c r="W8" s="517">
        <f t="shared" si="3"/>
        <v>0.73583452051326537</v>
      </c>
      <c r="Y8" s="526">
        <v>1998</v>
      </c>
      <c r="Z8" s="527">
        <v>77</v>
      </c>
      <c r="AA8" s="531">
        <v>0.77279502844575798</v>
      </c>
      <c r="AB8" s="532">
        <f t="shared" si="4"/>
        <v>0.72934569103311975</v>
      </c>
    </row>
    <row r="9" spans="1:28" ht="14.4">
      <c r="Q9" s="238">
        <f t="shared" si="0"/>
        <v>1997</v>
      </c>
      <c r="R9" s="88">
        <f t="shared" si="0"/>
        <v>27</v>
      </c>
      <c r="S9" s="239">
        <f t="shared" si="1"/>
        <v>0.59472568498717826</v>
      </c>
      <c r="T9" s="6"/>
      <c r="U9" s="518">
        <f t="shared" si="5"/>
        <v>2013</v>
      </c>
      <c r="V9" s="89">
        <f t="shared" si="2"/>
        <v>54</v>
      </c>
      <c r="W9" s="519">
        <f t="shared" si="3"/>
        <v>0.64062508234274773</v>
      </c>
      <c r="Y9" s="526">
        <v>1999</v>
      </c>
      <c r="Z9" s="527">
        <v>35</v>
      </c>
      <c r="AA9" s="531">
        <v>0.73508956610080212</v>
      </c>
      <c r="AB9" s="532">
        <f t="shared" si="4"/>
        <v>0.72934569103311975</v>
      </c>
    </row>
    <row r="10" spans="1:28" ht="14.4">
      <c r="Q10" s="238">
        <f t="shared" si="0"/>
        <v>1998</v>
      </c>
      <c r="R10" s="88">
        <f t="shared" si="0"/>
        <v>77</v>
      </c>
      <c r="S10" s="239">
        <f t="shared" si="1"/>
        <v>0.77279502844575798</v>
      </c>
      <c r="T10" s="6"/>
      <c r="U10" s="427">
        <f t="shared" si="5"/>
        <v>2014</v>
      </c>
      <c r="V10" s="88">
        <f t="shared" si="2"/>
        <v>85</v>
      </c>
      <c r="W10" s="517">
        <f t="shared" si="3"/>
        <v>0.64392746395257461</v>
      </c>
      <c r="Y10" s="526">
        <v>2000</v>
      </c>
      <c r="Z10" s="527">
        <v>39</v>
      </c>
      <c r="AA10" s="531">
        <v>0.6168344430285494</v>
      </c>
      <c r="AB10" s="532">
        <f t="shared" si="4"/>
        <v>0.72934569103311975</v>
      </c>
    </row>
    <row r="11" spans="1:28" ht="14.4">
      <c r="Q11" s="238">
        <f t="shared" si="0"/>
        <v>1999</v>
      </c>
      <c r="R11" s="88">
        <f t="shared" si="0"/>
        <v>35</v>
      </c>
      <c r="S11" s="239">
        <f t="shared" si="1"/>
        <v>0.73508956610080212</v>
      </c>
      <c r="T11" s="6"/>
      <c r="U11" s="518">
        <f t="shared" si="5"/>
        <v>2015</v>
      </c>
      <c r="V11" s="89">
        <f t="shared" si="2"/>
        <v>97</v>
      </c>
      <c r="W11" s="519">
        <f t="shared" si="3"/>
        <v>0.70944317482607688</v>
      </c>
      <c r="Y11" s="526">
        <v>2001</v>
      </c>
      <c r="Z11" s="527">
        <v>49</v>
      </c>
      <c r="AA11" s="531">
        <v>0.65194748107309608</v>
      </c>
      <c r="AB11" s="532">
        <f t="shared" si="4"/>
        <v>0.72934569103311975</v>
      </c>
    </row>
    <row r="12" spans="1:28" ht="14.4">
      <c r="Q12" s="238">
        <f t="shared" si="0"/>
        <v>2000</v>
      </c>
      <c r="R12" s="88">
        <f t="shared" si="0"/>
        <v>39</v>
      </c>
      <c r="S12" s="239">
        <f t="shared" si="1"/>
        <v>0.6168344430285494</v>
      </c>
      <c r="T12" s="6"/>
      <c r="U12" s="427">
        <f t="shared" si="5"/>
        <v>2016</v>
      </c>
      <c r="V12" s="88">
        <f t="shared" si="2"/>
        <v>129</v>
      </c>
      <c r="W12" s="517">
        <f t="shared" si="3"/>
        <v>0.6070832022010344</v>
      </c>
      <c r="Y12" s="526">
        <v>2002</v>
      </c>
      <c r="Z12" s="527">
        <v>63</v>
      </c>
      <c r="AA12" s="531">
        <v>0.72695864562209456</v>
      </c>
      <c r="AB12" s="532">
        <f t="shared" si="4"/>
        <v>0.72934569103311975</v>
      </c>
    </row>
    <row r="13" spans="1:28" ht="14.4">
      <c r="Q13" s="238">
        <f t="shared" si="0"/>
        <v>2001</v>
      </c>
      <c r="R13" s="88">
        <f t="shared" si="0"/>
        <v>49</v>
      </c>
      <c r="S13" s="239">
        <f t="shared" si="1"/>
        <v>0.65194748107309608</v>
      </c>
      <c r="T13" s="6"/>
      <c r="U13" s="518">
        <f t="shared" si="5"/>
        <v>2017</v>
      </c>
      <c r="V13" s="89">
        <f t="shared" si="2"/>
        <v>75</v>
      </c>
      <c r="W13" s="519">
        <f t="shared" si="3"/>
        <v>0.77818471191233096</v>
      </c>
      <c r="Y13" s="526">
        <v>2003</v>
      </c>
      <c r="Z13" s="527">
        <v>70</v>
      </c>
      <c r="AA13" s="531">
        <v>0.86917204254142899</v>
      </c>
      <c r="AB13" s="532">
        <f t="shared" si="4"/>
        <v>0.72934569103311975</v>
      </c>
    </row>
    <row r="14" spans="1:28" ht="14.4">
      <c r="Q14" s="238">
        <f t="shared" si="0"/>
        <v>2002</v>
      </c>
      <c r="R14" s="88">
        <f t="shared" si="0"/>
        <v>63</v>
      </c>
      <c r="S14" s="239">
        <f t="shared" si="1"/>
        <v>0.72695864562209456</v>
      </c>
      <c r="T14" s="6"/>
      <c r="U14" s="427">
        <f t="shared" si="5"/>
        <v>2018</v>
      </c>
      <c r="V14" s="88">
        <f t="shared" si="2"/>
        <v>66</v>
      </c>
      <c r="W14" s="517">
        <f t="shared" si="3"/>
        <v>0.6179109925766022</v>
      </c>
      <c r="Y14" s="526">
        <v>2004</v>
      </c>
      <c r="Z14" s="527">
        <v>39</v>
      </c>
      <c r="AA14" s="531">
        <v>0.76820650539848878</v>
      </c>
      <c r="AB14" s="532">
        <f t="shared" si="4"/>
        <v>0.72934569103311975</v>
      </c>
    </row>
    <row r="15" spans="1:28" ht="14.4">
      <c r="Q15" s="238">
        <f t="shared" si="0"/>
        <v>2003</v>
      </c>
      <c r="R15" s="88">
        <f t="shared" si="0"/>
        <v>70</v>
      </c>
      <c r="S15" s="239">
        <f t="shared" si="1"/>
        <v>0.86917204254142899</v>
      </c>
      <c r="T15" s="6"/>
      <c r="U15" s="518">
        <f t="shared" si="5"/>
        <v>2019</v>
      </c>
      <c r="V15" s="89">
        <f t="shared" si="2"/>
        <v>84</v>
      </c>
      <c r="W15" s="519">
        <f t="shared" si="3"/>
        <v>0.70717151348222473</v>
      </c>
      <c r="Y15" s="526">
        <v>2005</v>
      </c>
      <c r="Z15" s="527">
        <v>36</v>
      </c>
      <c r="AA15" s="531">
        <v>0.71203125539859291</v>
      </c>
      <c r="AB15" s="532">
        <f t="shared" si="4"/>
        <v>0.72934569103311975</v>
      </c>
    </row>
    <row r="16" spans="1:28" ht="14.4">
      <c r="Q16" s="238">
        <f t="shared" si="0"/>
        <v>2004</v>
      </c>
      <c r="R16" s="88">
        <f t="shared" si="0"/>
        <v>39</v>
      </c>
      <c r="S16" s="239">
        <f t="shared" si="1"/>
        <v>0.76820650539848878</v>
      </c>
      <c r="T16" s="6"/>
      <c r="U16" s="427">
        <f t="shared" si="5"/>
        <v>2020</v>
      </c>
      <c r="V16" s="88">
        <f t="shared" si="2"/>
        <v>119</v>
      </c>
      <c r="W16" s="517">
        <f t="shared" si="3"/>
        <v>0.80116280539188989</v>
      </c>
      <c r="Y16" s="526">
        <v>2006</v>
      </c>
      <c r="Z16" s="527">
        <v>36</v>
      </c>
      <c r="AA16" s="531">
        <v>0.72490494641561243</v>
      </c>
      <c r="AB16" s="532">
        <f t="shared" si="4"/>
        <v>0.72934569103311975</v>
      </c>
    </row>
    <row r="17" spans="1:28" ht="14.4">
      <c r="Q17" s="238">
        <f t="shared" si="0"/>
        <v>2005</v>
      </c>
      <c r="R17" s="88">
        <f t="shared" si="0"/>
        <v>36</v>
      </c>
      <c r="S17" s="239">
        <f t="shared" si="1"/>
        <v>0.71203125539859291</v>
      </c>
      <c r="T17" s="6"/>
      <c r="U17" s="518">
        <f t="shared" si="5"/>
        <v>2021</v>
      </c>
      <c r="V17" s="89">
        <f t="shared" si="2"/>
        <v>64</v>
      </c>
      <c r="W17" s="519">
        <f t="shared" si="3"/>
        <v>0.7935213700211351</v>
      </c>
      <c r="Y17" s="526">
        <v>2007</v>
      </c>
      <c r="Z17" s="527">
        <v>32</v>
      </c>
      <c r="AA17" s="531">
        <v>0.80005508299502193</v>
      </c>
      <c r="AB17" s="532">
        <f t="shared" si="4"/>
        <v>0.72934569103311975</v>
      </c>
    </row>
    <row r="18" spans="1:28" ht="14.4">
      <c r="Q18" s="238">
        <f t="shared" si="0"/>
        <v>2006</v>
      </c>
      <c r="R18" s="88">
        <f t="shared" si="0"/>
        <v>36</v>
      </c>
      <c r="S18" s="239">
        <f t="shared" si="1"/>
        <v>0.72490494641561243</v>
      </c>
      <c r="T18" s="6"/>
      <c r="U18" s="427">
        <f t="shared" si="5"/>
        <v>2022</v>
      </c>
      <c r="V18" s="88">
        <f t="shared" si="2"/>
        <v>57</v>
      </c>
      <c r="W18" s="517">
        <f t="shared" si="3"/>
        <v>0.8602522357126271</v>
      </c>
      <c r="Y18" s="526">
        <v>2008</v>
      </c>
      <c r="Z18" s="527">
        <v>60</v>
      </c>
      <c r="AA18" s="531">
        <v>0.79896292259324553</v>
      </c>
      <c r="AB18" s="532">
        <f t="shared" si="4"/>
        <v>0.72934569103311975</v>
      </c>
    </row>
    <row r="19" spans="1:28" ht="14.4">
      <c r="Q19" s="238">
        <f t="shared" si="0"/>
        <v>2007</v>
      </c>
      <c r="R19" s="88">
        <f t="shared" si="0"/>
        <v>32</v>
      </c>
      <c r="S19" s="239">
        <f t="shared" si="1"/>
        <v>0.80005508299502193</v>
      </c>
      <c r="T19" s="6"/>
      <c r="U19" s="518">
        <f t="shared" si="5"/>
        <v>2023</v>
      </c>
      <c r="V19" s="89">
        <f t="shared" si="2"/>
        <v>45</v>
      </c>
      <c r="W19" s="519">
        <f t="shared" si="3"/>
        <v>0.78655865022665827</v>
      </c>
      <c r="Y19" s="526">
        <v>2009</v>
      </c>
      <c r="Z19" s="527">
        <v>69</v>
      </c>
      <c r="AA19" s="531">
        <v>0.71629177272954037</v>
      </c>
      <c r="AB19" s="532">
        <f t="shared" si="4"/>
        <v>0.72934569103311975</v>
      </c>
    </row>
    <row r="20" spans="1:28" ht="14.4">
      <c r="Q20" s="238">
        <f t="shared" si="0"/>
        <v>2008</v>
      </c>
      <c r="R20" s="88">
        <f t="shared" si="0"/>
        <v>60</v>
      </c>
      <c r="S20" s="239">
        <f t="shared" si="1"/>
        <v>0.79896292259324553</v>
      </c>
      <c r="T20" s="6"/>
      <c r="U20" s="427">
        <f t="shared" si="5"/>
        <v>2024</v>
      </c>
      <c r="V20" s="88">
        <f t="shared" si="2"/>
        <v>30</v>
      </c>
      <c r="W20" s="520">
        <f t="shared" si="3"/>
        <v>0.79757451970936144</v>
      </c>
      <c r="Y20" s="526">
        <v>2010</v>
      </c>
      <c r="Z20" s="527">
        <v>83</v>
      </c>
      <c r="AA20" s="531">
        <v>0.77642992254468646</v>
      </c>
      <c r="AB20" s="532">
        <f t="shared" si="4"/>
        <v>0.72934569103311975</v>
      </c>
    </row>
    <row r="21" spans="1:28" ht="14.4">
      <c r="Q21" s="240">
        <f t="shared" si="0"/>
        <v>2009</v>
      </c>
      <c r="R21" s="90">
        <f t="shared" si="0"/>
        <v>69</v>
      </c>
      <c r="S21" s="241">
        <f t="shared" si="1"/>
        <v>0.71629177272954037</v>
      </c>
      <c r="T21" s="6"/>
      <c r="U21" s="392" t="s">
        <v>30</v>
      </c>
      <c r="V21" s="521">
        <f>+$Z$1</f>
        <v>1801</v>
      </c>
      <c r="W21" s="461">
        <v>0.72934569103311975</v>
      </c>
      <c r="Y21" s="526">
        <v>2011</v>
      </c>
      <c r="Z21" s="527">
        <v>73</v>
      </c>
      <c r="AA21" s="531">
        <v>0.78730316912069964</v>
      </c>
      <c r="AB21" s="532">
        <f t="shared" si="4"/>
        <v>0.72934569103311975</v>
      </c>
    </row>
    <row r="22" spans="1:28">
      <c r="Y22" s="526">
        <v>2012</v>
      </c>
      <c r="Z22" s="527">
        <v>58</v>
      </c>
      <c r="AA22" s="531">
        <v>0.73583452051326537</v>
      </c>
      <c r="AB22" s="532">
        <f t="shared" si="4"/>
        <v>0.72934569103311975</v>
      </c>
    </row>
    <row r="23" spans="1:28">
      <c r="R23" s="533">
        <f>SUM(R6:R22)</f>
        <v>682</v>
      </c>
      <c r="S23" s="526"/>
      <c r="T23" s="526"/>
      <c r="U23" s="526"/>
      <c r="V23" s="533">
        <f>SUM(V6:V20)</f>
        <v>1119</v>
      </c>
      <c r="W23" s="526"/>
      <c r="Y23" s="526">
        <v>2013</v>
      </c>
      <c r="Z23" s="527">
        <v>54</v>
      </c>
      <c r="AA23" s="531">
        <v>0.64062508234274773</v>
      </c>
      <c r="AB23" s="532">
        <f t="shared" si="4"/>
        <v>0.72934569103311975</v>
      </c>
    </row>
    <row r="24" spans="1:28">
      <c r="R24" s="526"/>
      <c r="S24" s="526"/>
      <c r="T24" s="526"/>
      <c r="U24" s="526"/>
      <c r="V24" s="533">
        <f>R23+V23</f>
        <v>1801</v>
      </c>
      <c r="W24" s="526"/>
      <c r="Y24" s="526">
        <v>2014</v>
      </c>
      <c r="Z24" s="527">
        <v>85</v>
      </c>
      <c r="AA24" s="531">
        <v>0.64392746395257461</v>
      </c>
      <c r="AB24" s="532">
        <f t="shared" si="4"/>
        <v>0.72934569103311975</v>
      </c>
    </row>
    <row r="25" spans="1:28">
      <c r="R25" s="526"/>
      <c r="S25" s="526"/>
      <c r="T25" s="526"/>
      <c r="U25" s="526"/>
      <c r="V25" s="526"/>
      <c r="W25" s="526"/>
      <c r="Y25" s="526">
        <v>2015</v>
      </c>
      <c r="Z25" s="527">
        <v>97</v>
      </c>
      <c r="AA25" s="531">
        <v>0.70944317482607688</v>
      </c>
      <c r="AB25" s="532">
        <f t="shared" si="4"/>
        <v>0.72934569103311975</v>
      </c>
    </row>
    <row r="26" spans="1:28">
      <c r="R26" s="526"/>
      <c r="S26" s="526"/>
      <c r="T26" s="526"/>
      <c r="U26" s="526"/>
      <c r="V26" s="526"/>
      <c r="W26" s="526"/>
      <c r="Y26" s="526">
        <v>2016</v>
      </c>
      <c r="Z26" s="527">
        <v>129</v>
      </c>
      <c r="AA26" s="531">
        <v>0.6070832022010344</v>
      </c>
      <c r="AB26" s="532">
        <f t="shared" si="4"/>
        <v>0.72934569103311975</v>
      </c>
    </row>
    <row r="27" spans="1:28">
      <c r="A27" s="84" t="s">
        <v>31</v>
      </c>
      <c r="R27" s="526"/>
      <c r="S27" s="526"/>
      <c r="T27" s="526"/>
      <c r="U27" s="526"/>
      <c r="V27" s="526"/>
      <c r="W27" s="526"/>
      <c r="Y27" s="526">
        <v>2017</v>
      </c>
      <c r="Z27" s="527">
        <v>75</v>
      </c>
      <c r="AA27" s="531">
        <v>0.77818471191233096</v>
      </c>
      <c r="AB27" s="532">
        <f t="shared" si="4"/>
        <v>0.72934569103311975</v>
      </c>
    </row>
    <row r="28" spans="1:28">
      <c r="Y28" s="526">
        <v>2018</v>
      </c>
      <c r="Z28" s="527">
        <v>66</v>
      </c>
      <c r="AA28" s="531">
        <v>0.6179109925766022</v>
      </c>
      <c r="AB28" s="532">
        <f t="shared" si="4"/>
        <v>0.72934569103311975</v>
      </c>
    </row>
    <row r="29" spans="1:28">
      <c r="Y29" s="526">
        <v>2019</v>
      </c>
      <c r="Z29" s="527">
        <v>84</v>
      </c>
      <c r="AA29" s="531">
        <v>0.70717151348222473</v>
      </c>
      <c r="AB29" s="532">
        <f t="shared" si="4"/>
        <v>0.72934569103311975</v>
      </c>
    </row>
    <row r="30" spans="1:28">
      <c r="Y30" s="526">
        <v>2020</v>
      </c>
      <c r="Z30" s="527">
        <v>119</v>
      </c>
      <c r="AA30" s="531">
        <v>0.80116280539188989</v>
      </c>
      <c r="AB30" s="532">
        <f t="shared" si="4"/>
        <v>0.72934569103311975</v>
      </c>
    </row>
    <row r="31" spans="1:28">
      <c r="Y31" s="526">
        <v>2021</v>
      </c>
      <c r="Z31" s="527">
        <v>64</v>
      </c>
      <c r="AA31" s="531">
        <v>0.7935213700211351</v>
      </c>
      <c r="AB31" s="532">
        <f t="shared" si="4"/>
        <v>0.72934569103311975</v>
      </c>
    </row>
    <row r="32" spans="1:28">
      <c r="Y32" s="526">
        <v>2022</v>
      </c>
      <c r="Z32" s="527">
        <v>57</v>
      </c>
      <c r="AA32" s="531">
        <v>0.8602522357126271</v>
      </c>
      <c r="AB32" s="532">
        <f t="shared" si="4"/>
        <v>0.72934569103311975</v>
      </c>
    </row>
    <row r="33" spans="25:28">
      <c r="Y33" s="526">
        <v>2023</v>
      </c>
      <c r="Z33" s="527">
        <v>45</v>
      </c>
      <c r="AA33" s="531">
        <v>0.78655865022665827</v>
      </c>
      <c r="AB33" s="532">
        <f t="shared" si="4"/>
        <v>0.72934569103311975</v>
      </c>
    </row>
    <row r="34" spans="25:28">
      <c r="Y34" s="526">
        <v>2024</v>
      </c>
      <c r="Z34" s="527">
        <v>30</v>
      </c>
      <c r="AA34" s="531">
        <v>0.79757451970936144</v>
      </c>
      <c r="AB34" s="532">
        <f t="shared" si="4"/>
        <v>0.72934569103311975</v>
      </c>
    </row>
    <row r="35" spans="25:28">
      <c r="Y35" s="526"/>
      <c r="Z35" s="527"/>
      <c r="AA35" s="531"/>
      <c r="AB35" s="532"/>
    </row>
    <row r="36" spans="25:28">
      <c r="Y36" s="526"/>
      <c r="Z36" s="527"/>
      <c r="AA36" s="531"/>
      <c r="AB36" s="532"/>
    </row>
    <row r="37" spans="25:28">
      <c r="Y37" s="526"/>
      <c r="Z37" s="527"/>
      <c r="AA37" s="531"/>
      <c r="AB37" s="532"/>
    </row>
    <row r="38" spans="25:28">
      <c r="AA38" s="82"/>
      <c r="AB38" s="85"/>
    </row>
    <row r="39" spans="25:28">
      <c r="AA39" s="82"/>
      <c r="AB39" s="85"/>
    </row>
  </sheetData>
  <pageMargins left="0.7" right="0.7" top="0.75" bottom="0.75" header="0.3" footer="0.3"/>
  <headerFooter>
    <oddHeader>&amp;C&amp;"Calibri"&amp;10&amp;K808080 Corporate Use&amp;1#_x000D_</oddHead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212F-88BD-4DF6-A217-DDF14E74EB44}">
  <dimension ref="B2:R40"/>
  <sheetViews>
    <sheetView workbookViewId="0">
      <selection activeCell="A37" sqref="A37"/>
    </sheetView>
  </sheetViews>
  <sheetFormatPr defaultColWidth="9.296875" defaultRowHeight="14.4"/>
  <cols>
    <col min="1" max="1" width="9.296875" style="3"/>
    <col min="2" max="6" width="9" style="3" customWidth="1"/>
    <col min="7" max="7" width="9" style="6" customWidth="1"/>
    <col min="8" max="15" width="9" style="3" customWidth="1"/>
    <col min="16" max="16" width="8" style="3" customWidth="1"/>
    <col min="17" max="16384" width="9.296875" style="3"/>
  </cols>
  <sheetData>
    <row r="2" spans="2:4">
      <c r="B2" s="235" t="s">
        <v>361</v>
      </c>
      <c r="D2" s="36"/>
    </row>
    <row r="4" spans="2:4" ht="14.7" customHeight="1"/>
    <row r="5" spans="2:4" ht="14.7" customHeight="1"/>
    <row r="6" spans="2:4" ht="14.7" customHeight="1"/>
    <row r="7" spans="2:4" ht="14.7" customHeight="1"/>
    <row r="8" spans="2:4" ht="14.7" customHeight="1"/>
    <row r="9" spans="2:4" ht="14.7" customHeight="1"/>
    <row r="10" spans="2:4" ht="14.7" customHeight="1"/>
    <row r="11" spans="2:4" ht="14.7" customHeight="1"/>
    <row r="12" spans="2:4" ht="14.7" customHeight="1"/>
    <row r="13" spans="2:4" ht="14.7" customHeight="1"/>
    <row r="14" spans="2:4" ht="14.7" customHeight="1"/>
    <row r="15" spans="2:4" ht="14.7" customHeight="1"/>
    <row r="16" spans="2:4" ht="14.7" customHeight="1"/>
    <row r="17" spans="3:16" ht="14.7" customHeight="1"/>
    <row r="18" spans="3:16" ht="14.7" customHeight="1"/>
    <row r="19" spans="3:16" ht="14.7" customHeight="1"/>
    <row r="20" spans="3:16" ht="14.7" customHeight="1"/>
    <row r="21" spans="3:16" ht="14.7" customHeight="1"/>
    <row r="22" spans="3:16" ht="14.7" customHeight="1"/>
    <row r="23" spans="3:16" ht="14.7" customHeight="1"/>
    <row r="24" spans="3:16" ht="14.7" customHeight="1"/>
    <row r="25" spans="3:16" ht="14.7" customHeight="1"/>
    <row r="26" spans="3:16" ht="14.7" customHeight="1"/>
    <row r="27" spans="3:16" ht="14.7" customHeight="1"/>
    <row r="28" spans="3:16" ht="14.7" customHeight="1"/>
    <row r="29" spans="3:16">
      <c r="C29" s="36" t="s">
        <v>362</v>
      </c>
      <c r="F29" s="6"/>
      <c r="H29" s="6"/>
      <c r="I29" s="6"/>
      <c r="J29" s="6"/>
      <c r="K29" s="6"/>
      <c r="L29" s="6"/>
      <c r="M29" s="6"/>
      <c r="N29" s="6"/>
      <c r="O29" s="6"/>
      <c r="P29" s="6"/>
    </row>
    <row r="30" spans="3:16">
      <c r="G30" s="370"/>
    </row>
    <row r="31" spans="3:16" ht="20.100000000000001" customHeight="1">
      <c r="D31" s="568" t="s">
        <v>32</v>
      </c>
      <c r="E31" s="52" t="s">
        <v>33</v>
      </c>
      <c r="F31" s="511">
        <v>0</v>
      </c>
      <c r="G31" s="511">
        <f>F32</f>
        <v>0.1</v>
      </c>
      <c r="H31" s="511">
        <f t="shared" ref="H31" si="0">G32</f>
        <v>0.2</v>
      </c>
      <c r="I31" s="511">
        <f t="shared" ref="I31" si="1">H32</f>
        <v>0.30000000000000004</v>
      </c>
      <c r="J31" s="511">
        <f t="shared" ref="J31" si="2">I32</f>
        <v>0.4</v>
      </c>
      <c r="K31" s="511">
        <f t="shared" ref="K31" si="3">J32</f>
        <v>0.5</v>
      </c>
      <c r="L31" s="511">
        <f t="shared" ref="L31:M31" si="4">K32</f>
        <v>0.6</v>
      </c>
      <c r="M31" s="511">
        <f t="shared" si="4"/>
        <v>0.7</v>
      </c>
      <c r="N31" s="511">
        <f t="shared" ref="N31" si="5">M32</f>
        <v>0.79999999999999993</v>
      </c>
      <c r="O31" s="511">
        <f t="shared" ref="O31" si="6">N32</f>
        <v>0.89999999999999991</v>
      </c>
      <c r="P31" s="568" t="s">
        <v>30</v>
      </c>
    </row>
    <row r="32" spans="3:16" ht="20.100000000000001" customHeight="1">
      <c r="D32" s="568"/>
      <c r="E32" s="52" t="s">
        <v>34</v>
      </c>
      <c r="F32" s="511">
        <v>0.1</v>
      </c>
      <c r="G32" s="511">
        <f t="shared" ref="G32" si="7">G31+$F$32</f>
        <v>0.2</v>
      </c>
      <c r="H32" s="511">
        <f t="shared" ref="H32:L32" si="8">H31+$F$32</f>
        <v>0.30000000000000004</v>
      </c>
      <c r="I32" s="511">
        <f t="shared" si="8"/>
        <v>0.4</v>
      </c>
      <c r="J32" s="511">
        <f t="shared" si="8"/>
        <v>0.5</v>
      </c>
      <c r="K32" s="511">
        <f t="shared" si="8"/>
        <v>0.6</v>
      </c>
      <c r="L32" s="511">
        <f t="shared" si="8"/>
        <v>0.7</v>
      </c>
      <c r="M32" s="511">
        <f t="shared" ref="M32:O32" si="9">M31+$F$32</f>
        <v>0.79999999999999993</v>
      </c>
      <c r="N32" s="511">
        <f t="shared" si="9"/>
        <v>0.89999999999999991</v>
      </c>
      <c r="O32" s="511">
        <f t="shared" si="9"/>
        <v>0.99999999999999989</v>
      </c>
      <c r="P32" s="568"/>
    </row>
    <row r="33" spans="4:18" ht="29.25" customHeight="1">
      <c r="D33" s="568" t="s">
        <v>35</v>
      </c>
      <c r="E33" s="568"/>
      <c r="F33" s="507">
        <f t="shared" ref="F33:O33" si="10">+G37</f>
        <v>173</v>
      </c>
      <c r="G33" s="507">
        <f t="shared" si="10"/>
        <v>64</v>
      </c>
      <c r="H33" s="507">
        <f t="shared" si="10"/>
        <v>78</v>
      </c>
      <c r="I33" s="507">
        <f t="shared" si="10"/>
        <v>60</v>
      </c>
      <c r="J33" s="507">
        <f t="shared" si="10"/>
        <v>70</v>
      </c>
      <c r="K33" s="507">
        <f t="shared" si="10"/>
        <v>74</v>
      </c>
      <c r="L33" s="507">
        <f t="shared" si="10"/>
        <v>82</v>
      </c>
      <c r="M33" s="507">
        <f t="shared" si="10"/>
        <v>103</v>
      </c>
      <c r="N33" s="507">
        <f t="shared" si="10"/>
        <v>166</v>
      </c>
      <c r="O33" s="507">
        <f t="shared" si="10"/>
        <v>931</v>
      </c>
      <c r="P33" s="508">
        <f>SUM(F33:O33)</f>
        <v>1801</v>
      </c>
    </row>
    <row r="34" spans="4:18" ht="29.25" customHeight="1">
      <c r="D34" s="568" t="s">
        <v>232</v>
      </c>
      <c r="E34" s="568"/>
      <c r="F34" s="512">
        <f t="shared" ref="F34:P34" si="11">F33/$P$33</f>
        <v>9.605774569683509E-2</v>
      </c>
      <c r="G34" s="512">
        <f t="shared" si="11"/>
        <v>3.5535813436979459E-2</v>
      </c>
      <c r="H34" s="512">
        <f t="shared" si="11"/>
        <v>4.3309272626318715E-2</v>
      </c>
      <c r="I34" s="512">
        <f t="shared" si="11"/>
        <v>3.3314825097168238E-2</v>
      </c>
      <c r="J34" s="512">
        <f t="shared" si="11"/>
        <v>3.886729594669628E-2</v>
      </c>
      <c r="K34" s="512">
        <f t="shared" si="11"/>
        <v>4.1088284286507494E-2</v>
      </c>
      <c r="L34" s="512">
        <f t="shared" si="11"/>
        <v>4.5530260966129929E-2</v>
      </c>
      <c r="M34" s="512">
        <f t="shared" si="11"/>
        <v>5.719044975013881E-2</v>
      </c>
      <c r="N34" s="512">
        <f t="shared" si="11"/>
        <v>9.2171016102165465E-2</v>
      </c>
      <c r="O34" s="512">
        <f t="shared" si="11"/>
        <v>0.51693503609106051</v>
      </c>
      <c r="P34" s="510">
        <f t="shared" si="11"/>
        <v>1</v>
      </c>
    </row>
    <row r="36" spans="4:18">
      <c r="D36" s="526" t="s">
        <v>238</v>
      </c>
      <c r="E36" s="526" t="s">
        <v>72</v>
      </c>
      <c r="F36" s="526" t="s">
        <v>239</v>
      </c>
      <c r="G36" s="526" t="s">
        <v>240</v>
      </c>
      <c r="H36" s="526" t="s">
        <v>241</v>
      </c>
      <c r="I36" s="526" t="s">
        <v>242</v>
      </c>
      <c r="J36" s="526" t="s">
        <v>243</v>
      </c>
      <c r="K36" s="526" t="s">
        <v>244</v>
      </c>
      <c r="L36" s="526" t="s">
        <v>245</v>
      </c>
      <c r="M36" s="526" t="s">
        <v>246</v>
      </c>
      <c r="N36" s="526" t="s">
        <v>247</v>
      </c>
      <c r="O36" s="526" t="s">
        <v>248</v>
      </c>
      <c r="P36" s="526">
        <v>1</v>
      </c>
      <c r="Q36" s="534"/>
      <c r="R36" s="534"/>
    </row>
    <row r="37" spans="4:18">
      <c r="D37" s="526">
        <v>2024</v>
      </c>
      <c r="E37" s="526" t="s">
        <v>74</v>
      </c>
      <c r="F37" s="526">
        <v>1801</v>
      </c>
      <c r="G37" s="526">
        <v>173</v>
      </c>
      <c r="H37" s="526">
        <v>64</v>
      </c>
      <c r="I37" s="526">
        <v>78</v>
      </c>
      <c r="J37" s="526">
        <v>60</v>
      </c>
      <c r="K37" s="526">
        <v>70</v>
      </c>
      <c r="L37" s="526">
        <v>74</v>
      </c>
      <c r="M37" s="526">
        <v>82</v>
      </c>
      <c r="N37" s="526">
        <v>103</v>
      </c>
      <c r="O37" s="526">
        <v>166</v>
      </c>
      <c r="P37" s="526">
        <v>931</v>
      </c>
      <c r="Q37" s="534"/>
      <c r="R37" s="534"/>
    </row>
    <row r="38" spans="4:18">
      <c r="D38" s="534"/>
      <c r="E38" s="534"/>
      <c r="F38" s="534"/>
      <c r="G38" s="535"/>
      <c r="H38" s="535"/>
      <c r="I38" s="535"/>
      <c r="J38" s="535"/>
      <c r="K38" s="535"/>
      <c r="L38" s="535"/>
      <c r="M38" s="535"/>
      <c r="N38" s="535"/>
      <c r="O38" s="535"/>
      <c r="P38" s="535"/>
      <c r="Q38" s="535"/>
      <c r="R38" s="534"/>
    </row>
    <row r="39" spans="4:18">
      <c r="D39" s="534"/>
      <c r="E39" s="534"/>
      <c r="F39" s="534"/>
      <c r="G39" s="535"/>
      <c r="H39" s="536" t="str">
        <f>"below "&amp;TEXT(F32,"0%")</f>
        <v>below 10%</v>
      </c>
      <c r="I39" s="536" t="s">
        <v>36</v>
      </c>
      <c r="J39" s="536" t="s">
        <v>37</v>
      </c>
      <c r="K39" s="536" t="s">
        <v>38</v>
      </c>
      <c r="L39" s="536" t="s">
        <v>39</v>
      </c>
      <c r="M39" s="536" t="s">
        <v>40</v>
      </c>
      <c r="N39" s="536" t="s">
        <v>41</v>
      </c>
      <c r="O39" s="536" t="s">
        <v>42</v>
      </c>
      <c r="P39" s="536" t="s">
        <v>43</v>
      </c>
      <c r="Q39" s="536" t="s">
        <v>44</v>
      </c>
      <c r="R39" s="534"/>
    </row>
    <row r="40" spans="4:18">
      <c r="D40" s="534"/>
      <c r="E40" s="534"/>
      <c r="F40" s="534"/>
      <c r="G40" s="535"/>
      <c r="H40" s="534"/>
      <c r="I40" s="534"/>
      <c r="J40" s="534"/>
      <c r="K40" s="534"/>
      <c r="L40" s="534"/>
      <c r="M40" s="534"/>
      <c r="N40" s="534"/>
      <c r="O40" s="534"/>
      <c r="P40" s="534"/>
      <c r="Q40" s="534"/>
      <c r="R40" s="534"/>
    </row>
  </sheetData>
  <mergeCells count="4">
    <mergeCell ref="P31:P32"/>
    <mergeCell ref="D34:E34"/>
    <mergeCell ref="D31:D32"/>
    <mergeCell ref="D33:E33"/>
  </mergeCells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8768-D769-430D-AD7C-10B4D4229AF9}">
  <dimension ref="A2:BF47"/>
  <sheetViews>
    <sheetView workbookViewId="0">
      <selection activeCell="AG24" sqref="AG24"/>
    </sheetView>
  </sheetViews>
  <sheetFormatPr defaultColWidth="9.296875" defaultRowHeight="14.4"/>
  <cols>
    <col min="1" max="1" width="9.296875" style="3"/>
    <col min="2" max="16" width="9" style="3" customWidth="1"/>
    <col min="17" max="17" width="6.69921875" style="3" customWidth="1"/>
    <col min="18" max="18" width="4.8984375" style="3" customWidth="1"/>
    <col min="19" max="37" width="5.296875" style="3" customWidth="1"/>
    <col min="38" max="38" width="6.3984375" style="3" customWidth="1"/>
    <col min="39" max="39" width="5.8984375" style="3" bestFit="1" customWidth="1"/>
    <col min="40" max="16384" width="9.296875" style="3"/>
  </cols>
  <sheetData>
    <row r="2" spans="2:16">
      <c r="B2" s="235" t="s">
        <v>363</v>
      </c>
      <c r="D2"/>
      <c r="E2"/>
      <c r="F2"/>
      <c r="G2"/>
      <c r="H2"/>
      <c r="I2"/>
      <c r="J2"/>
      <c r="K2"/>
      <c r="L2"/>
      <c r="M2"/>
      <c r="N2"/>
      <c r="O2"/>
      <c r="P2"/>
    </row>
    <row r="29" spans="4:39"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 t="s">
        <v>364</v>
      </c>
    </row>
    <row r="30" spans="4:39">
      <c r="T30" s="6"/>
      <c r="U30" s="6"/>
    </row>
    <row r="31" spans="4:39" ht="18">
      <c r="Q31" s="505"/>
      <c r="R31" s="505"/>
      <c r="S31" s="569" t="s">
        <v>45</v>
      </c>
      <c r="T31" s="569"/>
      <c r="U31" s="569"/>
      <c r="V31" s="569"/>
      <c r="W31" s="569"/>
      <c r="X31" s="569"/>
      <c r="Y31" s="569"/>
      <c r="Z31" s="569"/>
      <c r="AA31" s="569"/>
      <c r="AB31" s="569"/>
      <c r="AC31" s="569"/>
      <c r="AD31" s="569"/>
      <c r="AE31" s="569"/>
      <c r="AF31" s="569"/>
      <c r="AG31" s="569"/>
      <c r="AH31" s="569"/>
      <c r="AI31" s="569"/>
      <c r="AJ31" s="569"/>
      <c r="AK31" s="569"/>
      <c r="AL31" s="569"/>
      <c r="AM31" s="568" t="s">
        <v>30</v>
      </c>
    </row>
    <row r="32" spans="4:39">
      <c r="Q32" s="505"/>
      <c r="R32" s="505"/>
      <c r="S32" s="506">
        <v>1</v>
      </c>
      <c r="T32" s="506">
        <f t="shared" ref="T32:AK32" si="0">1+S32</f>
        <v>2</v>
      </c>
      <c r="U32" s="506">
        <f t="shared" si="0"/>
        <v>3</v>
      </c>
      <c r="V32" s="506">
        <f t="shared" si="0"/>
        <v>4</v>
      </c>
      <c r="W32" s="506">
        <f t="shared" si="0"/>
        <v>5</v>
      </c>
      <c r="X32" s="506">
        <f t="shared" si="0"/>
        <v>6</v>
      </c>
      <c r="Y32" s="506">
        <f t="shared" si="0"/>
        <v>7</v>
      </c>
      <c r="Z32" s="506">
        <f t="shared" si="0"/>
        <v>8</v>
      </c>
      <c r="AA32" s="506">
        <f t="shared" si="0"/>
        <v>9</v>
      </c>
      <c r="AB32" s="506">
        <f t="shared" si="0"/>
        <v>10</v>
      </c>
      <c r="AC32" s="506">
        <f t="shared" si="0"/>
        <v>11</v>
      </c>
      <c r="AD32" s="506">
        <f t="shared" si="0"/>
        <v>12</v>
      </c>
      <c r="AE32" s="506">
        <f t="shared" si="0"/>
        <v>13</v>
      </c>
      <c r="AF32" s="506">
        <f t="shared" si="0"/>
        <v>14</v>
      </c>
      <c r="AG32" s="506">
        <f t="shared" si="0"/>
        <v>15</v>
      </c>
      <c r="AH32" s="506">
        <f t="shared" si="0"/>
        <v>16</v>
      </c>
      <c r="AI32" s="506">
        <f t="shared" si="0"/>
        <v>17</v>
      </c>
      <c r="AJ32" s="506">
        <f t="shared" si="0"/>
        <v>18</v>
      </c>
      <c r="AK32" s="506">
        <f t="shared" si="0"/>
        <v>19</v>
      </c>
      <c r="AL32" s="506" t="s">
        <v>11</v>
      </c>
      <c r="AM32" s="568"/>
    </row>
    <row r="33" spans="1:58" ht="30.75" customHeight="1">
      <c r="O33" s="3" t="s">
        <v>46</v>
      </c>
      <c r="Q33" s="568" t="s">
        <v>47</v>
      </c>
      <c r="R33" s="568"/>
      <c r="S33" s="507">
        <f>S39</f>
        <v>472</v>
      </c>
      <c r="T33" s="507">
        <f t="shared" ref="T33:AK33" si="1">T39</f>
        <v>267</v>
      </c>
      <c r="U33" s="507">
        <f t="shared" si="1"/>
        <v>244</v>
      </c>
      <c r="V33" s="507">
        <f t="shared" si="1"/>
        <v>235</v>
      </c>
      <c r="W33" s="507">
        <f t="shared" si="1"/>
        <v>144</v>
      </c>
      <c r="X33" s="507">
        <f t="shared" si="1"/>
        <v>91</v>
      </c>
      <c r="Y33" s="507">
        <f t="shared" si="1"/>
        <v>66</v>
      </c>
      <c r="Z33" s="507">
        <f t="shared" si="1"/>
        <v>50</v>
      </c>
      <c r="AA33" s="507">
        <f t="shared" si="1"/>
        <v>60</v>
      </c>
      <c r="AB33" s="507">
        <f t="shared" si="1"/>
        <v>33</v>
      </c>
      <c r="AC33" s="507">
        <f t="shared" si="1"/>
        <v>26</v>
      </c>
      <c r="AD33" s="507">
        <f t="shared" si="1"/>
        <v>22</v>
      </c>
      <c r="AE33" s="507">
        <f t="shared" si="1"/>
        <v>19</v>
      </c>
      <c r="AF33" s="507">
        <f t="shared" si="1"/>
        <v>10</v>
      </c>
      <c r="AG33" s="507">
        <f t="shared" si="1"/>
        <v>8</v>
      </c>
      <c r="AH33" s="507">
        <f t="shared" si="1"/>
        <v>6</v>
      </c>
      <c r="AI33" s="507">
        <f t="shared" si="1"/>
        <v>5</v>
      </c>
      <c r="AJ33" s="507">
        <f t="shared" si="1"/>
        <v>5</v>
      </c>
      <c r="AK33" s="507">
        <f t="shared" si="1"/>
        <v>8</v>
      </c>
      <c r="AL33" s="507">
        <f>AM33-SUM(S33:AK33)</f>
        <v>30</v>
      </c>
      <c r="AM33" s="508">
        <f>+R39</f>
        <v>1801</v>
      </c>
    </row>
    <row r="34" spans="1:58" ht="30.75" customHeight="1">
      <c r="O34" s="3" t="s">
        <v>48</v>
      </c>
      <c r="Q34" s="568" t="s">
        <v>225</v>
      </c>
      <c r="R34" s="568"/>
      <c r="S34" s="509">
        <f>SUM($S33:S33)/$AM$33</f>
        <v>0.26207662409772348</v>
      </c>
      <c r="T34" s="509">
        <f>SUM($S33:T33)/$AM$33</f>
        <v>0.41032759578012218</v>
      </c>
      <c r="U34" s="509">
        <f>SUM($S33:U33)/$AM$33</f>
        <v>0.54580788450860629</v>
      </c>
      <c r="V34" s="509">
        <f>SUM($S33:V33)/$AM$33</f>
        <v>0.67629094947251522</v>
      </c>
      <c r="W34" s="509">
        <f>SUM($S33:W33)/$AM$33</f>
        <v>0.75624652970571904</v>
      </c>
      <c r="X34" s="509">
        <f>SUM($S33:X33)/$AM$33</f>
        <v>0.80677401443642416</v>
      </c>
      <c r="Y34" s="509">
        <f>SUM($S33:Y33)/$AM$33</f>
        <v>0.8434203220433093</v>
      </c>
      <c r="Z34" s="509">
        <f>SUM($S33:Z33)/$AM$33</f>
        <v>0.87118267629094948</v>
      </c>
      <c r="AA34" s="509">
        <f>SUM($S33:AA33)/$AM$33</f>
        <v>0.90449750138811769</v>
      </c>
      <c r="AB34" s="509">
        <f>SUM($S33:AB33)/$AM$33</f>
        <v>0.9228206551915602</v>
      </c>
      <c r="AC34" s="509">
        <f>SUM($S33:AC33)/$AM$33</f>
        <v>0.93725707940033309</v>
      </c>
      <c r="AD34" s="509">
        <f>SUM($S33:AD33)/$AM$33</f>
        <v>0.94947251526929488</v>
      </c>
      <c r="AE34" s="509">
        <f>SUM($S33:AE33)/$AM$33</f>
        <v>0.96002220988339815</v>
      </c>
      <c r="AF34" s="509">
        <f>SUM($S33:AF33)/$AM$33</f>
        <v>0.96557468073292618</v>
      </c>
      <c r="AG34" s="509">
        <f>SUM($S33:AG33)/$AM$33</f>
        <v>0.97001665741254861</v>
      </c>
      <c r="AH34" s="509">
        <f>SUM($S33:AH33)/$AM$33</f>
        <v>0.97334813992226543</v>
      </c>
      <c r="AI34" s="509">
        <f>SUM($S33:AI33)/$AM$33</f>
        <v>0.97612437534702945</v>
      </c>
      <c r="AJ34" s="509">
        <f>SUM($S33:AJ33)/$AM$33</f>
        <v>0.97890061077179347</v>
      </c>
      <c r="AK34" s="509">
        <f>SUM($S33:AK33)/$AM$33</f>
        <v>0.98334258745141589</v>
      </c>
      <c r="AL34" s="509">
        <f>SUM($S33:AL33)/$AM$33</f>
        <v>1</v>
      </c>
      <c r="AM34" s="510"/>
    </row>
    <row r="37" spans="1:58" hidden="1"/>
    <row r="38" spans="1:58" hidden="1">
      <c r="S38" s="3">
        <v>1</v>
      </c>
      <c r="T38" s="3">
        <v>2</v>
      </c>
      <c r="U38" s="3">
        <v>3</v>
      </c>
      <c r="V38" s="3">
        <v>4</v>
      </c>
      <c r="W38" s="3">
        <v>5</v>
      </c>
      <c r="X38" s="3">
        <v>6</v>
      </c>
      <c r="Y38" s="3">
        <v>7</v>
      </c>
      <c r="Z38" s="3">
        <v>8</v>
      </c>
      <c r="AA38" s="3">
        <v>9</v>
      </c>
      <c r="AB38" s="3">
        <v>10</v>
      </c>
      <c r="AC38" s="3">
        <v>11</v>
      </c>
      <c r="AD38" s="3">
        <v>12</v>
      </c>
      <c r="AE38" s="3">
        <v>13</v>
      </c>
      <c r="AF38" s="3">
        <v>14</v>
      </c>
      <c r="AG38" s="3">
        <v>15</v>
      </c>
      <c r="AH38" s="3">
        <v>16</v>
      </c>
      <c r="AI38" s="3">
        <v>17</v>
      </c>
      <c r="AJ38" s="3">
        <v>18</v>
      </c>
      <c r="AK38" s="3">
        <v>19</v>
      </c>
      <c r="AL38" s="3">
        <v>20</v>
      </c>
      <c r="AM38" s="3">
        <v>21</v>
      </c>
      <c r="AN38" s="3">
        <v>22</v>
      </c>
      <c r="AO38" s="3">
        <v>23</v>
      </c>
      <c r="AP38" s="3">
        <v>24</v>
      </c>
      <c r="AQ38" s="3">
        <v>25</v>
      </c>
      <c r="AR38" s="3">
        <v>26</v>
      </c>
      <c r="AS38" s="3">
        <v>27</v>
      </c>
      <c r="AT38" s="3">
        <v>28</v>
      </c>
      <c r="AU38" s="3">
        <v>29</v>
      </c>
      <c r="AV38" s="3">
        <v>30</v>
      </c>
      <c r="AW38" s="3">
        <v>31</v>
      </c>
      <c r="AX38" s="3">
        <v>32</v>
      </c>
      <c r="AY38" s="3">
        <v>33</v>
      </c>
      <c r="AZ38" s="3">
        <v>34</v>
      </c>
      <c r="BA38" s="3">
        <v>35</v>
      </c>
      <c r="BB38" s="3">
        <v>36</v>
      </c>
      <c r="BC38" s="3">
        <v>37</v>
      </c>
      <c r="BD38" s="3">
        <v>38</v>
      </c>
      <c r="BE38" s="3">
        <v>39</v>
      </c>
      <c r="BF38" s="3">
        <v>40</v>
      </c>
    </row>
    <row r="39" spans="1:58" hidden="1">
      <c r="R39" s="3">
        <f>C43</f>
        <v>1801</v>
      </c>
      <c r="S39" s="3">
        <f>IFERROR(HLOOKUP(S$38,$Q$42:$BF$43,2,FALSE),0)</f>
        <v>472</v>
      </c>
      <c r="T39" s="3">
        <f t="shared" ref="T39:BF39" si="2">IFERROR(HLOOKUP(T$38,$Q$42:$BF$43,2,FALSE),0)</f>
        <v>267</v>
      </c>
      <c r="U39" s="3">
        <f t="shared" si="2"/>
        <v>244</v>
      </c>
      <c r="V39" s="3">
        <f t="shared" si="2"/>
        <v>235</v>
      </c>
      <c r="W39" s="3">
        <f t="shared" si="2"/>
        <v>144</v>
      </c>
      <c r="X39" s="3">
        <f t="shared" si="2"/>
        <v>91</v>
      </c>
      <c r="Y39" s="3">
        <f t="shared" si="2"/>
        <v>66</v>
      </c>
      <c r="Z39" s="3">
        <f t="shared" si="2"/>
        <v>50</v>
      </c>
      <c r="AA39" s="3">
        <f t="shared" si="2"/>
        <v>60</v>
      </c>
      <c r="AB39" s="3">
        <f t="shared" si="2"/>
        <v>33</v>
      </c>
      <c r="AC39" s="3">
        <f t="shared" si="2"/>
        <v>26</v>
      </c>
      <c r="AD39" s="3">
        <f t="shared" si="2"/>
        <v>22</v>
      </c>
      <c r="AE39" s="3">
        <f t="shared" si="2"/>
        <v>19</v>
      </c>
      <c r="AF39" s="3">
        <f t="shared" si="2"/>
        <v>10</v>
      </c>
      <c r="AG39" s="3">
        <f t="shared" si="2"/>
        <v>8</v>
      </c>
      <c r="AH39" s="3">
        <f t="shared" si="2"/>
        <v>6</v>
      </c>
      <c r="AI39" s="3">
        <f t="shared" si="2"/>
        <v>5</v>
      </c>
      <c r="AJ39" s="3">
        <f t="shared" si="2"/>
        <v>5</v>
      </c>
      <c r="AK39" s="3">
        <f t="shared" si="2"/>
        <v>8</v>
      </c>
      <c r="AL39" s="3">
        <f t="shared" si="2"/>
        <v>30</v>
      </c>
      <c r="AM39" s="3">
        <f t="shared" si="2"/>
        <v>0</v>
      </c>
      <c r="AN39" s="3">
        <f t="shared" si="2"/>
        <v>0</v>
      </c>
      <c r="AO39" s="3">
        <f t="shared" si="2"/>
        <v>0</v>
      </c>
      <c r="AP39" s="3">
        <f t="shared" si="2"/>
        <v>0</v>
      </c>
      <c r="AQ39" s="3">
        <f t="shared" si="2"/>
        <v>0</v>
      </c>
      <c r="AR39" s="3">
        <f t="shared" si="2"/>
        <v>0</v>
      </c>
      <c r="AS39" s="3">
        <f t="shared" si="2"/>
        <v>0</v>
      </c>
      <c r="AT39" s="3">
        <f t="shared" si="2"/>
        <v>0</v>
      </c>
      <c r="AU39" s="3">
        <f t="shared" si="2"/>
        <v>0</v>
      </c>
      <c r="AV39" s="3">
        <f t="shared" si="2"/>
        <v>0</v>
      </c>
      <c r="AW39" s="3">
        <f t="shared" si="2"/>
        <v>0</v>
      </c>
      <c r="AX39" s="3">
        <f t="shared" si="2"/>
        <v>0</v>
      </c>
      <c r="AY39" s="3">
        <f t="shared" si="2"/>
        <v>0</v>
      </c>
      <c r="AZ39" s="3">
        <f t="shared" si="2"/>
        <v>0</v>
      </c>
      <c r="BA39" s="3">
        <f t="shared" si="2"/>
        <v>0</v>
      </c>
      <c r="BB39" s="3">
        <f t="shared" si="2"/>
        <v>0</v>
      </c>
      <c r="BC39" s="3">
        <f t="shared" si="2"/>
        <v>0</v>
      </c>
      <c r="BD39" s="3">
        <f t="shared" si="2"/>
        <v>0</v>
      </c>
      <c r="BE39" s="3">
        <f t="shared" si="2"/>
        <v>0</v>
      </c>
      <c r="BF39" s="3">
        <f t="shared" si="2"/>
        <v>0</v>
      </c>
    </row>
    <row r="40" spans="1:58" hidden="1"/>
    <row r="41" spans="1:58" hidden="1"/>
    <row r="42" spans="1:58" hidden="1">
      <c r="A42" s="3" t="s">
        <v>71</v>
      </c>
      <c r="B42" s="3" t="s">
        <v>72</v>
      </c>
      <c r="C42" s="3" t="s">
        <v>73</v>
      </c>
      <c r="Q42" s="3">
        <v>1</v>
      </c>
      <c r="R42" s="3">
        <v>2</v>
      </c>
      <c r="S42" s="3">
        <v>3</v>
      </c>
      <c r="T42" s="3">
        <v>4</v>
      </c>
      <c r="U42" s="3">
        <v>5</v>
      </c>
      <c r="V42" s="3">
        <v>6</v>
      </c>
      <c r="W42" s="3">
        <v>7</v>
      </c>
      <c r="X42" s="3">
        <v>8</v>
      </c>
      <c r="Y42" s="3">
        <v>9</v>
      </c>
      <c r="Z42" s="3">
        <v>10</v>
      </c>
      <c r="AA42" s="3">
        <v>11</v>
      </c>
      <c r="AB42" s="3">
        <v>12</v>
      </c>
      <c r="AC42" s="3">
        <v>13</v>
      </c>
      <c r="AD42" s="3">
        <v>14</v>
      </c>
      <c r="AE42" s="3">
        <v>15</v>
      </c>
      <c r="AF42" s="3">
        <v>16</v>
      </c>
      <c r="AG42" s="3">
        <v>17</v>
      </c>
      <c r="AH42" s="3">
        <v>18</v>
      </c>
      <c r="AI42" s="3">
        <v>19</v>
      </c>
      <c r="AJ42" s="3">
        <v>20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</row>
    <row r="43" spans="1:58" hidden="1">
      <c r="A43" s="3">
        <v>2024</v>
      </c>
      <c r="B43" s="3" t="s">
        <v>74</v>
      </c>
      <c r="C43" s="3">
        <v>1801</v>
      </c>
      <c r="Q43" s="3">
        <v>472</v>
      </c>
      <c r="R43" s="3">
        <v>267</v>
      </c>
      <c r="S43" s="3">
        <v>244</v>
      </c>
      <c r="T43" s="3">
        <v>235</v>
      </c>
      <c r="U43" s="3">
        <v>144</v>
      </c>
      <c r="V43" s="3">
        <v>91</v>
      </c>
      <c r="W43" s="3">
        <v>66</v>
      </c>
      <c r="X43" s="3">
        <v>50</v>
      </c>
      <c r="Y43" s="3">
        <v>60</v>
      </c>
      <c r="Z43" s="3">
        <v>33</v>
      </c>
      <c r="AA43" s="3">
        <v>26</v>
      </c>
      <c r="AB43" s="3">
        <v>22</v>
      </c>
      <c r="AC43" s="3">
        <v>19</v>
      </c>
      <c r="AD43" s="3">
        <v>10</v>
      </c>
      <c r="AE43" s="3">
        <v>8</v>
      </c>
      <c r="AF43" s="3">
        <v>6</v>
      </c>
      <c r="AG43" s="3">
        <v>5</v>
      </c>
      <c r="AH43" s="3">
        <v>5</v>
      </c>
      <c r="AI43" s="3">
        <v>8</v>
      </c>
      <c r="AJ43" s="3">
        <v>30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</row>
    <row r="44" spans="1:58" hidden="1">
      <c r="Q44" s="3" t="str">
        <f>Q33</f>
        <v>Resolutions</v>
      </c>
    </row>
    <row r="45" spans="1:58" hidden="1">
      <c r="Q45" s="3" t="str">
        <f>Q34</f>
        <v>% resolved</v>
      </c>
    </row>
    <row r="46" spans="1:58" hidden="1"/>
    <row r="47" spans="1:58" hidden="1"/>
  </sheetData>
  <mergeCells count="4">
    <mergeCell ref="S31:AL31"/>
    <mergeCell ref="AM31:AM32"/>
    <mergeCell ref="Q33:R33"/>
    <mergeCell ref="Q34:R34"/>
  </mergeCells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F88A-0BB6-4226-B3A5-2BADAD6D4287}">
  <dimension ref="B3:C13"/>
  <sheetViews>
    <sheetView workbookViewId="0"/>
  </sheetViews>
  <sheetFormatPr defaultColWidth="9.296875" defaultRowHeight="14.4"/>
  <cols>
    <col min="1" max="1" width="9.296875" style="3"/>
    <col min="2" max="2" width="28" style="3" customWidth="1"/>
    <col min="3" max="3" width="11.296875" style="3" customWidth="1"/>
    <col min="4" max="4" width="16.69921875" style="3" customWidth="1"/>
    <col min="5" max="5" width="9.296875" style="3"/>
    <col min="6" max="6" width="16.69921875" style="3" bestFit="1" customWidth="1"/>
    <col min="7" max="7" width="16.69921875" style="3" customWidth="1"/>
    <col min="8" max="16384" width="9.296875" style="3"/>
  </cols>
  <sheetData>
    <row r="3" spans="2:3">
      <c r="B3" s="235" t="s">
        <v>365</v>
      </c>
    </row>
    <row r="4" spans="2:3" ht="15" thickBot="1"/>
    <row r="5" spans="2:3" ht="15" thickBot="1">
      <c r="B5" s="232" t="s">
        <v>49</v>
      </c>
      <c r="C5" s="233" t="s">
        <v>50</v>
      </c>
    </row>
    <row r="6" spans="2:3">
      <c r="B6" s="268" t="s">
        <v>249</v>
      </c>
      <c r="C6" s="231">
        <v>10476</v>
      </c>
    </row>
    <row r="7" spans="2:3">
      <c r="B7" s="269" t="s">
        <v>170</v>
      </c>
      <c r="C7" s="229">
        <v>15507</v>
      </c>
    </row>
    <row r="8" spans="2:3" hidden="1">
      <c r="B8" s="269" t="s">
        <v>250</v>
      </c>
      <c r="C8" s="229">
        <v>158</v>
      </c>
    </row>
    <row r="9" spans="2:3">
      <c r="B9" s="269" t="s">
        <v>222</v>
      </c>
      <c r="C9" s="229">
        <f>+DR!E5</f>
        <v>2101</v>
      </c>
    </row>
    <row r="10" spans="2:3" hidden="1">
      <c r="B10" s="269" t="s">
        <v>221</v>
      </c>
      <c r="C10" s="229">
        <v>2401</v>
      </c>
    </row>
    <row r="11" spans="2:3" ht="15" thickBot="1">
      <c r="B11" s="270" t="s">
        <v>223</v>
      </c>
      <c r="C11" s="230">
        <f>+RR!C5</f>
        <v>1801</v>
      </c>
    </row>
    <row r="13" spans="2:3">
      <c r="B13" s="235" t="s">
        <v>366</v>
      </c>
    </row>
  </sheetData>
  <pageMargins left="0.7" right="0.7" top="0.75" bottom="0.75" header="0.3" footer="0.3"/>
  <pageSetup paperSize="9" orientation="portrait" r:id="rId1"/>
  <headerFooter>
    <oddHeader>&amp;C&amp;"Calibri"&amp;10&amp;K808080 Corporate Use&amp;1#_x000D_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D6C5-D0D2-4761-8BDC-DD403D2D4897}">
  <dimension ref="B2:AB66"/>
  <sheetViews>
    <sheetView workbookViewId="0">
      <selection activeCell="G20" sqref="G20"/>
    </sheetView>
  </sheetViews>
  <sheetFormatPr defaultColWidth="9" defaultRowHeight="14.4"/>
  <cols>
    <col min="1" max="1" width="2.296875" style="3" customWidth="1"/>
    <col min="2" max="3" width="5.3984375" style="3" customWidth="1"/>
    <col min="4" max="4" width="3.296875" style="3" customWidth="1"/>
    <col min="5" max="5" width="3.8984375" style="3" customWidth="1"/>
    <col min="6" max="6" width="32.3984375" style="3" customWidth="1"/>
    <col min="7" max="7" width="10.8984375" style="3" customWidth="1"/>
    <col min="8" max="8" width="5.69921875" style="3" customWidth="1"/>
    <col min="9" max="9" width="6.09765625" style="3" bestFit="1" customWidth="1"/>
    <col min="10" max="10" width="6.3984375" style="3" bestFit="1" customWidth="1"/>
    <col min="11" max="11" width="6.09765625" style="3" bestFit="1" customWidth="1"/>
    <col min="12" max="12" width="6.3984375" style="3" bestFit="1" customWidth="1"/>
    <col min="13" max="22" width="6.09765625" style="3" bestFit="1" customWidth="1"/>
    <col min="23" max="28" width="7" style="3" bestFit="1" customWidth="1"/>
    <col min="29" max="29" width="2.59765625" style="3" customWidth="1"/>
    <col min="30" max="31" width="4.69921875" style="3" customWidth="1"/>
    <col min="32" max="16384" width="9" style="3"/>
  </cols>
  <sheetData>
    <row r="2" spans="4:28">
      <c r="F2" s="36" t="s">
        <v>367</v>
      </c>
    </row>
    <row r="3" spans="4:28" ht="5.4" customHeight="1"/>
    <row r="4" spans="4:28" ht="15.6">
      <c r="F4" s="570" t="s">
        <v>51</v>
      </c>
      <c r="G4" s="571" t="s">
        <v>52</v>
      </c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  <c r="V4" s="571"/>
      <c r="W4" s="571"/>
      <c r="X4" s="571"/>
      <c r="Y4" s="571"/>
      <c r="Z4" s="571"/>
      <c r="AA4" s="571"/>
      <c r="AB4" s="571"/>
    </row>
    <row r="5" spans="4:28" ht="15.6">
      <c r="F5" s="570"/>
      <c r="G5" s="572" t="s">
        <v>53</v>
      </c>
      <c r="H5" s="571" t="s">
        <v>54</v>
      </c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  <c r="AA5" s="571"/>
      <c r="AB5" s="571"/>
    </row>
    <row r="6" spans="4:28" ht="15.6">
      <c r="F6" s="570"/>
      <c r="G6" s="572"/>
      <c r="H6" s="379">
        <v>0</v>
      </c>
      <c r="I6" s="379">
        <v>1</v>
      </c>
      <c r="J6" s="379">
        <v>2</v>
      </c>
      <c r="K6" s="379">
        <v>3</v>
      </c>
      <c r="L6" s="379">
        <v>4</v>
      </c>
      <c r="M6" s="379">
        <v>5</v>
      </c>
      <c r="N6" s="379">
        <v>6</v>
      </c>
      <c r="O6" s="379">
        <v>7</v>
      </c>
      <c r="P6" s="379">
        <v>8</v>
      </c>
      <c r="Q6" s="379">
        <v>9</v>
      </c>
      <c r="R6" s="379">
        <v>10</v>
      </c>
      <c r="S6" s="379">
        <v>11</v>
      </c>
      <c r="T6" s="379">
        <v>12</v>
      </c>
      <c r="U6" s="379">
        <v>13</v>
      </c>
      <c r="V6" s="379">
        <v>14</v>
      </c>
      <c r="W6" s="379">
        <v>15</v>
      </c>
      <c r="X6" s="379">
        <v>16</v>
      </c>
      <c r="Y6" s="379">
        <v>17</v>
      </c>
      <c r="Z6" s="379">
        <v>18</v>
      </c>
      <c r="AA6" s="379">
        <v>19</v>
      </c>
      <c r="AB6" s="379" t="s">
        <v>11</v>
      </c>
    </row>
    <row r="7" spans="4:28" ht="15.6">
      <c r="D7" s="96"/>
      <c r="E7" s="96"/>
      <c r="F7" s="381" t="s">
        <v>55</v>
      </c>
      <c r="G7" s="382" t="s">
        <v>237</v>
      </c>
      <c r="H7" s="372" t="s">
        <v>237</v>
      </c>
      <c r="I7" s="372" t="s">
        <v>237</v>
      </c>
      <c r="J7" s="372" t="s">
        <v>237</v>
      </c>
      <c r="K7" s="372" t="s">
        <v>237</v>
      </c>
      <c r="L7" s="372" t="s">
        <v>237</v>
      </c>
      <c r="M7" s="372" t="s">
        <v>237</v>
      </c>
      <c r="N7" s="372" t="s">
        <v>237</v>
      </c>
      <c r="O7" s="372" t="s">
        <v>237</v>
      </c>
      <c r="P7" s="372" t="s">
        <v>237</v>
      </c>
      <c r="Q7" s="372" t="s">
        <v>237</v>
      </c>
      <c r="R7" s="372" t="s">
        <v>237</v>
      </c>
      <c r="S7" s="372" t="s">
        <v>237</v>
      </c>
      <c r="T7" s="372" t="s">
        <v>237</v>
      </c>
      <c r="U7" s="372" t="s">
        <v>237</v>
      </c>
      <c r="V7" s="372" t="s">
        <v>237</v>
      </c>
      <c r="W7" s="372" t="s">
        <v>237</v>
      </c>
      <c r="X7" s="372" t="s">
        <v>237</v>
      </c>
      <c r="Y7" s="372" t="s">
        <v>237</v>
      </c>
      <c r="Z7" s="372" t="s">
        <v>237</v>
      </c>
      <c r="AA7" s="372" t="s">
        <v>237</v>
      </c>
      <c r="AB7" s="372" t="s">
        <v>237</v>
      </c>
    </row>
    <row r="8" spans="4:28" ht="15.6">
      <c r="D8" s="96"/>
      <c r="E8" s="96"/>
      <c r="F8" s="383" t="s">
        <v>56</v>
      </c>
      <c r="G8" s="384">
        <v>61</v>
      </c>
      <c r="H8" s="371">
        <v>2</v>
      </c>
      <c r="I8" s="371">
        <v>15</v>
      </c>
      <c r="J8" s="371">
        <v>10</v>
      </c>
      <c r="K8" s="371">
        <v>13</v>
      </c>
      <c r="L8" s="371">
        <v>6</v>
      </c>
      <c r="M8" s="371">
        <v>4</v>
      </c>
      <c r="N8" s="371">
        <v>4</v>
      </c>
      <c r="O8" s="371">
        <v>3</v>
      </c>
      <c r="P8" s="371">
        <v>2</v>
      </c>
      <c r="Q8" s="371">
        <v>0</v>
      </c>
      <c r="R8" s="371">
        <v>0</v>
      </c>
      <c r="S8" s="371">
        <v>0</v>
      </c>
      <c r="T8" s="371">
        <v>2</v>
      </c>
      <c r="U8" s="371">
        <v>0</v>
      </c>
      <c r="V8" s="371">
        <v>0</v>
      </c>
      <c r="W8" s="371">
        <v>0</v>
      </c>
      <c r="X8" s="371">
        <v>0</v>
      </c>
      <c r="Y8" s="371">
        <v>0</v>
      </c>
      <c r="Z8" s="371">
        <v>0</v>
      </c>
      <c r="AA8" s="371">
        <v>0</v>
      </c>
      <c r="AB8" s="371">
        <v>0</v>
      </c>
    </row>
    <row r="9" spans="4:28" ht="15.6">
      <c r="D9" s="96"/>
      <c r="E9" s="96"/>
      <c r="F9" s="381" t="s">
        <v>57</v>
      </c>
      <c r="G9" s="382">
        <v>247</v>
      </c>
      <c r="H9" s="372">
        <v>10</v>
      </c>
      <c r="I9" s="372">
        <v>35</v>
      </c>
      <c r="J9" s="372">
        <v>56</v>
      </c>
      <c r="K9" s="372">
        <v>33</v>
      </c>
      <c r="L9" s="372">
        <v>30</v>
      </c>
      <c r="M9" s="372">
        <v>23</v>
      </c>
      <c r="N9" s="372">
        <v>23</v>
      </c>
      <c r="O9" s="372">
        <v>8</v>
      </c>
      <c r="P9" s="372">
        <v>14</v>
      </c>
      <c r="Q9" s="372">
        <v>7</v>
      </c>
      <c r="R9" s="372">
        <v>2</v>
      </c>
      <c r="S9" s="372">
        <v>3</v>
      </c>
      <c r="T9" s="372">
        <v>1</v>
      </c>
      <c r="U9" s="372">
        <v>0</v>
      </c>
      <c r="V9" s="372">
        <v>1</v>
      </c>
      <c r="W9" s="372">
        <v>0</v>
      </c>
      <c r="X9" s="372">
        <v>0</v>
      </c>
      <c r="Y9" s="372">
        <v>1</v>
      </c>
      <c r="Z9" s="372">
        <v>0</v>
      </c>
      <c r="AA9" s="372">
        <v>0</v>
      </c>
      <c r="AB9" s="372">
        <v>0</v>
      </c>
    </row>
    <row r="10" spans="4:28" ht="15.6">
      <c r="D10" s="96"/>
      <c r="E10" s="96"/>
      <c r="F10" s="383" t="s">
        <v>58</v>
      </c>
      <c r="G10" s="384">
        <v>385</v>
      </c>
      <c r="H10" s="371">
        <v>24</v>
      </c>
      <c r="I10" s="371">
        <v>67</v>
      </c>
      <c r="J10" s="371">
        <v>81</v>
      </c>
      <c r="K10" s="371">
        <v>81</v>
      </c>
      <c r="L10" s="371">
        <v>46</v>
      </c>
      <c r="M10" s="371">
        <v>39</v>
      </c>
      <c r="N10" s="371">
        <v>19</v>
      </c>
      <c r="O10" s="371">
        <v>8</v>
      </c>
      <c r="P10" s="371">
        <v>6</v>
      </c>
      <c r="Q10" s="371">
        <v>2</v>
      </c>
      <c r="R10" s="371">
        <v>6</v>
      </c>
      <c r="S10" s="371">
        <v>2</v>
      </c>
      <c r="T10" s="371">
        <v>0</v>
      </c>
      <c r="U10" s="371">
        <v>1</v>
      </c>
      <c r="V10" s="371">
        <v>0</v>
      </c>
      <c r="W10" s="371">
        <v>2</v>
      </c>
      <c r="X10" s="371">
        <v>1</v>
      </c>
      <c r="Y10" s="371">
        <v>0</v>
      </c>
      <c r="Z10" s="371">
        <v>0</v>
      </c>
      <c r="AA10" s="371">
        <v>0</v>
      </c>
      <c r="AB10" s="371">
        <v>0</v>
      </c>
    </row>
    <row r="11" spans="4:28" ht="15.6">
      <c r="D11" s="96"/>
      <c r="E11" s="96"/>
      <c r="F11" s="381" t="s">
        <v>59</v>
      </c>
      <c r="G11" s="382">
        <v>47</v>
      </c>
      <c r="H11" s="372">
        <v>1</v>
      </c>
      <c r="I11" s="372">
        <v>9</v>
      </c>
      <c r="J11" s="372">
        <v>12</v>
      </c>
      <c r="K11" s="372">
        <v>8</v>
      </c>
      <c r="L11" s="372">
        <v>4</v>
      </c>
      <c r="M11" s="372">
        <v>5</v>
      </c>
      <c r="N11" s="372">
        <v>4</v>
      </c>
      <c r="O11" s="372">
        <v>1</v>
      </c>
      <c r="P11" s="372">
        <v>0</v>
      </c>
      <c r="Q11" s="372">
        <v>0</v>
      </c>
      <c r="R11" s="372">
        <v>1</v>
      </c>
      <c r="S11" s="372">
        <v>0</v>
      </c>
      <c r="T11" s="372">
        <v>0</v>
      </c>
      <c r="U11" s="372">
        <v>2</v>
      </c>
      <c r="V11" s="372">
        <v>0</v>
      </c>
      <c r="W11" s="372">
        <v>0</v>
      </c>
      <c r="X11" s="372">
        <v>0</v>
      </c>
      <c r="Y11" s="372">
        <v>0</v>
      </c>
      <c r="Z11" s="372">
        <v>0</v>
      </c>
      <c r="AA11" s="372">
        <v>0</v>
      </c>
      <c r="AB11" s="372">
        <v>0</v>
      </c>
    </row>
    <row r="12" spans="4:28" ht="15.6">
      <c r="D12" s="96"/>
      <c r="E12" s="96"/>
      <c r="F12" s="383" t="s">
        <v>60</v>
      </c>
      <c r="G12" s="384">
        <v>552</v>
      </c>
      <c r="H12" s="371">
        <v>67</v>
      </c>
      <c r="I12" s="371">
        <v>98</v>
      </c>
      <c r="J12" s="371">
        <v>104</v>
      </c>
      <c r="K12" s="371">
        <v>102</v>
      </c>
      <c r="L12" s="371">
        <v>60</v>
      </c>
      <c r="M12" s="371">
        <v>37</v>
      </c>
      <c r="N12" s="371">
        <v>29</v>
      </c>
      <c r="O12" s="371">
        <v>15</v>
      </c>
      <c r="P12" s="371">
        <v>21</v>
      </c>
      <c r="Q12" s="371">
        <v>5</v>
      </c>
      <c r="R12" s="371">
        <v>2</v>
      </c>
      <c r="S12" s="371">
        <v>2</v>
      </c>
      <c r="T12" s="371">
        <v>4</v>
      </c>
      <c r="U12" s="371">
        <v>3</v>
      </c>
      <c r="V12" s="371">
        <v>2</v>
      </c>
      <c r="W12" s="371">
        <v>1</v>
      </c>
      <c r="X12" s="371">
        <v>0</v>
      </c>
      <c r="Y12" s="371">
        <v>0</v>
      </c>
      <c r="Z12" s="371">
        <v>0</v>
      </c>
      <c r="AA12" s="371">
        <v>0</v>
      </c>
      <c r="AB12" s="371">
        <v>0</v>
      </c>
    </row>
    <row r="13" spans="4:28" ht="15.6">
      <c r="D13" s="96"/>
      <c r="E13" s="96"/>
      <c r="F13" s="381" t="s">
        <v>61</v>
      </c>
      <c r="G13" s="382">
        <v>75</v>
      </c>
      <c r="H13" s="372">
        <v>1</v>
      </c>
      <c r="I13" s="372">
        <v>11</v>
      </c>
      <c r="J13" s="372">
        <v>16</v>
      </c>
      <c r="K13" s="372">
        <v>16</v>
      </c>
      <c r="L13" s="372">
        <v>13</v>
      </c>
      <c r="M13" s="372">
        <v>4</v>
      </c>
      <c r="N13" s="372">
        <v>4</v>
      </c>
      <c r="O13" s="372">
        <v>4</v>
      </c>
      <c r="P13" s="372">
        <v>2</v>
      </c>
      <c r="Q13" s="372">
        <v>0</v>
      </c>
      <c r="R13" s="372">
        <v>3</v>
      </c>
      <c r="S13" s="372">
        <v>1</v>
      </c>
      <c r="T13" s="372">
        <v>0</v>
      </c>
      <c r="U13" s="372">
        <v>0</v>
      </c>
      <c r="V13" s="372">
        <v>0</v>
      </c>
      <c r="W13" s="372">
        <v>0</v>
      </c>
      <c r="X13" s="372">
        <v>0</v>
      </c>
      <c r="Y13" s="372">
        <v>0</v>
      </c>
      <c r="Z13" s="372">
        <v>0</v>
      </c>
      <c r="AA13" s="372">
        <v>0</v>
      </c>
      <c r="AB13" s="372">
        <v>0</v>
      </c>
    </row>
    <row r="14" spans="4:28" ht="15.6">
      <c r="D14" s="96"/>
      <c r="E14" s="96"/>
      <c r="F14" s="383" t="s">
        <v>62</v>
      </c>
      <c r="G14" s="384">
        <v>170</v>
      </c>
      <c r="H14" s="371">
        <v>11</v>
      </c>
      <c r="I14" s="371">
        <v>25</v>
      </c>
      <c r="J14" s="371">
        <v>33</v>
      </c>
      <c r="K14" s="371">
        <v>34</v>
      </c>
      <c r="L14" s="371">
        <v>22</v>
      </c>
      <c r="M14" s="371">
        <v>11</v>
      </c>
      <c r="N14" s="371">
        <v>14</v>
      </c>
      <c r="O14" s="371">
        <v>6</v>
      </c>
      <c r="P14" s="371">
        <v>4</v>
      </c>
      <c r="Q14" s="371">
        <v>3</v>
      </c>
      <c r="R14" s="371">
        <v>1</v>
      </c>
      <c r="S14" s="371">
        <v>1</v>
      </c>
      <c r="T14" s="371">
        <v>1</v>
      </c>
      <c r="U14" s="371">
        <v>2</v>
      </c>
      <c r="V14" s="371">
        <v>1</v>
      </c>
      <c r="W14" s="371">
        <v>0</v>
      </c>
      <c r="X14" s="371">
        <v>1</v>
      </c>
      <c r="Y14" s="371">
        <v>0</v>
      </c>
      <c r="Z14" s="371">
        <v>0</v>
      </c>
      <c r="AA14" s="371">
        <v>0</v>
      </c>
      <c r="AB14" s="371">
        <v>0</v>
      </c>
    </row>
    <row r="15" spans="4:28" ht="15.6">
      <c r="D15" s="96"/>
      <c r="E15" s="96"/>
      <c r="F15" s="381" t="s">
        <v>63</v>
      </c>
      <c r="G15" s="382" t="s">
        <v>237</v>
      </c>
      <c r="H15" s="372" t="s">
        <v>237</v>
      </c>
      <c r="I15" s="372" t="s">
        <v>237</v>
      </c>
      <c r="J15" s="372" t="s">
        <v>237</v>
      </c>
      <c r="K15" s="372" t="s">
        <v>237</v>
      </c>
      <c r="L15" s="372" t="s">
        <v>237</v>
      </c>
      <c r="M15" s="372" t="s">
        <v>237</v>
      </c>
      <c r="N15" s="372" t="s">
        <v>237</v>
      </c>
      <c r="O15" s="372" t="s">
        <v>237</v>
      </c>
      <c r="P15" s="372" t="s">
        <v>237</v>
      </c>
      <c r="Q15" s="372" t="s">
        <v>237</v>
      </c>
      <c r="R15" s="372" t="s">
        <v>237</v>
      </c>
      <c r="S15" s="372" t="s">
        <v>237</v>
      </c>
      <c r="T15" s="372" t="s">
        <v>237</v>
      </c>
      <c r="U15" s="372" t="s">
        <v>237</v>
      </c>
      <c r="V15" s="372" t="s">
        <v>237</v>
      </c>
      <c r="W15" s="372" t="s">
        <v>237</v>
      </c>
      <c r="X15" s="372" t="s">
        <v>237</v>
      </c>
      <c r="Y15" s="372" t="s">
        <v>237</v>
      </c>
      <c r="Z15" s="372" t="s">
        <v>237</v>
      </c>
      <c r="AA15" s="372" t="s">
        <v>237</v>
      </c>
      <c r="AB15" s="372" t="s">
        <v>237</v>
      </c>
    </row>
    <row r="16" spans="4:28" ht="15.6">
      <c r="D16" s="96"/>
      <c r="E16" s="96"/>
      <c r="F16" s="383" t="s">
        <v>64</v>
      </c>
      <c r="G16" s="384">
        <v>240</v>
      </c>
      <c r="H16" s="371">
        <v>12</v>
      </c>
      <c r="I16" s="371">
        <v>31</v>
      </c>
      <c r="J16" s="371">
        <v>52</v>
      </c>
      <c r="K16" s="371">
        <v>35</v>
      </c>
      <c r="L16" s="371">
        <v>20</v>
      </c>
      <c r="M16" s="371">
        <v>20</v>
      </c>
      <c r="N16" s="371">
        <v>18</v>
      </c>
      <c r="O16" s="371">
        <v>16</v>
      </c>
      <c r="P16" s="371">
        <v>15</v>
      </c>
      <c r="Q16" s="371">
        <v>6</v>
      </c>
      <c r="R16" s="371">
        <v>7</v>
      </c>
      <c r="S16" s="371">
        <v>2</v>
      </c>
      <c r="T16" s="371">
        <v>2</v>
      </c>
      <c r="U16" s="371">
        <v>0</v>
      </c>
      <c r="V16" s="371">
        <v>3</v>
      </c>
      <c r="W16" s="371">
        <v>0</v>
      </c>
      <c r="X16" s="371">
        <v>1</v>
      </c>
      <c r="Y16" s="371">
        <v>0</v>
      </c>
      <c r="Z16" s="371">
        <v>0</v>
      </c>
      <c r="AA16" s="371">
        <v>0</v>
      </c>
      <c r="AB16" s="371">
        <v>0</v>
      </c>
    </row>
    <row r="17" spans="4:28" ht="15.6">
      <c r="D17" s="96"/>
      <c r="E17" s="96"/>
      <c r="F17" s="381" t="s">
        <v>65</v>
      </c>
      <c r="G17" s="382">
        <v>40</v>
      </c>
      <c r="H17" s="372">
        <v>0</v>
      </c>
      <c r="I17" s="372">
        <v>6</v>
      </c>
      <c r="J17" s="372">
        <v>10</v>
      </c>
      <c r="K17" s="372">
        <v>8</v>
      </c>
      <c r="L17" s="372">
        <v>6</v>
      </c>
      <c r="M17" s="372">
        <v>4</v>
      </c>
      <c r="N17" s="372">
        <v>3</v>
      </c>
      <c r="O17" s="372">
        <v>1</v>
      </c>
      <c r="P17" s="372">
        <v>1</v>
      </c>
      <c r="Q17" s="372">
        <v>1</v>
      </c>
      <c r="R17" s="372">
        <v>0</v>
      </c>
      <c r="S17" s="372">
        <v>0</v>
      </c>
      <c r="T17" s="372">
        <v>0</v>
      </c>
      <c r="U17" s="372">
        <v>0</v>
      </c>
      <c r="V17" s="372">
        <v>0</v>
      </c>
      <c r="W17" s="372">
        <v>0</v>
      </c>
      <c r="X17" s="372">
        <v>0</v>
      </c>
      <c r="Y17" s="372">
        <v>0</v>
      </c>
      <c r="Z17" s="372">
        <v>0</v>
      </c>
      <c r="AA17" s="372">
        <v>0</v>
      </c>
      <c r="AB17" s="372">
        <v>0</v>
      </c>
    </row>
    <row r="18" spans="4:28" ht="15.6">
      <c r="D18" s="96"/>
      <c r="E18" s="96"/>
      <c r="F18" s="383" t="s">
        <v>66</v>
      </c>
      <c r="G18" s="384">
        <v>303</v>
      </c>
      <c r="H18" s="371">
        <v>21</v>
      </c>
      <c r="I18" s="371">
        <v>39</v>
      </c>
      <c r="J18" s="371">
        <v>63</v>
      </c>
      <c r="K18" s="371">
        <v>54</v>
      </c>
      <c r="L18" s="371">
        <v>37</v>
      </c>
      <c r="M18" s="371">
        <v>22</v>
      </c>
      <c r="N18" s="371">
        <v>20</v>
      </c>
      <c r="O18" s="371">
        <v>9</v>
      </c>
      <c r="P18" s="371">
        <v>12</v>
      </c>
      <c r="Q18" s="371">
        <v>8</v>
      </c>
      <c r="R18" s="371">
        <v>7</v>
      </c>
      <c r="S18" s="371">
        <v>2</v>
      </c>
      <c r="T18" s="371">
        <v>7</v>
      </c>
      <c r="U18" s="371">
        <v>1</v>
      </c>
      <c r="V18" s="371">
        <v>0</v>
      </c>
      <c r="W18" s="371">
        <v>1</v>
      </c>
      <c r="X18" s="371">
        <v>0</v>
      </c>
      <c r="Y18" s="371">
        <v>0</v>
      </c>
      <c r="Z18" s="371">
        <v>0</v>
      </c>
      <c r="AA18" s="371">
        <v>0</v>
      </c>
      <c r="AB18" s="371">
        <v>0</v>
      </c>
    </row>
    <row r="19" spans="4:28" ht="15.6">
      <c r="D19" s="96"/>
      <c r="E19" s="96"/>
      <c r="F19" s="381" t="s">
        <v>67</v>
      </c>
      <c r="G19" s="382">
        <v>270</v>
      </c>
      <c r="H19" s="372">
        <v>12</v>
      </c>
      <c r="I19" s="372">
        <v>33</v>
      </c>
      <c r="J19" s="372">
        <v>41</v>
      </c>
      <c r="K19" s="372">
        <v>32</v>
      </c>
      <c r="L19" s="372">
        <v>28</v>
      </c>
      <c r="M19" s="372">
        <v>23</v>
      </c>
      <c r="N19" s="372">
        <v>23</v>
      </c>
      <c r="O19" s="372">
        <v>18</v>
      </c>
      <c r="P19" s="372">
        <v>14</v>
      </c>
      <c r="Q19" s="372">
        <v>15</v>
      </c>
      <c r="R19" s="372">
        <v>4</v>
      </c>
      <c r="S19" s="372">
        <v>7</v>
      </c>
      <c r="T19" s="372">
        <v>5</v>
      </c>
      <c r="U19" s="372">
        <v>6</v>
      </c>
      <c r="V19" s="372">
        <v>2</v>
      </c>
      <c r="W19" s="372">
        <v>1</v>
      </c>
      <c r="X19" s="372">
        <v>3</v>
      </c>
      <c r="Y19" s="372">
        <v>0</v>
      </c>
      <c r="Z19" s="372">
        <v>0</v>
      </c>
      <c r="AA19" s="372">
        <v>0</v>
      </c>
      <c r="AB19" s="372">
        <v>3</v>
      </c>
    </row>
    <row r="20" spans="4:28" ht="25.2" customHeight="1">
      <c r="F20" s="385" t="s">
        <v>68</v>
      </c>
      <c r="G20" s="386">
        <v>2401</v>
      </c>
      <c r="H20" s="386">
        <v>162</v>
      </c>
      <c r="I20" s="386">
        <v>371</v>
      </c>
      <c r="J20" s="386">
        <v>479</v>
      </c>
      <c r="K20" s="386">
        <v>419</v>
      </c>
      <c r="L20" s="386">
        <v>273</v>
      </c>
      <c r="M20" s="386">
        <v>193</v>
      </c>
      <c r="N20" s="386">
        <v>161</v>
      </c>
      <c r="O20" s="387">
        <v>89</v>
      </c>
      <c r="P20" s="386">
        <v>92</v>
      </c>
      <c r="Q20" s="386">
        <v>48</v>
      </c>
      <c r="R20" s="386">
        <v>33</v>
      </c>
      <c r="S20" s="386">
        <v>20</v>
      </c>
      <c r="T20" s="386">
        <v>22</v>
      </c>
      <c r="U20" s="386">
        <v>15</v>
      </c>
      <c r="V20" s="386">
        <v>9</v>
      </c>
      <c r="W20" s="386">
        <v>5</v>
      </c>
      <c r="X20" s="386">
        <v>6</v>
      </c>
      <c r="Y20" s="386">
        <v>1</v>
      </c>
      <c r="Z20" s="386">
        <v>0</v>
      </c>
      <c r="AA20" s="386">
        <v>0</v>
      </c>
      <c r="AB20" s="388">
        <v>3</v>
      </c>
    </row>
    <row r="21" spans="4:28" ht="6" customHeight="1"/>
    <row r="22" spans="4:28" ht="14.25" customHeight="1">
      <c r="F22" s="570" t="s">
        <v>51</v>
      </c>
      <c r="G22" s="572" t="s">
        <v>69</v>
      </c>
      <c r="H22" s="571" t="s">
        <v>70</v>
      </c>
      <c r="I22" s="571"/>
      <c r="J22" s="571"/>
      <c r="K22" s="571"/>
      <c r="L22" s="571"/>
      <c r="M22" s="571"/>
      <c r="N22" s="571"/>
      <c r="O22" s="571"/>
      <c r="P22" s="571"/>
      <c r="Q22" s="571"/>
      <c r="R22" s="571"/>
      <c r="S22" s="571"/>
      <c r="T22" s="571"/>
      <c r="U22" s="571"/>
      <c r="V22" s="571"/>
      <c r="W22" s="571"/>
      <c r="X22" s="571"/>
      <c r="Y22" s="571"/>
      <c r="Z22" s="571"/>
      <c r="AA22" s="571"/>
      <c r="AB22" s="571"/>
    </row>
    <row r="23" spans="4:28" ht="14.25" customHeight="1">
      <c r="F23" s="570"/>
      <c r="G23" s="572"/>
      <c r="H23" s="571" t="s">
        <v>54</v>
      </c>
      <c r="I23" s="571"/>
      <c r="J23" s="571"/>
      <c r="K23" s="571"/>
      <c r="L23" s="571"/>
      <c r="M23" s="571"/>
      <c r="N23" s="571"/>
      <c r="O23" s="571"/>
      <c r="P23" s="571"/>
      <c r="Q23" s="571"/>
      <c r="R23" s="571"/>
      <c r="S23" s="571"/>
      <c r="T23" s="571"/>
      <c r="U23" s="571"/>
      <c r="V23" s="571"/>
      <c r="W23" s="571"/>
      <c r="X23" s="571"/>
      <c r="Y23" s="571"/>
      <c r="Z23" s="571"/>
      <c r="AA23" s="571"/>
      <c r="AB23" s="571"/>
    </row>
    <row r="24" spans="4:28" ht="15.6">
      <c r="F24" s="570"/>
      <c r="G24" s="572"/>
      <c r="H24" s="379">
        <v>0</v>
      </c>
      <c r="I24" s="379">
        <v>1</v>
      </c>
      <c r="J24" s="379">
        <v>2</v>
      </c>
      <c r="K24" s="379">
        <v>3</v>
      </c>
      <c r="L24" s="379">
        <v>4</v>
      </c>
      <c r="M24" s="379">
        <v>5</v>
      </c>
      <c r="N24" s="379">
        <v>6</v>
      </c>
      <c r="O24" s="379">
        <v>7</v>
      </c>
      <c r="P24" s="379">
        <v>8</v>
      </c>
      <c r="Q24" s="379">
        <v>9</v>
      </c>
      <c r="R24" s="379">
        <v>10</v>
      </c>
      <c r="S24" s="379">
        <v>11</v>
      </c>
      <c r="T24" s="379">
        <v>12</v>
      </c>
      <c r="U24" s="379">
        <v>13</v>
      </c>
      <c r="V24" s="379">
        <v>14</v>
      </c>
      <c r="W24" s="379">
        <v>15</v>
      </c>
      <c r="X24" s="379">
        <v>16</v>
      </c>
      <c r="Y24" s="379">
        <v>17</v>
      </c>
      <c r="Z24" s="379">
        <v>18</v>
      </c>
      <c r="AA24" s="379">
        <v>19</v>
      </c>
      <c r="AB24" s="379" t="s">
        <v>11</v>
      </c>
    </row>
    <row r="25" spans="4:28" ht="15.6">
      <c r="F25" s="381" t="s">
        <v>55</v>
      </c>
      <c r="G25" s="382" t="s">
        <v>237</v>
      </c>
      <c r="H25" s="375" t="s">
        <v>237</v>
      </c>
      <c r="I25" s="375" t="s">
        <v>237</v>
      </c>
      <c r="J25" s="375" t="s">
        <v>237</v>
      </c>
      <c r="K25" s="375" t="s">
        <v>237</v>
      </c>
      <c r="L25" s="375" t="s">
        <v>237</v>
      </c>
      <c r="M25" s="375" t="s">
        <v>237</v>
      </c>
      <c r="N25" s="375" t="s">
        <v>237</v>
      </c>
      <c r="O25" s="375" t="s">
        <v>237</v>
      </c>
      <c r="P25" s="375" t="s">
        <v>237</v>
      </c>
      <c r="Q25" s="375" t="s">
        <v>237</v>
      </c>
      <c r="R25" s="375" t="s">
        <v>237</v>
      </c>
      <c r="S25" s="375" t="s">
        <v>237</v>
      </c>
      <c r="T25" s="375" t="s">
        <v>237</v>
      </c>
      <c r="U25" s="375" t="s">
        <v>237</v>
      </c>
      <c r="V25" s="375" t="s">
        <v>237</v>
      </c>
      <c r="W25" s="375" t="s">
        <v>237</v>
      </c>
      <c r="X25" s="375" t="s">
        <v>237</v>
      </c>
      <c r="Y25" s="375" t="s">
        <v>237</v>
      </c>
      <c r="Z25" s="375" t="s">
        <v>237</v>
      </c>
      <c r="AA25" s="375" t="s">
        <v>237</v>
      </c>
      <c r="AB25" s="375" t="s">
        <v>237</v>
      </c>
    </row>
    <row r="26" spans="4:28" ht="15.6">
      <c r="F26" s="383" t="s">
        <v>56</v>
      </c>
      <c r="G26" s="384">
        <v>61</v>
      </c>
      <c r="H26" s="374">
        <v>3.2786885245901641E-2</v>
      </c>
      <c r="I26" s="374">
        <v>0.27868852459016391</v>
      </c>
      <c r="J26" s="374">
        <v>0.44262295081967207</v>
      </c>
      <c r="K26" s="374">
        <v>0.65573770491803274</v>
      </c>
      <c r="L26" s="374">
        <v>0.75409836065573765</v>
      </c>
      <c r="M26" s="374">
        <v>0.81967213114754089</v>
      </c>
      <c r="N26" s="374">
        <v>0.88524590163934413</v>
      </c>
      <c r="O26" s="374">
        <v>0.93442622950819665</v>
      </c>
      <c r="P26" s="374">
        <v>0.96721311475409832</v>
      </c>
      <c r="Q26" s="374">
        <v>0.96721311475409832</v>
      </c>
      <c r="R26" s="374">
        <v>0.96721311475409832</v>
      </c>
      <c r="S26" s="374">
        <v>0.96721311475409832</v>
      </c>
      <c r="T26" s="374">
        <v>1</v>
      </c>
      <c r="U26" s="374">
        <v>1</v>
      </c>
      <c r="V26" s="374">
        <v>1</v>
      </c>
      <c r="W26" s="374">
        <v>1</v>
      </c>
      <c r="X26" s="374">
        <v>1</v>
      </c>
      <c r="Y26" s="374">
        <v>1</v>
      </c>
      <c r="Z26" s="374">
        <v>1</v>
      </c>
      <c r="AA26" s="374">
        <v>1</v>
      </c>
      <c r="AB26" s="374">
        <v>1</v>
      </c>
    </row>
    <row r="27" spans="4:28" ht="15.6">
      <c r="F27" s="381" t="s">
        <v>57</v>
      </c>
      <c r="G27" s="382">
        <v>247</v>
      </c>
      <c r="H27" s="375">
        <v>4.048582995951417E-2</v>
      </c>
      <c r="I27" s="375">
        <v>0.18218623481781376</v>
      </c>
      <c r="J27" s="375">
        <v>0.40890688259109309</v>
      </c>
      <c r="K27" s="375">
        <v>0.54251012145748989</v>
      </c>
      <c r="L27" s="375">
        <v>0.66396761133603244</v>
      </c>
      <c r="M27" s="375">
        <v>0.75708502024291502</v>
      </c>
      <c r="N27" s="375">
        <v>0.8502024291497976</v>
      </c>
      <c r="O27" s="375">
        <v>0.88259109311740891</v>
      </c>
      <c r="P27" s="375">
        <v>0.93927125506072873</v>
      </c>
      <c r="Q27" s="375">
        <v>0.96761133603238869</v>
      </c>
      <c r="R27" s="375">
        <v>0.97570850202429149</v>
      </c>
      <c r="S27" s="375">
        <v>0.98785425101214575</v>
      </c>
      <c r="T27" s="375">
        <v>0.9919028340080972</v>
      </c>
      <c r="U27" s="375">
        <v>0.9919028340080972</v>
      </c>
      <c r="V27" s="375">
        <v>0.99595141700404866</v>
      </c>
      <c r="W27" s="375">
        <v>0.99595141700404866</v>
      </c>
      <c r="X27" s="375">
        <v>0.99595141700404866</v>
      </c>
      <c r="Y27" s="375">
        <v>1</v>
      </c>
      <c r="Z27" s="375">
        <v>1</v>
      </c>
      <c r="AA27" s="375">
        <v>1</v>
      </c>
      <c r="AB27" s="375">
        <v>1</v>
      </c>
    </row>
    <row r="28" spans="4:28" ht="15.6">
      <c r="F28" s="383" t="s">
        <v>58</v>
      </c>
      <c r="G28" s="384">
        <v>385</v>
      </c>
      <c r="H28" s="374">
        <v>6.2337662337662338E-2</v>
      </c>
      <c r="I28" s="374">
        <v>0.23636363636363636</v>
      </c>
      <c r="J28" s="374">
        <v>0.44675324675324674</v>
      </c>
      <c r="K28" s="374">
        <v>0.65714285714285714</v>
      </c>
      <c r="L28" s="374">
        <v>0.77662337662337666</v>
      </c>
      <c r="M28" s="374">
        <v>0.87792207792207799</v>
      </c>
      <c r="N28" s="374">
        <v>0.92727272727272736</v>
      </c>
      <c r="O28" s="374">
        <v>0.94805194805194815</v>
      </c>
      <c r="P28" s="374">
        <v>0.96363636363636374</v>
      </c>
      <c r="Q28" s="374">
        <v>0.96883116883116893</v>
      </c>
      <c r="R28" s="374">
        <v>0.98441558441558452</v>
      </c>
      <c r="S28" s="374">
        <v>0.98961038961038972</v>
      </c>
      <c r="T28" s="374">
        <v>0.98961038961038972</v>
      </c>
      <c r="U28" s="374">
        <v>0.99220779220779232</v>
      </c>
      <c r="V28" s="374">
        <v>0.99220779220779232</v>
      </c>
      <c r="W28" s="374">
        <v>0.99740259740259751</v>
      </c>
      <c r="X28" s="374">
        <v>1</v>
      </c>
      <c r="Y28" s="374">
        <v>1</v>
      </c>
      <c r="Z28" s="374">
        <v>1</v>
      </c>
      <c r="AA28" s="374">
        <v>1</v>
      </c>
      <c r="AB28" s="374">
        <v>1</v>
      </c>
    </row>
    <row r="29" spans="4:28" ht="15.6">
      <c r="F29" s="381" t="s">
        <v>59</v>
      </c>
      <c r="G29" s="382">
        <v>47</v>
      </c>
      <c r="H29" s="375">
        <v>2.1276595744680851E-2</v>
      </c>
      <c r="I29" s="375">
        <v>0.21276595744680851</v>
      </c>
      <c r="J29" s="375">
        <v>0.46808510638297873</v>
      </c>
      <c r="K29" s="375">
        <v>0.63829787234042556</v>
      </c>
      <c r="L29" s="375">
        <v>0.72340425531914898</v>
      </c>
      <c r="M29" s="375">
        <v>0.82978723404255328</v>
      </c>
      <c r="N29" s="375">
        <v>0.91489361702127669</v>
      </c>
      <c r="O29" s="375">
        <v>0.93617021276595758</v>
      </c>
      <c r="P29" s="375">
        <v>0.93617021276595758</v>
      </c>
      <c r="Q29" s="375">
        <v>0.93617021276595758</v>
      </c>
      <c r="R29" s="375">
        <v>0.95744680851063846</v>
      </c>
      <c r="S29" s="375">
        <v>0.95744680851063846</v>
      </c>
      <c r="T29" s="375">
        <v>0.95744680851063846</v>
      </c>
      <c r="U29" s="375">
        <v>1.0000000000000002</v>
      </c>
      <c r="V29" s="375">
        <v>1.0000000000000002</v>
      </c>
      <c r="W29" s="375">
        <v>1.0000000000000002</v>
      </c>
      <c r="X29" s="375">
        <v>1.0000000000000002</v>
      </c>
      <c r="Y29" s="375">
        <v>1.0000000000000002</v>
      </c>
      <c r="Z29" s="375">
        <v>1.0000000000000002</v>
      </c>
      <c r="AA29" s="375">
        <v>1.0000000000000002</v>
      </c>
      <c r="AB29" s="375">
        <v>1.0000000000000002</v>
      </c>
    </row>
    <row r="30" spans="4:28" ht="15.6">
      <c r="F30" s="383" t="s">
        <v>60</v>
      </c>
      <c r="G30" s="384">
        <v>552</v>
      </c>
      <c r="H30" s="374">
        <v>0.1213768115942029</v>
      </c>
      <c r="I30" s="374">
        <v>0.29891304347826086</v>
      </c>
      <c r="J30" s="374">
        <v>0.48731884057971014</v>
      </c>
      <c r="K30" s="374">
        <v>0.67210144927536231</v>
      </c>
      <c r="L30" s="374">
        <v>0.78079710144927539</v>
      </c>
      <c r="M30" s="374">
        <v>0.84782608695652173</v>
      </c>
      <c r="N30" s="374">
        <v>0.90036231884057971</v>
      </c>
      <c r="O30" s="374">
        <v>0.92753623188405798</v>
      </c>
      <c r="P30" s="374">
        <v>0.96557971014492749</v>
      </c>
      <c r="Q30" s="374">
        <v>0.97463768115942029</v>
      </c>
      <c r="R30" s="374">
        <v>0.97826086956521741</v>
      </c>
      <c r="S30" s="374">
        <v>0.98188405797101452</v>
      </c>
      <c r="T30" s="374">
        <v>0.98913043478260876</v>
      </c>
      <c r="U30" s="374">
        <v>0.99456521739130443</v>
      </c>
      <c r="V30" s="374">
        <v>0.99818840579710155</v>
      </c>
      <c r="W30" s="374">
        <v>1</v>
      </c>
      <c r="X30" s="374">
        <v>1</v>
      </c>
      <c r="Y30" s="374">
        <v>1</v>
      </c>
      <c r="Z30" s="374">
        <v>1</v>
      </c>
      <c r="AA30" s="374">
        <v>1</v>
      </c>
      <c r="AB30" s="374">
        <v>1</v>
      </c>
    </row>
    <row r="31" spans="4:28" ht="15.6">
      <c r="F31" s="381" t="s">
        <v>61</v>
      </c>
      <c r="G31" s="382">
        <v>75</v>
      </c>
      <c r="H31" s="375">
        <v>1.3333333333333334E-2</v>
      </c>
      <c r="I31" s="375">
        <v>0.16</v>
      </c>
      <c r="J31" s="375">
        <v>0.37333333333333335</v>
      </c>
      <c r="K31" s="375">
        <v>0.58666666666666667</v>
      </c>
      <c r="L31" s="375">
        <v>0.76</v>
      </c>
      <c r="M31" s="375">
        <v>0.81333333333333335</v>
      </c>
      <c r="N31" s="375">
        <v>0.8666666666666667</v>
      </c>
      <c r="O31" s="375">
        <v>0.92</v>
      </c>
      <c r="P31" s="375">
        <v>0.94666666666666666</v>
      </c>
      <c r="Q31" s="375">
        <v>0.94666666666666666</v>
      </c>
      <c r="R31" s="375">
        <v>0.98666666666666669</v>
      </c>
      <c r="S31" s="375">
        <v>1</v>
      </c>
      <c r="T31" s="375">
        <v>1</v>
      </c>
      <c r="U31" s="375">
        <v>1</v>
      </c>
      <c r="V31" s="375">
        <v>1</v>
      </c>
      <c r="W31" s="375">
        <v>1</v>
      </c>
      <c r="X31" s="375">
        <v>1</v>
      </c>
      <c r="Y31" s="375">
        <v>1</v>
      </c>
      <c r="Z31" s="375">
        <v>1</v>
      </c>
      <c r="AA31" s="375">
        <v>1</v>
      </c>
      <c r="AB31" s="375">
        <v>1</v>
      </c>
    </row>
    <row r="32" spans="4:28" ht="15.6">
      <c r="F32" s="383" t="s">
        <v>62</v>
      </c>
      <c r="G32" s="384">
        <v>170</v>
      </c>
      <c r="H32" s="374">
        <v>6.4705882352941183E-2</v>
      </c>
      <c r="I32" s="374">
        <v>0.21176470588235297</v>
      </c>
      <c r="J32" s="374">
        <v>0.40588235294117647</v>
      </c>
      <c r="K32" s="374">
        <v>0.60588235294117654</v>
      </c>
      <c r="L32" s="374">
        <v>0.73529411764705888</v>
      </c>
      <c r="M32" s="374">
        <v>0.8</v>
      </c>
      <c r="N32" s="374">
        <v>0.88235294117647067</v>
      </c>
      <c r="O32" s="374">
        <v>0.91764705882352948</v>
      </c>
      <c r="P32" s="374">
        <v>0.94117647058823539</v>
      </c>
      <c r="Q32" s="374">
        <v>0.95882352941176485</v>
      </c>
      <c r="R32" s="374">
        <v>0.9647058823529413</v>
      </c>
      <c r="S32" s="374">
        <v>0.97058823529411775</v>
      </c>
      <c r="T32" s="374">
        <v>0.9764705882352942</v>
      </c>
      <c r="U32" s="374">
        <v>0.9882352941176471</v>
      </c>
      <c r="V32" s="374">
        <v>0.99411764705882355</v>
      </c>
      <c r="W32" s="374">
        <v>0.99411764705882355</v>
      </c>
      <c r="X32" s="374">
        <v>1</v>
      </c>
      <c r="Y32" s="374">
        <v>1</v>
      </c>
      <c r="Z32" s="374">
        <v>1</v>
      </c>
      <c r="AA32" s="374">
        <v>1</v>
      </c>
      <c r="AB32" s="374">
        <v>1</v>
      </c>
    </row>
    <row r="33" spans="6:28" ht="15.6">
      <c r="F33" s="381" t="s">
        <v>63</v>
      </c>
      <c r="G33" s="382" t="s">
        <v>237</v>
      </c>
      <c r="H33" s="375" t="s">
        <v>237</v>
      </c>
      <c r="I33" s="375" t="s">
        <v>237</v>
      </c>
      <c r="J33" s="375" t="s">
        <v>237</v>
      </c>
      <c r="K33" s="375" t="s">
        <v>237</v>
      </c>
      <c r="L33" s="375" t="s">
        <v>237</v>
      </c>
      <c r="M33" s="375" t="s">
        <v>237</v>
      </c>
      <c r="N33" s="375" t="s">
        <v>237</v>
      </c>
      <c r="O33" s="375" t="s">
        <v>237</v>
      </c>
      <c r="P33" s="375" t="s">
        <v>237</v>
      </c>
      <c r="Q33" s="375" t="s">
        <v>237</v>
      </c>
      <c r="R33" s="375" t="s">
        <v>237</v>
      </c>
      <c r="S33" s="375" t="s">
        <v>237</v>
      </c>
      <c r="T33" s="375" t="s">
        <v>237</v>
      </c>
      <c r="U33" s="375" t="s">
        <v>237</v>
      </c>
      <c r="V33" s="375" t="s">
        <v>237</v>
      </c>
      <c r="W33" s="375" t="s">
        <v>237</v>
      </c>
      <c r="X33" s="375" t="s">
        <v>237</v>
      </c>
      <c r="Y33" s="375" t="s">
        <v>237</v>
      </c>
      <c r="Z33" s="375" t="s">
        <v>237</v>
      </c>
      <c r="AA33" s="375" t="s">
        <v>237</v>
      </c>
      <c r="AB33" s="375" t="s">
        <v>237</v>
      </c>
    </row>
    <row r="34" spans="6:28" ht="15.6">
      <c r="F34" s="383" t="s">
        <v>64</v>
      </c>
      <c r="G34" s="384">
        <v>240</v>
      </c>
      <c r="H34" s="374">
        <v>0.05</v>
      </c>
      <c r="I34" s="374">
        <v>0.1791666666666667</v>
      </c>
      <c r="J34" s="374">
        <v>0.39583333333333337</v>
      </c>
      <c r="K34" s="374">
        <v>0.54166666666666674</v>
      </c>
      <c r="L34" s="374">
        <v>0.62500000000000011</v>
      </c>
      <c r="M34" s="374">
        <v>0.70833333333333348</v>
      </c>
      <c r="N34" s="374">
        <v>0.78333333333333344</v>
      </c>
      <c r="O34" s="374">
        <v>0.85000000000000009</v>
      </c>
      <c r="P34" s="374">
        <v>0.91250000000000009</v>
      </c>
      <c r="Q34" s="374">
        <v>0.93750000000000011</v>
      </c>
      <c r="R34" s="374">
        <v>0.96666666666666679</v>
      </c>
      <c r="S34" s="374">
        <v>0.97500000000000009</v>
      </c>
      <c r="T34" s="374">
        <v>0.98333333333333339</v>
      </c>
      <c r="U34" s="374">
        <v>0.98333333333333339</v>
      </c>
      <c r="V34" s="374">
        <v>0.99583333333333335</v>
      </c>
      <c r="W34" s="374">
        <v>0.99583333333333335</v>
      </c>
      <c r="X34" s="374">
        <v>1</v>
      </c>
      <c r="Y34" s="374">
        <v>1</v>
      </c>
      <c r="Z34" s="374">
        <v>1</v>
      </c>
      <c r="AA34" s="374">
        <v>1</v>
      </c>
      <c r="AB34" s="374">
        <v>1</v>
      </c>
    </row>
    <row r="35" spans="6:28" ht="15.6">
      <c r="F35" s="381" t="s">
        <v>65</v>
      </c>
      <c r="G35" s="382">
        <v>40</v>
      </c>
      <c r="H35" s="375">
        <v>0</v>
      </c>
      <c r="I35" s="375">
        <v>0.15</v>
      </c>
      <c r="J35" s="375">
        <v>0.4</v>
      </c>
      <c r="K35" s="375">
        <v>0.60000000000000009</v>
      </c>
      <c r="L35" s="375">
        <v>0.75000000000000011</v>
      </c>
      <c r="M35" s="375">
        <v>0.85000000000000009</v>
      </c>
      <c r="N35" s="375">
        <v>0.92500000000000004</v>
      </c>
      <c r="O35" s="375">
        <v>0.95000000000000007</v>
      </c>
      <c r="P35" s="375">
        <v>0.97500000000000009</v>
      </c>
      <c r="Q35" s="375">
        <v>1</v>
      </c>
      <c r="R35" s="375">
        <v>1</v>
      </c>
      <c r="S35" s="375">
        <v>1</v>
      </c>
      <c r="T35" s="375">
        <v>1</v>
      </c>
      <c r="U35" s="375">
        <v>1</v>
      </c>
      <c r="V35" s="375">
        <v>1</v>
      </c>
      <c r="W35" s="375">
        <v>1</v>
      </c>
      <c r="X35" s="375">
        <v>1</v>
      </c>
      <c r="Y35" s="375">
        <v>1</v>
      </c>
      <c r="Z35" s="375">
        <v>1</v>
      </c>
      <c r="AA35" s="375">
        <v>1</v>
      </c>
      <c r="AB35" s="375">
        <v>1</v>
      </c>
    </row>
    <row r="36" spans="6:28" ht="15.6">
      <c r="F36" s="383" t="s">
        <v>66</v>
      </c>
      <c r="G36" s="384">
        <v>303</v>
      </c>
      <c r="H36" s="374">
        <v>6.9306930693069313E-2</v>
      </c>
      <c r="I36" s="374">
        <v>0.19801980198019803</v>
      </c>
      <c r="J36" s="374">
        <v>0.40594059405940597</v>
      </c>
      <c r="K36" s="374">
        <v>0.58415841584158423</v>
      </c>
      <c r="L36" s="374">
        <v>0.70627062706270638</v>
      </c>
      <c r="M36" s="374">
        <v>0.77887788778877898</v>
      </c>
      <c r="N36" s="374">
        <v>0.84488448844884501</v>
      </c>
      <c r="O36" s="374">
        <v>0.87458745874587474</v>
      </c>
      <c r="P36" s="374">
        <v>0.91419141914191437</v>
      </c>
      <c r="Q36" s="374">
        <v>0.94059405940594076</v>
      </c>
      <c r="R36" s="374">
        <v>0.96369636963696381</v>
      </c>
      <c r="S36" s="374">
        <v>0.97029702970297038</v>
      </c>
      <c r="T36" s="374">
        <v>0.99339933993399343</v>
      </c>
      <c r="U36" s="374">
        <v>0.99669966996699677</v>
      </c>
      <c r="V36" s="374">
        <v>0.99669966996699677</v>
      </c>
      <c r="W36" s="374">
        <v>1</v>
      </c>
      <c r="X36" s="374">
        <v>1</v>
      </c>
      <c r="Y36" s="374">
        <v>1</v>
      </c>
      <c r="Z36" s="374">
        <v>1</v>
      </c>
      <c r="AA36" s="374">
        <v>1</v>
      </c>
      <c r="AB36" s="374">
        <v>1</v>
      </c>
    </row>
    <row r="37" spans="6:28" ht="15.6">
      <c r="F37" s="381" t="s">
        <v>67</v>
      </c>
      <c r="G37" s="382">
        <v>270</v>
      </c>
      <c r="H37" s="375">
        <v>4.4444444444444446E-2</v>
      </c>
      <c r="I37" s="375">
        <v>0.16666666666666666</v>
      </c>
      <c r="J37" s="375">
        <v>0.31851851851851853</v>
      </c>
      <c r="K37" s="375">
        <v>0.43703703703703706</v>
      </c>
      <c r="L37" s="375">
        <v>0.54074074074074074</v>
      </c>
      <c r="M37" s="375">
        <v>0.62592592592592589</v>
      </c>
      <c r="N37" s="375">
        <v>0.71111111111111103</v>
      </c>
      <c r="O37" s="375">
        <v>0.77777777777777768</v>
      </c>
      <c r="P37" s="375">
        <v>0.82962962962962949</v>
      </c>
      <c r="Q37" s="375">
        <v>0.88518518518518507</v>
      </c>
      <c r="R37" s="375">
        <v>0.89999999999999991</v>
      </c>
      <c r="S37" s="375">
        <v>0.92592592592592582</v>
      </c>
      <c r="T37" s="375">
        <v>0.94444444444444431</v>
      </c>
      <c r="U37" s="375">
        <v>0.96666666666666656</v>
      </c>
      <c r="V37" s="375">
        <v>0.97407407407407398</v>
      </c>
      <c r="W37" s="375">
        <v>0.97777777777777763</v>
      </c>
      <c r="X37" s="375">
        <v>0.98888888888888871</v>
      </c>
      <c r="Y37" s="375">
        <v>0.98888888888888871</v>
      </c>
      <c r="Z37" s="375">
        <v>0.98888888888888871</v>
      </c>
      <c r="AA37" s="375">
        <v>0.98888888888888871</v>
      </c>
      <c r="AB37" s="375">
        <v>0.99999999999999978</v>
      </c>
    </row>
    <row r="38" spans="6:28" ht="25.2" customHeight="1">
      <c r="F38" s="385" t="s">
        <v>68</v>
      </c>
      <c r="G38" s="386">
        <v>2401</v>
      </c>
      <c r="H38" s="389">
        <v>6.7471886713869222E-2</v>
      </c>
      <c r="I38" s="389">
        <v>0.221990837151187</v>
      </c>
      <c r="J38" s="389">
        <v>0.42149104539775095</v>
      </c>
      <c r="K38" s="389">
        <v>0.59600166597251147</v>
      </c>
      <c r="L38" s="389">
        <v>0.70970428987921697</v>
      </c>
      <c r="M38" s="389">
        <v>0.79008746355685133</v>
      </c>
      <c r="N38" s="389">
        <v>0.85714285714285721</v>
      </c>
      <c r="O38" s="389">
        <v>0.89421074552269897</v>
      </c>
      <c r="P38" s="389">
        <v>0.93252811328613083</v>
      </c>
      <c r="Q38" s="389">
        <v>0.95251978342357357</v>
      </c>
      <c r="R38" s="389">
        <v>0.96626405664306547</v>
      </c>
      <c r="S38" s="389">
        <v>0.97459391920033323</v>
      </c>
      <c r="T38" s="389">
        <v>0.98375676801332779</v>
      </c>
      <c r="U38" s="389">
        <v>0.99000416493127863</v>
      </c>
      <c r="V38" s="389">
        <v>0.99375260308204916</v>
      </c>
      <c r="W38" s="389">
        <v>0.99583506872136607</v>
      </c>
      <c r="X38" s="389">
        <v>0.99833402748854638</v>
      </c>
      <c r="Y38" s="389">
        <v>0.99875052061640979</v>
      </c>
      <c r="Z38" s="389">
        <v>0.99875052061640979</v>
      </c>
      <c r="AA38" s="389">
        <v>0.99875052061640979</v>
      </c>
      <c r="AB38" s="389">
        <v>1</v>
      </c>
    </row>
    <row r="66" spans="2:2">
      <c r="B66" s="3">
        <v>5850</v>
      </c>
    </row>
  </sheetData>
  <mergeCells count="8">
    <mergeCell ref="F4:F6"/>
    <mergeCell ref="G4:AB4"/>
    <mergeCell ref="G5:G6"/>
    <mergeCell ref="H5:AB5"/>
    <mergeCell ref="F22:F24"/>
    <mergeCell ref="G22:G24"/>
    <mergeCell ref="H22:AB22"/>
    <mergeCell ref="H23:AB23"/>
  </mergeCells>
  <pageMargins left="0.7" right="0.7" top="0.75" bottom="0.75" header="0.3" footer="0.3"/>
  <headerFooter>
    <oddHeader>&amp;C&amp;"Calibri"&amp;10&amp;K808080 Corporate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43278-4CEF-4E5E-91DD-A94498FD3E2C}">
  <dimension ref="F2:AB26"/>
  <sheetViews>
    <sheetView workbookViewId="0">
      <selection activeCell="G39" sqref="G39"/>
    </sheetView>
  </sheetViews>
  <sheetFormatPr defaultColWidth="9" defaultRowHeight="14.4"/>
  <cols>
    <col min="1" max="1" width="2.296875" style="3" customWidth="1"/>
    <col min="2" max="5" width="5" style="3" customWidth="1"/>
    <col min="6" max="6" width="29.296875" style="3" customWidth="1"/>
    <col min="7" max="7" width="11.3984375" style="3" customWidth="1"/>
    <col min="8" max="9" width="7" style="3" bestFit="1" customWidth="1"/>
    <col min="10" max="10" width="7.59765625" style="3" bestFit="1" customWidth="1"/>
    <col min="11" max="11" width="7" style="3" bestFit="1" customWidth="1"/>
    <col min="12" max="12" width="7.59765625" style="3" bestFit="1" customWidth="1"/>
    <col min="13" max="13" width="7" style="3" bestFit="1" customWidth="1"/>
    <col min="14" max="22" width="6.8984375" style="3" bestFit="1" customWidth="1"/>
    <col min="23" max="28" width="7.69921875" style="3" bestFit="1" customWidth="1"/>
    <col min="29" max="31" width="4.69921875" style="3" customWidth="1"/>
    <col min="32" max="16384" width="9" style="3"/>
  </cols>
  <sheetData>
    <row r="2" spans="6:28">
      <c r="F2" s="235" t="s">
        <v>368</v>
      </c>
    </row>
    <row r="4" spans="6:28" ht="15.6">
      <c r="F4" s="570" t="s">
        <v>75</v>
      </c>
      <c r="G4" s="571" t="s">
        <v>52</v>
      </c>
      <c r="H4" s="571"/>
      <c r="I4" s="571"/>
      <c r="J4" s="571"/>
      <c r="K4" s="571"/>
      <c r="L4" s="571"/>
      <c r="M4" s="571"/>
      <c r="N4" s="571"/>
      <c r="O4" s="571"/>
      <c r="P4" s="571"/>
      <c r="Q4" s="571"/>
      <c r="R4" s="571"/>
      <c r="S4" s="571"/>
      <c r="T4" s="571"/>
      <c r="U4" s="571"/>
      <c r="V4" s="571"/>
      <c r="W4" s="571"/>
      <c r="X4" s="571"/>
      <c r="Y4" s="571"/>
      <c r="Z4" s="571"/>
      <c r="AA4" s="571"/>
      <c r="AB4" s="571"/>
    </row>
    <row r="5" spans="6:28" ht="15.6">
      <c r="F5" s="570"/>
      <c r="G5" s="572" t="s">
        <v>53</v>
      </c>
      <c r="H5" s="571" t="s">
        <v>54</v>
      </c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  <c r="AA5" s="571"/>
      <c r="AB5" s="571"/>
    </row>
    <row r="6" spans="6:28" ht="15.6">
      <c r="F6" s="570"/>
      <c r="G6" s="572"/>
      <c r="H6" s="379">
        <v>0</v>
      </c>
      <c r="I6" s="379">
        <v>1</v>
      </c>
      <c r="J6" s="379">
        <v>2</v>
      </c>
      <c r="K6" s="379">
        <v>3</v>
      </c>
      <c r="L6" s="379">
        <v>4</v>
      </c>
      <c r="M6" s="379">
        <v>5</v>
      </c>
      <c r="N6" s="379">
        <v>6</v>
      </c>
      <c r="O6" s="379">
        <v>7</v>
      </c>
      <c r="P6" s="379">
        <v>8</v>
      </c>
      <c r="Q6" s="379">
        <v>9</v>
      </c>
      <c r="R6" s="379">
        <v>10</v>
      </c>
      <c r="S6" s="379">
        <v>11</v>
      </c>
      <c r="T6" s="379">
        <v>12</v>
      </c>
      <c r="U6" s="379">
        <v>13</v>
      </c>
      <c r="V6" s="379">
        <v>14</v>
      </c>
      <c r="W6" s="379">
        <v>15</v>
      </c>
      <c r="X6" s="379">
        <v>16</v>
      </c>
      <c r="Y6" s="379">
        <v>17</v>
      </c>
      <c r="Z6" s="379">
        <v>18</v>
      </c>
      <c r="AA6" s="379">
        <v>19</v>
      </c>
      <c r="AB6" s="379" t="s">
        <v>11</v>
      </c>
    </row>
    <row r="7" spans="6:28" ht="15.6">
      <c r="F7" s="381" t="s">
        <v>76</v>
      </c>
      <c r="G7" s="382">
        <v>189</v>
      </c>
      <c r="H7" s="372">
        <v>6</v>
      </c>
      <c r="I7" s="372">
        <v>34</v>
      </c>
      <c r="J7" s="372">
        <v>50</v>
      </c>
      <c r="K7" s="372">
        <v>29</v>
      </c>
      <c r="L7" s="372">
        <v>22</v>
      </c>
      <c r="M7" s="372">
        <v>18</v>
      </c>
      <c r="N7" s="372">
        <v>18</v>
      </c>
      <c r="O7" s="372">
        <v>5</v>
      </c>
      <c r="P7" s="372">
        <v>5</v>
      </c>
      <c r="Q7" s="372">
        <v>1</v>
      </c>
      <c r="R7" s="372">
        <v>1</v>
      </c>
      <c r="S7" s="372">
        <v>0</v>
      </c>
      <c r="T7" s="372">
        <v>0</v>
      </c>
      <c r="U7" s="372">
        <v>0</v>
      </c>
      <c r="V7" s="372">
        <v>0</v>
      </c>
      <c r="W7" s="372">
        <v>0</v>
      </c>
      <c r="X7" s="372">
        <v>0</v>
      </c>
      <c r="Y7" s="372">
        <v>0</v>
      </c>
      <c r="Z7" s="372">
        <v>0</v>
      </c>
      <c r="AA7" s="372">
        <v>0</v>
      </c>
      <c r="AB7" s="372">
        <v>0</v>
      </c>
    </row>
    <row r="8" spans="6:28" ht="15.6">
      <c r="F8" s="383" t="s">
        <v>77</v>
      </c>
      <c r="G8" s="384">
        <v>657</v>
      </c>
      <c r="H8" s="371">
        <v>41</v>
      </c>
      <c r="I8" s="371">
        <v>124</v>
      </c>
      <c r="J8" s="371">
        <v>150</v>
      </c>
      <c r="K8" s="371">
        <v>136</v>
      </c>
      <c r="L8" s="371">
        <v>76</v>
      </c>
      <c r="M8" s="371">
        <v>59</v>
      </c>
      <c r="N8" s="371">
        <v>24</v>
      </c>
      <c r="O8" s="371">
        <v>15</v>
      </c>
      <c r="P8" s="371">
        <v>15</v>
      </c>
      <c r="Q8" s="371">
        <v>9</v>
      </c>
      <c r="R8" s="371">
        <v>2</v>
      </c>
      <c r="S8" s="371">
        <v>0</v>
      </c>
      <c r="T8" s="371">
        <v>2</v>
      </c>
      <c r="U8" s="371">
        <v>1</v>
      </c>
      <c r="V8" s="371">
        <v>1</v>
      </c>
      <c r="W8" s="371">
        <v>1</v>
      </c>
      <c r="X8" s="371">
        <v>1</v>
      </c>
      <c r="Y8" s="371">
        <v>0</v>
      </c>
      <c r="Z8" s="371">
        <v>0</v>
      </c>
      <c r="AA8" s="371">
        <v>0</v>
      </c>
      <c r="AB8" s="371">
        <v>0</v>
      </c>
    </row>
    <row r="9" spans="6:28" ht="15.6">
      <c r="F9" s="381" t="s">
        <v>78</v>
      </c>
      <c r="G9" s="382">
        <v>400</v>
      </c>
      <c r="H9" s="372">
        <v>19</v>
      </c>
      <c r="I9" s="372">
        <v>57</v>
      </c>
      <c r="J9" s="372">
        <v>72</v>
      </c>
      <c r="K9" s="372">
        <v>67</v>
      </c>
      <c r="L9" s="372">
        <v>52</v>
      </c>
      <c r="M9" s="372">
        <v>30</v>
      </c>
      <c r="N9" s="372">
        <v>29</v>
      </c>
      <c r="O9" s="372">
        <v>20</v>
      </c>
      <c r="P9" s="372">
        <v>20</v>
      </c>
      <c r="Q9" s="372">
        <v>10</v>
      </c>
      <c r="R9" s="372">
        <v>7</v>
      </c>
      <c r="S9" s="372">
        <v>5</v>
      </c>
      <c r="T9" s="372">
        <v>4</v>
      </c>
      <c r="U9" s="372">
        <v>2</v>
      </c>
      <c r="V9" s="372">
        <v>1</v>
      </c>
      <c r="W9" s="372">
        <v>1</v>
      </c>
      <c r="X9" s="372">
        <v>2</v>
      </c>
      <c r="Y9" s="372">
        <v>0</v>
      </c>
      <c r="Z9" s="372">
        <v>1</v>
      </c>
      <c r="AA9" s="372">
        <v>1</v>
      </c>
      <c r="AB9" s="372">
        <v>0</v>
      </c>
    </row>
    <row r="10" spans="6:28" ht="15.6">
      <c r="F10" s="383" t="s">
        <v>79</v>
      </c>
      <c r="G10" s="384">
        <v>175</v>
      </c>
      <c r="H10" s="371">
        <v>5</v>
      </c>
      <c r="I10" s="371">
        <v>17</v>
      </c>
      <c r="J10" s="371">
        <v>27</v>
      </c>
      <c r="K10" s="371">
        <v>29</v>
      </c>
      <c r="L10" s="371">
        <v>14</v>
      </c>
      <c r="M10" s="371">
        <v>15</v>
      </c>
      <c r="N10" s="371">
        <v>9</v>
      </c>
      <c r="O10" s="371">
        <v>16</v>
      </c>
      <c r="P10" s="371">
        <v>11</v>
      </c>
      <c r="Q10" s="371">
        <v>1</v>
      </c>
      <c r="R10" s="371">
        <v>3</v>
      </c>
      <c r="S10" s="371">
        <v>5</v>
      </c>
      <c r="T10" s="371">
        <v>7</v>
      </c>
      <c r="U10" s="371">
        <v>9</v>
      </c>
      <c r="V10" s="371">
        <v>3</v>
      </c>
      <c r="W10" s="371">
        <v>1</v>
      </c>
      <c r="X10" s="371">
        <v>1</v>
      </c>
      <c r="Y10" s="371">
        <v>1</v>
      </c>
      <c r="Z10" s="371">
        <v>1</v>
      </c>
      <c r="AA10" s="371">
        <v>0</v>
      </c>
      <c r="AB10" s="371">
        <v>0</v>
      </c>
    </row>
    <row r="11" spans="6:28" ht="15.6">
      <c r="F11" s="381" t="s">
        <v>80</v>
      </c>
      <c r="G11" s="382">
        <v>153</v>
      </c>
      <c r="H11" s="372">
        <v>8</v>
      </c>
      <c r="I11" s="372">
        <v>18</v>
      </c>
      <c r="J11" s="372">
        <v>27</v>
      </c>
      <c r="K11" s="372">
        <v>19</v>
      </c>
      <c r="L11" s="372">
        <v>22</v>
      </c>
      <c r="M11" s="372">
        <v>18</v>
      </c>
      <c r="N11" s="372">
        <v>13</v>
      </c>
      <c r="O11" s="372">
        <v>10</v>
      </c>
      <c r="P11" s="372">
        <v>4</v>
      </c>
      <c r="Q11" s="372">
        <v>5</v>
      </c>
      <c r="R11" s="372">
        <v>3</v>
      </c>
      <c r="S11" s="372">
        <v>3</v>
      </c>
      <c r="T11" s="372">
        <v>2</v>
      </c>
      <c r="U11" s="372">
        <v>1</v>
      </c>
      <c r="V11" s="372">
        <v>0</v>
      </c>
      <c r="W11" s="372">
        <v>0</v>
      </c>
      <c r="X11" s="372">
        <v>0</v>
      </c>
      <c r="Y11" s="372">
        <v>0</v>
      </c>
      <c r="Z11" s="372">
        <v>0</v>
      </c>
      <c r="AA11" s="372">
        <v>0</v>
      </c>
      <c r="AB11" s="372">
        <v>0</v>
      </c>
    </row>
    <row r="12" spans="6:28" ht="15.6">
      <c r="F12" s="383" t="s">
        <v>81</v>
      </c>
      <c r="G12" s="384">
        <v>780</v>
      </c>
      <c r="H12" s="371">
        <v>78</v>
      </c>
      <c r="I12" s="371">
        <v>113</v>
      </c>
      <c r="J12" s="371">
        <v>141</v>
      </c>
      <c r="K12" s="371">
        <v>130</v>
      </c>
      <c r="L12" s="371">
        <v>82</v>
      </c>
      <c r="M12" s="371">
        <v>52</v>
      </c>
      <c r="N12" s="371">
        <v>66</v>
      </c>
      <c r="O12" s="371">
        <v>20</v>
      </c>
      <c r="P12" s="371">
        <v>36</v>
      </c>
      <c r="Q12" s="371">
        <v>22</v>
      </c>
      <c r="R12" s="371">
        <v>16</v>
      </c>
      <c r="S12" s="371">
        <v>7</v>
      </c>
      <c r="T12" s="371">
        <v>7</v>
      </c>
      <c r="U12" s="371">
        <v>2</v>
      </c>
      <c r="V12" s="371">
        <v>4</v>
      </c>
      <c r="W12" s="371">
        <v>2</v>
      </c>
      <c r="X12" s="371">
        <v>2</v>
      </c>
      <c r="Y12" s="371">
        <v>0</v>
      </c>
      <c r="Z12" s="371">
        <v>0</v>
      </c>
      <c r="AA12" s="371">
        <v>0</v>
      </c>
      <c r="AB12" s="371">
        <v>0</v>
      </c>
    </row>
    <row r="13" spans="6:28" ht="15.6">
      <c r="F13" s="381" t="s">
        <v>82</v>
      </c>
      <c r="G13" s="382">
        <v>47</v>
      </c>
      <c r="H13" s="372">
        <v>5</v>
      </c>
      <c r="I13" s="372">
        <v>8</v>
      </c>
      <c r="J13" s="372">
        <v>12</v>
      </c>
      <c r="K13" s="372">
        <v>9</v>
      </c>
      <c r="L13" s="372">
        <v>5</v>
      </c>
      <c r="M13" s="372">
        <v>1</v>
      </c>
      <c r="N13" s="372">
        <v>2</v>
      </c>
      <c r="O13" s="372">
        <v>3</v>
      </c>
      <c r="P13" s="372">
        <v>1</v>
      </c>
      <c r="Q13" s="372">
        <v>0</v>
      </c>
      <c r="R13" s="372">
        <v>1</v>
      </c>
      <c r="S13" s="372">
        <v>0</v>
      </c>
      <c r="T13" s="372">
        <v>0</v>
      </c>
      <c r="U13" s="372">
        <v>0</v>
      </c>
      <c r="V13" s="372">
        <v>0</v>
      </c>
      <c r="W13" s="372">
        <v>0</v>
      </c>
      <c r="X13" s="372">
        <v>0</v>
      </c>
      <c r="Y13" s="372">
        <v>0</v>
      </c>
      <c r="Z13" s="372">
        <v>0</v>
      </c>
      <c r="AA13" s="372">
        <v>0</v>
      </c>
      <c r="AB13" s="372">
        <v>0</v>
      </c>
    </row>
    <row r="14" spans="6:28" ht="25.2" customHeight="1">
      <c r="F14" s="385" t="s">
        <v>83</v>
      </c>
      <c r="G14" s="386">
        <v>2401</v>
      </c>
      <c r="H14" s="386">
        <v>162</v>
      </c>
      <c r="I14" s="386">
        <v>371</v>
      </c>
      <c r="J14" s="386">
        <v>479</v>
      </c>
      <c r="K14" s="386">
        <v>419</v>
      </c>
      <c r="L14" s="386">
        <v>273</v>
      </c>
      <c r="M14" s="386">
        <v>193</v>
      </c>
      <c r="N14" s="386">
        <v>161</v>
      </c>
      <c r="O14" s="387">
        <v>89</v>
      </c>
      <c r="P14" s="386">
        <v>92</v>
      </c>
      <c r="Q14" s="386">
        <v>48</v>
      </c>
      <c r="R14" s="386">
        <v>33</v>
      </c>
      <c r="S14" s="386">
        <v>20</v>
      </c>
      <c r="T14" s="386">
        <v>22</v>
      </c>
      <c r="U14" s="386">
        <v>15</v>
      </c>
      <c r="V14" s="386">
        <v>9</v>
      </c>
      <c r="W14" s="386">
        <v>5</v>
      </c>
      <c r="X14" s="386">
        <v>6</v>
      </c>
      <c r="Y14" s="386">
        <v>1</v>
      </c>
      <c r="Z14" s="386">
        <v>0</v>
      </c>
      <c r="AA14" s="386">
        <v>0</v>
      </c>
      <c r="AB14" s="388">
        <v>3</v>
      </c>
    </row>
    <row r="15" spans="6:28" ht="13.2" customHeight="1">
      <c r="F15" s="373"/>
      <c r="G15" s="373"/>
      <c r="H15" s="373"/>
      <c r="I15" s="373"/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  <c r="Z15" s="373"/>
      <c r="AA15" s="373"/>
      <c r="AB15" s="373"/>
    </row>
    <row r="16" spans="6:28" ht="14.25" customHeight="1">
      <c r="F16" s="570" t="s">
        <v>75</v>
      </c>
      <c r="G16" s="572" t="s">
        <v>69</v>
      </c>
      <c r="H16" s="571" t="s">
        <v>70</v>
      </c>
      <c r="I16" s="571"/>
      <c r="J16" s="571"/>
      <c r="K16" s="571"/>
      <c r="L16" s="571"/>
      <c r="M16" s="571"/>
      <c r="N16" s="571"/>
      <c r="O16" s="571"/>
      <c r="P16" s="571"/>
      <c r="Q16" s="571"/>
      <c r="R16" s="571"/>
      <c r="S16" s="571"/>
      <c r="T16" s="571"/>
      <c r="U16" s="571"/>
      <c r="V16" s="571"/>
      <c r="W16" s="571"/>
      <c r="X16" s="571"/>
      <c r="Y16" s="571"/>
      <c r="Z16" s="571"/>
      <c r="AA16" s="571"/>
      <c r="AB16" s="571"/>
    </row>
    <row r="17" spans="6:28" ht="14.25" customHeight="1">
      <c r="F17" s="570"/>
      <c r="G17" s="572"/>
      <c r="H17" s="571" t="s">
        <v>54</v>
      </c>
      <c r="I17" s="571"/>
      <c r="J17" s="571"/>
      <c r="K17" s="571"/>
      <c r="L17" s="571"/>
      <c r="M17" s="571"/>
      <c r="N17" s="571"/>
      <c r="O17" s="571"/>
      <c r="P17" s="571"/>
      <c r="Q17" s="571"/>
      <c r="R17" s="571"/>
      <c r="S17" s="571"/>
      <c r="T17" s="571"/>
      <c r="U17" s="571"/>
      <c r="V17" s="571"/>
      <c r="W17" s="571"/>
      <c r="X17" s="571"/>
      <c r="Y17" s="571"/>
      <c r="Z17" s="571"/>
      <c r="AA17" s="571"/>
      <c r="AB17" s="571"/>
    </row>
    <row r="18" spans="6:28" ht="15.6">
      <c r="F18" s="570"/>
      <c r="G18" s="572"/>
      <c r="H18" s="379">
        <v>0</v>
      </c>
      <c r="I18" s="379">
        <v>1</v>
      </c>
      <c r="J18" s="379">
        <v>2</v>
      </c>
      <c r="K18" s="379">
        <v>3</v>
      </c>
      <c r="L18" s="379">
        <v>4</v>
      </c>
      <c r="M18" s="379">
        <v>5</v>
      </c>
      <c r="N18" s="379">
        <v>6</v>
      </c>
      <c r="O18" s="379">
        <v>7</v>
      </c>
      <c r="P18" s="379">
        <v>8</v>
      </c>
      <c r="Q18" s="379">
        <v>9</v>
      </c>
      <c r="R18" s="379">
        <v>10</v>
      </c>
      <c r="S18" s="379">
        <v>11</v>
      </c>
      <c r="T18" s="379">
        <v>12</v>
      </c>
      <c r="U18" s="379">
        <v>13</v>
      </c>
      <c r="V18" s="379">
        <v>14</v>
      </c>
      <c r="W18" s="379">
        <v>15</v>
      </c>
      <c r="X18" s="379">
        <v>16</v>
      </c>
      <c r="Y18" s="379">
        <v>17</v>
      </c>
      <c r="Z18" s="379">
        <v>18</v>
      </c>
      <c r="AA18" s="379">
        <v>19</v>
      </c>
      <c r="AB18" s="379" t="s">
        <v>11</v>
      </c>
    </row>
    <row r="19" spans="6:28" ht="15.6">
      <c r="F19" s="381" t="s">
        <v>76</v>
      </c>
      <c r="G19" s="382">
        <v>189</v>
      </c>
      <c r="H19" s="375">
        <v>3.1746031746031744E-2</v>
      </c>
      <c r="I19" s="375">
        <v>0.21164021164021163</v>
      </c>
      <c r="J19" s="375">
        <v>0.47619047619047616</v>
      </c>
      <c r="K19" s="375">
        <v>0.62962962962962954</v>
      </c>
      <c r="L19" s="375">
        <v>0.74603174603174593</v>
      </c>
      <c r="M19" s="375">
        <v>0.84126984126984117</v>
      </c>
      <c r="N19" s="375">
        <v>0.9365079365079364</v>
      </c>
      <c r="O19" s="375">
        <v>0.9629629629629628</v>
      </c>
      <c r="P19" s="375">
        <v>0.98941798941798931</v>
      </c>
      <c r="Q19" s="375">
        <v>0.99470899470899465</v>
      </c>
      <c r="R19" s="375">
        <v>1</v>
      </c>
      <c r="S19" s="375">
        <v>1</v>
      </c>
      <c r="T19" s="375">
        <v>1</v>
      </c>
      <c r="U19" s="375">
        <v>1</v>
      </c>
      <c r="V19" s="375">
        <v>1</v>
      </c>
      <c r="W19" s="375">
        <v>1</v>
      </c>
      <c r="X19" s="375">
        <v>1</v>
      </c>
      <c r="Y19" s="375">
        <v>1</v>
      </c>
      <c r="Z19" s="375">
        <v>1</v>
      </c>
      <c r="AA19" s="375">
        <v>1</v>
      </c>
      <c r="AB19" s="375">
        <v>1</v>
      </c>
    </row>
    <row r="20" spans="6:28" ht="15.6">
      <c r="F20" s="383" t="s">
        <v>77</v>
      </c>
      <c r="G20" s="384">
        <v>657</v>
      </c>
      <c r="H20" s="374">
        <v>6.2404870624048703E-2</v>
      </c>
      <c r="I20" s="374">
        <v>0.25114155251141551</v>
      </c>
      <c r="J20" s="374">
        <v>0.47945205479452052</v>
      </c>
      <c r="K20" s="374">
        <v>0.68645357686453568</v>
      </c>
      <c r="L20" s="374">
        <v>0.80213089802130888</v>
      </c>
      <c r="M20" s="374">
        <v>0.89193302891933013</v>
      </c>
      <c r="N20" s="374">
        <v>0.92846270928462693</v>
      </c>
      <c r="O20" s="374">
        <v>0.95129375951293738</v>
      </c>
      <c r="P20" s="374">
        <v>0.97412480974124782</v>
      </c>
      <c r="Q20" s="374">
        <v>0.98782343987823418</v>
      </c>
      <c r="R20" s="374">
        <v>0.99086757990867558</v>
      </c>
      <c r="S20" s="374">
        <v>0.99086757990867558</v>
      </c>
      <c r="T20" s="374">
        <v>0.99391171993911698</v>
      </c>
      <c r="U20" s="374">
        <v>0.99543378995433773</v>
      </c>
      <c r="V20" s="374">
        <v>0.99695585996955849</v>
      </c>
      <c r="W20" s="374">
        <v>0.99847792998477924</v>
      </c>
      <c r="X20" s="374">
        <v>1</v>
      </c>
      <c r="Y20" s="374">
        <v>1</v>
      </c>
      <c r="Z20" s="374">
        <v>1</v>
      </c>
      <c r="AA20" s="374">
        <v>1</v>
      </c>
      <c r="AB20" s="374">
        <v>1</v>
      </c>
    </row>
    <row r="21" spans="6:28" ht="15.6">
      <c r="F21" s="381" t="s">
        <v>78</v>
      </c>
      <c r="G21" s="382">
        <v>400</v>
      </c>
      <c r="H21" s="375">
        <v>4.7500000000000001E-2</v>
      </c>
      <c r="I21" s="375">
        <v>0.19</v>
      </c>
      <c r="J21" s="375">
        <v>0.37</v>
      </c>
      <c r="K21" s="375">
        <v>0.53749999999999998</v>
      </c>
      <c r="L21" s="375">
        <v>0.66749999999999998</v>
      </c>
      <c r="M21" s="375">
        <v>0.74249999999999994</v>
      </c>
      <c r="N21" s="375">
        <v>0.81499999999999995</v>
      </c>
      <c r="O21" s="375">
        <v>0.86499999999999999</v>
      </c>
      <c r="P21" s="375">
        <v>0.91500000000000004</v>
      </c>
      <c r="Q21" s="375">
        <v>0.94000000000000006</v>
      </c>
      <c r="R21" s="375">
        <v>0.95750000000000002</v>
      </c>
      <c r="S21" s="375">
        <v>0.97</v>
      </c>
      <c r="T21" s="375">
        <v>0.98</v>
      </c>
      <c r="U21" s="375">
        <v>0.98499999999999999</v>
      </c>
      <c r="V21" s="375">
        <v>0.98749999999999993</v>
      </c>
      <c r="W21" s="375">
        <v>0.98999999999999988</v>
      </c>
      <c r="X21" s="375">
        <v>0.99499999999999988</v>
      </c>
      <c r="Y21" s="375">
        <v>0.99499999999999988</v>
      </c>
      <c r="Z21" s="375">
        <v>0.99749999999999983</v>
      </c>
      <c r="AA21" s="375">
        <v>0.99999999999999978</v>
      </c>
      <c r="AB21" s="375">
        <v>0.99999999999999978</v>
      </c>
    </row>
    <row r="22" spans="6:28" ht="15.6">
      <c r="F22" s="383" t="s">
        <v>79</v>
      </c>
      <c r="G22" s="384">
        <v>175</v>
      </c>
      <c r="H22" s="374">
        <v>2.8571428571428571E-2</v>
      </c>
      <c r="I22" s="374">
        <v>0.12571428571428572</v>
      </c>
      <c r="J22" s="374">
        <v>0.28000000000000003</v>
      </c>
      <c r="K22" s="374">
        <v>0.44571428571428573</v>
      </c>
      <c r="L22" s="374">
        <v>0.52571428571428569</v>
      </c>
      <c r="M22" s="374">
        <v>0.61142857142857143</v>
      </c>
      <c r="N22" s="374">
        <v>0.66285714285714281</v>
      </c>
      <c r="O22" s="374">
        <v>0.75428571428571423</v>
      </c>
      <c r="P22" s="374">
        <v>0.81714285714285706</v>
      </c>
      <c r="Q22" s="374">
        <v>0.82285714285714273</v>
      </c>
      <c r="R22" s="374">
        <v>0.83999999999999986</v>
      </c>
      <c r="S22" s="374">
        <v>0.86857142857142844</v>
      </c>
      <c r="T22" s="374">
        <v>0.90857142857142847</v>
      </c>
      <c r="U22" s="374">
        <v>0.95999999999999985</v>
      </c>
      <c r="V22" s="374">
        <v>0.97714285714285698</v>
      </c>
      <c r="W22" s="374">
        <v>0.98285714285714265</v>
      </c>
      <c r="X22" s="374">
        <v>0.98857142857142832</v>
      </c>
      <c r="Y22" s="374">
        <v>0.994285714285714</v>
      </c>
      <c r="Z22" s="374">
        <v>0.99999999999999967</v>
      </c>
      <c r="AA22" s="374">
        <v>0.99999999999999967</v>
      </c>
      <c r="AB22" s="374">
        <v>0.99999999999999967</v>
      </c>
    </row>
    <row r="23" spans="6:28" ht="15.6">
      <c r="F23" s="381" t="s">
        <v>80</v>
      </c>
      <c r="G23" s="382">
        <v>153</v>
      </c>
      <c r="H23" s="375">
        <v>5.2287581699346407E-2</v>
      </c>
      <c r="I23" s="375">
        <v>0.16993464052287582</v>
      </c>
      <c r="J23" s="375">
        <v>0.34640522875816993</v>
      </c>
      <c r="K23" s="375">
        <v>0.47058823529411764</v>
      </c>
      <c r="L23" s="375">
        <v>0.6143790849673203</v>
      </c>
      <c r="M23" s="375">
        <v>0.73202614379084974</v>
      </c>
      <c r="N23" s="375">
        <v>0.81699346405228768</v>
      </c>
      <c r="O23" s="375">
        <v>0.88235294117647067</v>
      </c>
      <c r="P23" s="375">
        <v>0.90849673202614389</v>
      </c>
      <c r="Q23" s="375">
        <v>0.94117647058823539</v>
      </c>
      <c r="R23" s="375">
        <v>0.96078431372549034</v>
      </c>
      <c r="S23" s="375">
        <v>0.98039215686274528</v>
      </c>
      <c r="T23" s="375">
        <v>0.99346405228758183</v>
      </c>
      <c r="U23" s="375">
        <v>1.0000000000000002</v>
      </c>
      <c r="V23" s="375">
        <v>1.0000000000000002</v>
      </c>
      <c r="W23" s="375">
        <v>1.0000000000000002</v>
      </c>
      <c r="X23" s="375">
        <v>1.0000000000000002</v>
      </c>
      <c r="Y23" s="375">
        <v>1.0000000000000002</v>
      </c>
      <c r="Z23" s="375">
        <v>1.0000000000000002</v>
      </c>
      <c r="AA23" s="375">
        <v>1.0000000000000002</v>
      </c>
      <c r="AB23" s="375">
        <v>1.0000000000000002</v>
      </c>
    </row>
    <row r="24" spans="6:28" ht="15.6">
      <c r="F24" s="383" t="s">
        <v>81</v>
      </c>
      <c r="G24" s="384">
        <v>780</v>
      </c>
      <c r="H24" s="374">
        <v>0.1</v>
      </c>
      <c r="I24" s="374">
        <v>0.24487179487179489</v>
      </c>
      <c r="J24" s="374">
        <v>0.42564102564102568</v>
      </c>
      <c r="K24" s="374">
        <v>0.59230769230769231</v>
      </c>
      <c r="L24" s="374">
        <v>0.6974358974358974</v>
      </c>
      <c r="M24" s="374">
        <v>0.76410256410256405</v>
      </c>
      <c r="N24" s="374">
        <v>0.8487179487179487</v>
      </c>
      <c r="O24" s="374">
        <v>0.87435897435897436</v>
      </c>
      <c r="P24" s="374">
        <v>0.92051282051282057</v>
      </c>
      <c r="Q24" s="374">
        <v>0.94871794871794879</v>
      </c>
      <c r="R24" s="374">
        <v>0.96923076923076934</v>
      </c>
      <c r="S24" s="374">
        <v>0.97820512820512828</v>
      </c>
      <c r="T24" s="374">
        <v>0.98717948717948723</v>
      </c>
      <c r="U24" s="374">
        <v>0.98974358974358978</v>
      </c>
      <c r="V24" s="374">
        <v>0.99487179487179489</v>
      </c>
      <c r="W24" s="374">
        <v>0.99743589743589745</v>
      </c>
      <c r="X24" s="374">
        <v>1</v>
      </c>
      <c r="Y24" s="374">
        <v>1</v>
      </c>
      <c r="Z24" s="374">
        <v>1</v>
      </c>
      <c r="AA24" s="374">
        <v>1</v>
      </c>
      <c r="AB24" s="374">
        <v>1</v>
      </c>
    </row>
    <row r="25" spans="6:28" ht="15.6">
      <c r="F25" s="381" t="s">
        <v>82</v>
      </c>
      <c r="G25" s="382">
        <v>47</v>
      </c>
      <c r="H25" s="375">
        <v>0.10638297872340426</v>
      </c>
      <c r="I25" s="375">
        <v>0.27659574468085107</v>
      </c>
      <c r="J25" s="375">
        <v>0.53191489361702127</v>
      </c>
      <c r="K25" s="375">
        <v>0.72340425531914887</v>
      </c>
      <c r="L25" s="375">
        <v>0.82978723404255317</v>
      </c>
      <c r="M25" s="375">
        <v>0.85106382978723405</v>
      </c>
      <c r="N25" s="375">
        <v>0.8936170212765957</v>
      </c>
      <c r="O25" s="375">
        <v>0.95744680851063824</v>
      </c>
      <c r="P25" s="375">
        <v>0.97872340425531912</v>
      </c>
      <c r="Q25" s="375">
        <v>0.97872340425531912</v>
      </c>
      <c r="R25" s="375">
        <v>1</v>
      </c>
      <c r="S25" s="375">
        <v>1</v>
      </c>
      <c r="T25" s="375">
        <v>1</v>
      </c>
      <c r="U25" s="375">
        <v>1</v>
      </c>
      <c r="V25" s="375">
        <v>1</v>
      </c>
      <c r="W25" s="375">
        <v>1</v>
      </c>
      <c r="X25" s="375">
        <v>1</v>
      </c>
      <c r="Y25" s="375">
        <v>1</v>
      </c>
      <c r="Z25" s="375">
        <v>1</v>
      </c>
      <c r="AA25" s="375">
        <v>1</v>
      </c>
      <c r="AB25" s="375">
        <v>1</v>
      </c>
    </row>
    <row r="26" spans="6:28" ht="25.2" customHeight="1">
      <c r="F26" s="385" t="s">
        <v>83</v>
      </c>
      <c r="G26" s="386">
        <v>2401</v>
      </c>
      <c r="H26" s="389">
        <v>6.7471886713869222E-2</v>
      </c>
      <c r="I26" s="389">
        <v>0.221990837151187</v>
      </c>
      <c r="J26" s="389">
        <v>0.42149104539775095</v>
      </c>
      <c r="K26" s="389">
        <v>0.59600166597251147</v>
      </c>
      <c r="L26" s="389">
        <v>0.70970428987921697</v>
      </c>
      <c r="M26" s="389">
        <v>0.79008746355685133</v>
      </c>
      <c r="N26" s="389">
        <v>0.85714285714285721</v>
      </c>
      <c r="O26" s="389">
        <v>0.89421074552269897</v>
      </c>
      <c r="P26" s="389">
        <v>0.93252811328613083</v>
      </c>
      <c r="Q26" s="389">
        <v>0.95251978342357357</v>
      </c>
      <c r="R26" s="389">
        <v>0.96626405664306547</v>
      </c>
      <c r="S26" s="389">
        <v>0.97459391920033323</v>
      </c>
      <c r="T26" s="389">
        <v>0.98375676801332779</v>
      </c>
      <c r="U26" s="389">
        <v>0.99000416493127863</v>
      </c>
      <c r="V26" s="389">
        <v>0.99375260308204916</v>
      </c>
      <c r="W26" s="389">
        <v>0.99583506872136607</v>
      </c>
      <c r="X26" s="389">
        <v>0.99833402748854638</v>
      </c>
      <c r="Y26" s="389">
        <v>0.99875052061640979</v>
      </c>
      <c r="Z26" s="389">
        <v>0.99875052061640979</v>
      </c>
      <c r="AA26" s="389">
        <v>0.99875052061640979</v>
      </c>
      <c r="AB26" s="389">
        <v>1</v>
      </c>
    </row>
  </sheetData>
  <mergeCells count="8">
    <mergeCell ref="G4:AB4"/>
    <mergeCell ref="F16:F18"/>
    <mergeCell ref="G16:G18"/>
    <mergeCell ref="H5:AB5"/>
    <mergeCell ref="H17:AB17"/>
    <mergeCell ref="H16:AB16"/>
    <mergeCell ref="F4:F6"/>
    <mergeCell ref="G5:G6"/>
  </mergeCells>
  <pageMargins left="0.7" right="0.7" top="0.75" bottom="0.75" header="0.3" footer="0.3"/>
  <headerFooter>
    <oddHeader>&amp;C&amp;"Calibri"&amp;10&amp;K808080 Corporate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9A3E-D94A-4CE9-BD98-F5AEC3C2AA4D}">
  <sheetPr>
    <tabColor rgb="FF00B050"/>
  </sheetPr>
  <dimension ref="D1:AR35"/>
  <sheetViews>
    <sheetView topLeftCell="P16" workbookViewId="0">
      <selection activeCell="AI27" sqref="AI27"/>
    </sheetView>
  </sheetViews>
  <sheetFormatPr defaultColWidth="9" defaultRowHeight="14.4"/>
  <cols>
    <col min="1" max="1" width="2.296875" style="3" customWidth="1"/>
    <col min="2" max="4" width="4" style="3" customWidth="1"/>
    <col min="5" max="5" width="27.296875" style="3" customWidth="1"/>
    <col min="6" max="6" width="15.09765625" style="3" customWidth="1"/>
    <col min="7" max="27" width="6.69921875" style="3" customWidth="1"/>
    <col min="28" max="29" width="4.69921875" style="3" customWidth="1"/>
    <col min="30" max="30" width="25" style="3" bestFit="1" customWidth="1"/>
    <col min="31" max="31" width="7" style="3" customWidth="1"/>
    <col min="32" max="40" width="5.3984375" style="3" bestFit="1" customWidth="1"/>
    <col min="41" max="16384" width="9" style="3"/>
  </cols>
  <sheetData>
    <row r="1" spans="4:44">
      <c r="E1" s="552" t="s">
        <v>534</v>
      </c>
      <c r="F1" s="555">
        <f>SUM(F12,F10)</f>
        <v>614</v>
      </c>
      <c r="G1" s="555">
        <f t="shared" ref="G1:AA1" si="0">SUM(G12,G10)</f>
        <v>33</v>
      </c>
      <c r="H1" s="555">
        <f t="shared" si="0"/>
        <v>87</v>
      </c>
      <c r="I1" s="555">
        <f t="shared" si="0"/>
        <v>134</v>
      </c>
      <c r="J1" s="555">
        <f t="shared" si="0"/>
        <v>117</v>
      </c>
      <c r="K1" s="555">
        <f t="shared" si="0"/>
        <v>81</v>
      </c>
      <c r="L1" s="555">
        <f t="shared" si="0"/>
        <v>52</v>
      </c>
      <c r="M1" s="555">
        <f t="shared" si="0"/>
        <v>46</v>
      </c>
      <c r="N1" s="555">
        <f t="shared" si="0"/>
        <v>16</v>
      </c>
      <c r="O1" s="555">
        <f t="shared" si="0"/>
        <v>19</v>
      </c>
      <c r="P1" s="555">
        <f t="shared" si="0"/>
        <v>17</v>
      </c>
      <c r="Q1" s="555">
        <f t="shared" si="0"/>
        <v>4</v>
      </c>
      <c r="R1" s="555">
        <f t="shared" si="0"/>
        <v>1</v>
      </c>
      <c r="S1" s="555">
        <f t="shared" si="0"/>
        <v>5</v>
      </c>
      <c r="T1" s="555">
        <f t="shared" si="0"/>
        <v>2</v>
      </c>
      <c r="U1" s="555">
        <f t="shared" si="0"/>
        <v>0</v>
      </c>
      <c r="V1" s="555">
        <f t="shared" si="0"/>
        <v>0</v>
      </c>
      <c r="W1" s="555">
        <f t="shared" si="0"/>
        <v>0</v>
      </c>
      <c r="X1" s="555">
        <f t="shared" si="0"/>
        <v>0</v>
      </c>
      <c r="Y1" s="555">
        <f t="shared" si="0"/>
        <v>0</v>
      </c>
      <c r="Z1" s="555">
        <f t="shared" si="0"/>
        <v>0</v>
      </c>
      <c r="AA1" s="555">
        <f t="shared" si="0"/>
        <v>0</v>
      </c>
      <c r="AD1" s="551" t="s">
        <v>534</v>
      </c>
      <c r="AP1" s="3" t="s">
        <v>30</v>
      </c>
      <c r="AQ1" s="3" t="s">
        <v>540</v>
      </c>
      <c r="AR1" s="3" t="s">
        <v>539</v>
      </c>
    </row>
    <row r="2" spans="4:44">
      <c r="E2" s="36" t="s">
        <v>369</v>
      </c>
      <c r="G2" s="38">
        <f>G1/$F1</f>
        <v>5.3745928338762218E-2</v>
      </c>
      <c r="H2" s="38">
        <f>H1/$F1+G2</f>
        <v>0.19543973941368079</v>
      </c>
      <c r="I2" s="38">
        <f t="shared" ref="I2:AA2" si="1">I1/$F1+H2</f>
        <v>0.41368078175895767</v>
      </c>
      <c r="J2" s="38">
        <f t="shared" si="1"/>
        <v>0.60423452768729646</v>
      </c>
      <c r="K2" s="38">
        <f t="shared" si="1"/>
        <v>0.73615635179153105</v>
      </c>
      <c r="L2" s="38">
        <f t="shared" si="1"/>
        <v>0.82084690553745943</v>
      </c>
      <c r="M2" s="38">
        <f t="shared" si="1"/>
        <v>0.89576547231270376</v>
      </c>
      <c r="N2" s="38">
        <f t="shared" si="1"/>
        <v>0.92182410423452787</v>
      </c>
      <c r="O2" s="38">
        <f t="shared" si="1"/>
        <v>0.95276872964169401</v>
      </c>
      <c r="P2" s="38">
        <f t="shared" si="1"/>
        <v>0.98045602605863214</v>
      </c>
      <c r="Q2" s="38">
        <f t="shared" si="1"/>
        <v>0.98697068403908816</v>
      </c>
      <c r="R2" s="38">
        <f t="shared" si="1"/>
        <v>0.98859934853420217</v>
      </c>
      <c r="S2" s="38">
        <f t="shared" si="1"/>
        <v>0.99674267100977221</v>
      </c>
      <c r="T2" s="38">
        <f t="shared" si="1"/>
        <v>1.0000000000000002</v>
      </c>
      <c r="U2" s="38">
        <f t="shared" si="1"/>
        <v>1.0000000000000002</v>
      </c>
      <c r="V2" s="38">
        <f t="shared" si="1"/>
        <v>1.0000000000000002</v>
      </c>
      <c r="W2" s="38">
        <f t="shared" si="1"/>
        <v>1.0000000000000002</v>
      </c>
      <c r="X2" s="38">
        <f t="shared" si="1"/>
        <v>1.0000000000000002</v>
      </c>
      <c r="Y2" s="38">
        <f t="shared" si="1"/>
        <v>1.0000000000000002</v>
      </c>
      <c r="Z2" s="38">
        <f t="shared" si="1"/>
        <v>1.0000000000000002</v>
      </c>
      <c r="AA2" s="38">
        <f t="shared" si="1"/>
        <v>1.0000000000000002</v>
      </c>
      <c r="AD2" s="3" t="s">
        <v>535</v>
      </c>
      <c r="AE2" s="3">
        <f>$I$6*(50%-I2)/(J2-I2)+$J$6*(J2-50%)/(J2-I2)</f>
        <v>2.5470085470085468</v>
      </c>
    </row>
    <row r="3" spans="4:44">
      <c r="AD3" s="3" t="s">
        <v>536</v>
      </c>
      <c r="AE3" s="556">
        <f>DR_SecGrp_Year!G2</f>
        <v>3.4220779220779221E-2</v>
      </c>
      <c r="AP3" s="556">
        <f>DR_Inc!$M$13</f>
        <v>3.1291857118023736E-2</v>
      </c>
      <c r="AQ3" s="556">
        <f>DR_Inc!I8</f>
        <v>1.888858472488366E-2</v>
      </c>
      <c r="AR3" s="556">
        <f>DR_Inc!I14</f>
        <v>3.3850067302810122E-2</v>
      </c>
    </row>
    <row r="4" spans="4:44" ht="15.6">
      <c r="E4" s="573" t="s">
        <v>84</v>
      </c>
      <c r="F4" s="575" t="s">
        <v>52</v>
      </c>
      <c r="G4" s="575"/>
      <c r="H4" s="575"/>
      <c r="I4" s="575"/>
      <c r="J4" s="575"/>
      <c r="K4" s="575"/>
      <c r="L4" s="575"/>
      <c r="M4" s="575"/>
      <c r="N4" s="575"/>
      <c r="O4" s="575"/>
      <c r="P4" s="575"/>
      <c r="Q4" s="575"/>
      <c r="R4" s="575"/>
      <c r="S4" s="575"/>
      <c r="T4" s="575"/>
      <c r="U4" s="575"/>
      <c r="V4" s="575"/>
      <c r="W4" s="575"/>
      <c r="X4" s="575"/>
      <c r="Y4" s="575"/>
      <c r="Z4" s="575"/>
      <c r="AA4" s="576"/>
      <c r="AD4" s="3" t="s">
        <v>538</v>
      </c>
      <c r="AE4" s="557">
        <f>G2/$Q2</f>
        <v>5.4455445544554448E-2</v>
      </c>
      <c r="AF4" s="557">
        <f t="shared" ref="AF4:AN4" si="2">H2/$Q2</f>
        <v>0.19801980198019797</v>
      </c>
      <c r="AG4" s="557">
        <f t="shared" si="2"/>
        <v>0.41914191419141905</v>
      </c>
      <c r="AH4" s="557">
        <f t="shared" si="2"/>
        <v>0.61221122112211213</v>
      </c>
      <c r="AI4" s="557">
        <f t="shared" si="2"/>
        <v>0.7458745874587458</v>
      </c>
      <c r="AJ4" s="557">
        <f t="shared" si="2"/>
        <v>0.83168316831683164</v>
      </c>
      <c r="AK4" s="557">
        <f t="shared" si="2"/>
        <v>0.90759075907590758</v>
      </c>
      <c r="AL4" s="557">
        <f t="shared" si="2"/>
        <v>0.93399339933993397</v>
      </c>
      <c r="AM4" s="557">
        <f t="shared" si="2"/>
        <v>0.96534653465346532</v>
      </c>
      <c r="AN4" s="557">
        <f t="shared" si="2"/>
        <v>0.99339933993399343</v>
      </c>
    </row>
    <row r="5" spans="4:44" ht="15.6">
      <c r="E5" s="574"/>
      <c r="F5" s="572" t="s">
        <v>53</v>
      </c>
      <c r="G5" s="571" t="s">
        <v>54</v>
      </c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  <c r="AA5" s="577"/>
      <c r="AD5" s="3" t="s">
        <v>537</v>
      </c>
      <c r="AE5" s="3">
        <v>1</v>
      </c>
      <c r="AF5" s="3">
        <v>2</v>
      </c>
      <c r="AG5" s="3">
        <v>3</v>
      </c>
      <c r="AH5" s="3">
        <v>4</v>
      </c>
      <c r="AI5" s="3">
        <v>5</v>
      </c>
      <c r="AJ5" s="3">
        <v>6</v>
      </c>
      <c r="AK5" s="3">
        <v>7</v>
      </c>
      <c r="AL5" s="3">
        <v>8</v>
      </c>
      <c r="AM5" s="3">
        <v>9</v>
      </c>
      <c r="AN5" s="3">
        <v>10</v>
      </c>
    </row>
    <row r="6" spans="4:44" ht="15.6">
      <c r="E6" s="574"/>
      <c r="F6" s="572"/>
      <c r="G6" s="379">
        <v>0</v>
      </c>
      <c r="H6" s="379">
        <v>1</v>
      </c>
      <c r="I6" s="379">
        <v>2</v>
      </c>
      <c r="J6" s="379">
        <v>3</v>
      </c>
      <c r="K6" s="379">
        <v>4</v>
      </c>
      <c r="L6" s="379">
        <v>5</v>
      </c>
      <c r="M6" s="379">
        <v>6</v>
      </c>
      <c r="N6" s="379">
        <v>7</v>
      </c>
      <c r="O6" s="379">
        <v>8</v>
      </c>
      <c r="P6" s="379">
        <v>9</v>
      </c>
      <c r="Q6" s="379">
        <v>10</v>
      </c>
      <c r="R6" s="379">
        <v>11</v>
      </c>
      <c r="S6" s="379">
        <v>12</v>
      </c>
      <c r="T6" s="379">
        <v>13</v>
      </c>
      <c r="U6" s="379">
        <v>14</v>
      </c>
      <c r="V6" s="379">
        <v>15</v>
      </c>
      <c r="W6" s="379">
        <v>16</v>
      </c>
      <c r="X6" s="379">
        <v>17</v>
      </c>
      <c r="Y6" s="379">
        <v>18</v>
      </c>
      <c r="Z6" s="379">
        <v>19</v>
      </c>
      <c r="AA6" s="488" t="s">
        <v>11</v>
      </c>
      <c r="AE6" s="561">
        <f t="shared" ref="AE6:AG6" si="3">$AE3*(1+(AE4-50%))</f>
        <v>1.8973897389738977E-2</v>
      </c>
      <c r="AF6" s="561">
        <f t="shared" si="3"/>
        <v>2.3886781535296386E-2</v>
      </c>
      <c r="AG6" s="561">
        <f t="shared" si="3"/>
        <v>3.1453752518108946E-2</v>
      </c>
      <c r="AH6" s="561">
        <f>$AE3*(1+(AH4-50%))</f>
        <v>3.8060734644893054E-2</v>
      </c>
      <c r="AI6" s="561">
        <f t="shared" ref="AI6:AN6" si="4">$AE3*(1+(AI4-50%))</f>
        <v>4.2634799194205132E-2</v>
      </c>
      <c r="AJ6" s="561">
        <f t="shared" si="4"/>
        <v>4.5571235694998068E-2</v>
      </c>
      <c r="AK6" s="561">
        <f t="shared" si="4"/>
        <v>4.8168852599545668E-2</v>
      </c>
      <c r="AL6" s="561">
        <f t="shared" si="4"/>
        <v>4.9072371522866573E-2</v>
      </c>
      <c r="AM6" s="561">
        <f t="shared" si="4"/>
        <v>5.0145300244310145E-2</v>
      </c>
      <c r="AN6" s="561">
        <f t="shared" si="4"/>
        <v>5.1105289100338611E-2</v>
      </c>
    </row>
    <row r="7" spans="4:44" ht="15.6">
      <c r="D7" s="96"/>
      <c r="E7" s="489" t="s">
        <v>85</v>
      </c>
      <c r="F7" s="382">
        <v>552</v>
      </c>
      <c r="G7" s="372">
        <v>67</v>
      </c>
      <c r="H7" s="372">
        <v>98</v>
      </c>
      <c r="I7" s="372">
        <v>104</v>
      </c>
      <c r="J7" s="372">
        <v>102</v>
      </c>
      <c r="K7" s="372">
        <v>60</v>
      </c>
      <c r="L7" s="372">
        <v>37</v>
      </c>
      <c r="M7" s="372">
        <v>29</v>
      </c>
      <c r="N7" s="372">
        <v>15</v>
      </c>
      <c r="O7" s="372">
        <v>21</v>
      </c>
      <c r="P7" s="372">
        <v>5</v>
      </c>
      <c r="Q7" s="372">
        <v>2</v>
      </c>
      <c r="R7" s="372">
        <v>2</v>
      </c>
      <c r="S7" s="372">
        <v>4</v>
      </c>
      <c r="T7" s="372">
        <v>3</v>
      </c>
      <c r="U7" s="372">
        <v>2</v>
      </c>
      <c r="V7" s="372">
        <v>1</v>
      </c>
      <c r="W7" s="372">
        <v>0</v>
      </c>
      <c r="X7" s="372">
        <v>0</v>
      </c>
      <c r="Y7" s="372">
        <v>0</v>
      </c>
      <c r="Z7" s="372">
        <v>0</v>
      </c>
      <c r="AA7" s="490">
        <v>0</v>
      </c>
      <c r="AD7" s="3" t="s">
        <v>133</v>
      </c>
      <c r="AE7" s="560">
        <f>$AQ$3/$AP$3*AE6</f>
        <v>1.1453141533134037E-2</v>
      </c>
      <c r="AF7" s="560">
        <f t="shared" ref="AF7:AN7" si="5">$AQ$3/$AP$3*AF6</f>
        <v>1.4418687108677669E-2</v>
      </c>
      <c r="AG7" s="560">
        <f t="shared" si="5"/>
        <v>1.8986309029629927E-2</v>
      </c>
      <c r="AH7" s="560">
        <f t="shared" si="5"/>
        <v>2.2974456527774818E-2</v>
      </c>
      <c r="AI7" s="560">
        <f t="shared" si="5"/>
        <v>2.5735481718798203E-2</v>
      </c>
      <c r="AJ7" s="560">
        <f t="shared" si="5"/>
        <v>2.7507991717973707E-2</v>
      </c>
      <c r="AK7" s="560">
        <f t="shared" si="5"/>
        <v>2.9075981332628963E-2</v>
      </c>
      <c r="AL7" s="560">
        <f t="shared" si="5"/>
        <v>2.9621369024682966E-2</v>
      </c>
      <c r="AM7" s="560">
        <f t="shared" si="5"/>
        <v>3.0269016908997092E-2</v>
      </c>
      <c r="AN7" s="560">
        <f t="shared" si="5"/>
        <v>3.0848491331804472E-2</v>
      </c>
    </row>
    <row r="8" spans="4:44" ht="15.6">
      <c r="D8" s="96"/>
      <c r="E8" s="491" t="s">
        <v>86</v>
      </c>
      <c r="F8" s="384">
        <v>1849</v>
      </c>
      <c r="G8" s="371">
        <v>95</v>
      </c>
      <c r="H8" s="371">
        <v>273</v>
      </c>
      <c r="I8" s="371">
        <v>375</v>
      </c>
      <c r="J8" s="371">
        <v>317</v>
      </c>
      <c r="K8" s="371">
        <v>213</v>
      </c>
      <c r="L8" s="371">
        <v>156</v>
      </c>
      <c r="M8" s="371">
        <v>132</v>
      </c>
      <c r="N8" s="371">
        <v>74</v>
      </c>
      <c r="O8" s="371">
        <v>71</v>
      </c>
      <c r="P8" s="371">
        <v>43</v>
      </c>
      <c r="Q8" s="371">
        <v>31</v>
      </c>
      <c r="R8" s="371">
        <v>18</v>
      </c>
      <c r="S8" s="371">
        <v>18</v>
      </c>
      <c r="T8" s="371">
        <v>12</v>
      </c>
      <c r="U8" s="371">
        <v>7</v>
      </c>
      <c r="V8" s="371">
        <v>4</v>
      </c>
      <c r="W8" s="371">
        <v>6</v>
      </c>
      <c r="X8" s="371">
        <v>1</v>
      </c>
      <c r="Y8" s="371">
        <v>0</v>
      </c>
      <c r="Z8" s="371">
        <v>0</v>
      </c>
      <c r="AA8" s="492">
        <v>3</v>
      </c>
      <c r="AD8" s="3" t="s">
        <v>539</v>
      </c>
      <c r="AE8" s="560">
        <f>$AR$3/$AP$3*AE6</f>
        <v>2.0525074661335428E-2</v>
      </c>
      <c r="AF8" s="560">
        <f t="shared" ref="AF8:AN8" si="6">$AR$3/$AP$3*AF6</f>
        <v>2.5839602921859776E-2</v>
      </c>
      <c r="AG8" s="560">
        <f t="shared" si="6"/>
        <v>3.4025198173701872E-2</v>
      </c>
      <c r="AH8" s="560">
        <f t="shared" si="6"/>
        <v>4.1172322386131173E-2</v>
      </c>
      <c r="AI8" s="560">
        <f t="shared" si="6"/>
        <v>4.612033145627454E-2</v>
      </c>
      <c r="AJ8" s="560">
        <f t="shared" si="6"/>
        <v>4.9296831106243118E-2</v>
      </c>
      <c r="AK8" s="560">
        <f t="shared" si="6"/>
        <v>5.2106811565830705E-2</v>
      </c>
      <c r="AL8" s="560">
        <f t="shared" si="6"/>
        <v>5.3084196073513348E-2</v>
      </c>
      <c r="AM8" s="560">
        <f t="shared" si="6"/>
        <v>5.4244840176386477E-2</v>
      </c>
      <c r="AN8" s="560">
        <f t="shared" si="6"/>
        <v>5.528331121579929E-2</v>
      </c>
    </row>
    <row r="9" spans="4:44" ht="15.6">
      <c r="D9" s="96"/>
      <c r="E9" s="489" t="s">
        <v>87</v>
      </c>
      <c r="F9" s="382">
        <v>398</v>
      </c>
      <c r="G9" s="372">
        <v>59</v>
      </c>
      <c r="H9" s="372">
        <v>68</v>
      </c>
      <c r="I9" s="372">
        <v>69</v>
      </c>
      <c r="J9" s="372">
        <v>76</v>
      </c>
      <c r="K9" s="372">
        <v>41</v>
      </c>
      <c r="L9" s="372">
        <v>26</v>
      </c>
      <c r="M9" s="372">
        <v>23</v>
      </c>
      <c r="N9" s="372">
        <v>11</v>
      </c>
      <c r="O9" s="372">
        <v>15</v>
      </c>
      <c r="P9" s="372">
        <v>3</v>
      </c>
      <c r="Q9" s="372">
        <v>1</v>
      </c>
      <c r="R9" s="372">
        <v>0</v>
      </c>
      <c r="S9" s="372">
        <v>3</v>
      </c>
      <c r="T9" s="372">
        <v>2</v>
      </c>
      <c r="U9" s="372">
        <v>1</v>
      </c>
      <c r="V9" s="372">
        <v>0</v>
      </c>
      <c r="W9" s="372">
        <v>0</v>
      </c>
      <c r="X9" s="372">
        <v>0</v>
      </c>
      <c r="Y9" s="372">
        <v>0</v>
      </c>
      <c r="Z9" s="372">
        <v>0</v>
      </c>
      <c r="AA9" s="490">
        <v>0</v>
      </c>
    </row>
    <row r="10" spans="4:44" ht="15.6">
      <c r="D10" s="96"/>
      <c r="E10" s="491" t="s">
        <v>88</v>
      </c>
      <c r="F10" s="384">
        <v>429</v>
      </c>
      <c r="G10" s="371">
        <v>22</v>
      </c>
      <c r="H10" s="371">
        <v>62</v>
      </c>
      <c r="I10" s="371">
        <v>91</v>
      </c>
      <c r="J10" s="371">
        <v>83</v>
      </c>
      <c r="K10" s="371">
        <v>55</v>
      </c>
      <c r="L10" s="371">
        <v>36</v>
      </c>
      <c r="M10" s="371">
        <v>34</v>
      </c>
      <c r="N10" s="371">
        <v>13</v>
      </c>
      <c r="O10" s="371">
        <v>13</v>
      </c>
      <c r="P10" s="371">
        <v>10</v>
      </c>
      <c r="Q10" s="371">
        <v>3</v>
      </c>
      <c r="R10" s="371">
        <v>1</v>
      </c>
      <c r="S10" s="371">
        <v>4</v>
      </c>
      <c r="T10" s="371">
        <v>2</v>
      </c>
      <c r="U10" s="371">
        <v>0</v>
      </c>
      <c r="V10" s="371">
        <v>0</v>
      </c>
      <c r="W10" s="371">
        <v>0</v>
      </c>
      <c r="X10" s="371">
        <v>0</v>
      </c>
      <c r="Y10" s="371">
        <v>0</v>
      </c>
      <c r="Z10" s="371">
        <v>0</v>
      </c>
      <c r="AA10" s="492">
        <v>0</v>
      </c>
      <c r="AD10" s="551" t="s">
        <v>88</v>
      </c>
    </row>
    <row r="11" spans="4:44" ht="15.6">
      <c r="D11" s="96"/>
      <c r="E11" s="489" t="s">
        <v>89</v>
      </c>
      <c r="F11" s="382">
        <v>154</v>
      </c>
      <c r="G11" s="372">
        <v>8</v>
      </c>
      <c r="H11" s="372">
        <v>30</v>
      </c>
      <c r="I11" s="372">
        <v>35</v>
      </c>
      <c r="J11" s="372">
        <v>26</v>
      </c>
      <c r="K11" s="372">
        <v>19</v>
      </c>
      <c r="L11" s="372">
        <v>11</v>
      </c>
      <c r="M11" s="372">
        <v>6</v>
      </c>
      <c r="N11" s="372">
        <v>4</v>
      </c>
      <c r="O11" s="372">
        <v>6</v>
      </c>
      <c r="P11" s="372">
        <v>2</v>
      </c>
      <c r="Q11" s="372">
        <v>1</v>
      </c>
      <c r="R11" s="372">
        <v>2</v>
      </c>
      <c r="S11" s="372">
        <v>1</v>
      </c>
      <c r="T11" s="372">
        <v>1</v>
      </c>
      <c r="U11" s="372">
        <v>1</v>
      </c>
      <c r="V11" s="372">
        <v>1</v>
      </c>
      <c r="W11" s="372">
        <v>0</v>
      </c>
      <c r="X11" s="372">
        <v>0</v>
      </c>
      <c r="Y11" s="372">
        <v>0</v>
      </c>
      <c r="Z11" s="372">
        <v>0</v>
      </c>
      <c r="AA11" s="490">
        <v>0</v>
      </c>
      <c r="AD11" s="3" t="s">
        <v>535</v>
      </c>
      <c r="AE11" s="3">
        <f>$I$6*(50%-I22)/(J22-I22)+$J$6*(J22-50%)/(J22-I22)</f>
        <v>2.5240963855421685</v>
      </c>
    </row>
    <row r="12" spans="4:44" ht="15.6">
      <c r="D12" s="96"/>
      <c r="E12" s="491" t="s">
        <v>90</v>
      </c>
      <c r="F12" s="384">
        <v>185</v>
      </c>
      <c r="G12" s="371">
        <v>11</v>
      </c>
      <c r="H12" s="371">
        <v>25</v>
      </c>
      <c r="I12" s="371">
        <v>43</v>
      </c>
      <c r="J12" s="371">
        <v>34</v>
      </c>
      <c r="K12" s="371">
        <v>26</v>
      </c>
      <c r="L12" s="371">
        <v>16</v>
      </c>
      <c r="M12" s="371">
        <v>12</v>
      </c>
      <c r="N12" s="371">
        <v>3</v>
      </c>
      <c r="O12" s="371">
        <v>6</v>
      </c>
      <c r="P12" s="371">
        <v>7</v>
      </c>
      <c r="Q12" s="371">
        <v>1</v>
      </c>
      <c r="R12" s="371">
        <v>0</v>
      </c>
      <c r="S12" s="371">
        <v>1</v>
      </c>
      <c r="T12" s="371">
        <v>0</v>
      </c>
      <c r="U12" s="371">
        <v>0</v>
      </c>
      <c r="V12" s="371">
        <v>0</v>
      </c>
      <c r="W12" s="371">
        <v>0</v>
      </c>
      <c r="X12" s="371">
        <v>0</v>
      </c>
      <c r="Y12" s="371">
        <v>0</v>
      </c>
      <c r="Z12" s="371">
        <v>0</v>
      </c>
      <c r="AA12" s="492">
        <v>0</v>
      </c>
      <c r="AD12" s="3" t="s">
        <v>536</v>
      </c>
      <c r="AE12" s="556">
        <f>DR_SecGrp_Year!G10</f>
        <v>3.5991937805931469E-2</v>
      </c>
    </row>
    <row r="13" spans="4:44" ht="15.6">
      <c r="D13" s="96"/>
      <c r="E13" s="489" t="s">
        <v>91</v>
      </c>
      <c r="F13" s="382">
        <v>185</v>
      </c>
      <c r="G13" s="372">
        <v>9</v>
      </c>
      <c r="H13" s="372">
        <v>33</v>
      </c>
      <c r="I13" s="372">
        <v>36</v>
      </c>
      <c r="J13" s="372">
        <v>29</v>
      </c>
      <c r="K13" s="372">
        <v>25</v>
      </c>
      <c r="L13" s="372">
        <v>16</v>
      </c>
      <c r="M13" s="372">
        <v>14</v>
      </c>
      <c r="N13" s="372">
        <v>7</v>
      </c>
      <c r="O13" s="372">
        <v>5</v>
      </c>
      <c r="P13" s="372">
        <v>1</v>
      </c>
      <c r="Q13" s="372">
        <v>0</v>
      </c>
      <c r="R13" s="372">
        <v>2</v>
      </c>
      <c r="S13" s="372">
        <v>2</v>
      </c>
      <c r="T13" s="372">
        <v>2</v>
      </c>
      <c r="U13" s="372">
        <v>2</v>
      </c>
      <c r="V13" s="372">
        <v>1</v>
      </c>
      <c r="W13" s="372">
        <v>1</v>
      </c>
      <c r="X13" s="372">
        <v>0</v>
      </c>
      <c r="Y13" s="372">
        <v>0</v>
      </c>
      <c r="Z13" s="372">
        <v>0</v>
      </c>
      <c r="AA13" s="490">
        <v>0</v>
      </c>
      <c r="AD13" s="3" t="s">
        <v>538</v>
      </c>
      <c r="AE13" s="557">
        <f>G22/$Q22</f>
        <v>5.2132701421800952E-2</v>
      </c>
      <c r="AF13" s="557">
        <f t="shared" ref="AF13:AN13" si="7">H22/$Q22</f>
        <v>0.1990521327014218</v>
      </c>
      <c r="AG13" s="557">
        <f t="shared" si="7"/>
        <v>0.41469194312796209</v>
      </c>
      <c r="AH13" s="557">
        <f t="shared" si="7"/>
        <v>0.61137440758293837</v>
      </c>
      <c r="AI13" s="557">
        <f t="shared" si="7"/>
        <v>0.74170616113744081</v>
      </c>
      <c r="AJ13" s="557">
        <f t="shared" si="7"/>
        <v>0.82701421800947872</v>
      </c>
      <c r="AK13" s="557">
        <f t="shared" si="7"/>
        <v>0.90758293838862569</v>
      </c>
      <c r="AL13" s="557">
        <f t="shared" si="7"/>
        <v>0.93838862559241709</v>
      </c>
      <c r="AM13" s="557">
        <f t="shared" si="7"/>
        <v>0.9691943127962086</v>
      </c>
      <c r="AN13" s="557">
        <f t="shared" si="7"/>
        <v>0.99289099526066349</v>
      </c>
    </row>
    <row r="14" spans="4:44" ht="25.2" customHeight="1">
      <c r="E14" s="493" t="s">
        <v>230</v>
      </c>
      <c r="F14" s="494">
        <v>2401</v>
      </c>
      <c r="G14" s="494">
        <v>162</v>
      </c>
      <c r="H14" s="494">
        <v>371</v>
      </c>
      <c r="I14" s="494">
        <v>479</v>
      </c>
      <c r="J14" s="494">
        <v>419</v>
      </c>
      <c r="K14" s="494">
        <v>273</v>
      </c>
      <c r="L14" s="494">
        <v>193</v>
      </c>
      <c r="M14" s="494">
        <v>161</v>
      </c>
      <c r="N14" s="495">
        <v>89</v>
      </c>
      <c r="O14" s="494">
        <v>92</v>
      </c>
      <c r="P14" s="494">
        <v>48</v>
      </c>
      <c r="Q14" s="494">
        <v>33</v>
      </c>
      <c r="R14" s="494">
        <v>20</v>
      </c>
      <c r="S14" s="494">
        <v>22</v>
      </c>
      <c r="T14" s="494">
        <v>15</v>
      </c>
      <c r="U14" s="494">
        <v>9</v>
      </c>
      <c r="V14" s="494">
        <v>5</v>
      </c>
      <c r="W14" s="494">
        <v>6</v>
      </c>
      <c r="X14" s="494">
        <v>1</v>
      </c>
      <c r="Y14" s="494">
        <v>0</v>
      </c>
      <c r="Z14" s="494">
        <v>0</v>
      </c>
      <c r="AA14" s="496">
        <v>3</v>
      </c>
      <c r="AD14" s="3" t="s">
        <v>537</v>
      </c>
      <c r="AE14" s="3">
        <v>1</v>
      </c>
      <c r="AF14" s="3">
        <v>2</v>
      </c>
      <c r="AG14" s="3">
        <v>3</v>
      </c>
      <c r="AH14" s="3">
        <v>4</v>
      </c>
      <c r="AI14" s="3">
        <v>5</v>
      </c>
      <c r="AJ14" s="3">
        <v>6</v>
      </c>
      <c r="AK14" s="3">
        <v>7</v>
      </c>
      <c r="AL14" s="3">
        <v>8</v>
      </c>
      <c r="AM14" s="3">
        <v>9</v>
      </c>
      <c r="AN14" s="3">
        <v>10</v>
      </c>
    </row>
    <row r="15" spans="4:44" ht="13.2" customHeight="1">
      <c r="E15" s="487"/>
      <c r="F15" s="487"/>
      <c r="G15" s="487"/>
      <c r="H15" s="487"/>
      <c r="I15" s="487"/>
      <c r="J15" s="487"/>
      <c r="K15" s="487"/>
      <c r="L15" s="487"/>
      <c r="M15" s="487"/>
      <c r="N15" s="487"/>
      <c r="O15" s="487"/>
      <c r="P15" s="487"/>
      <c r="Q15" s="487"/>
      <c r="R15" s="487"/>
      <c r="S15" s="487"/>
      <c r="T15" s="487"/>
      <c r="U15" s="487"/>
      <c r="V15" s="487"/>
      <c r="W15" s="487"/>
      <c r="X15" s="487"/>
      <c r="Y15" s="487"/>
      <c r="Z15" s="487"/>
      <c r="AA15" s="487"/>
      <c r="AE15" s="561">
        <f>$AE12*(1+(AE13-50%))</f>
        <v>1.987232585019439E-2</v>
      </c>
      <c r="AF15" s="561">
        <f t="shared" ref="AF15:AG15" si="8">$AE12*(1+(AF13-50%))</f>
        <v>2.5160240883293328E-2</v>
      </c>
      <c r="AG15" s="561">
        <f t="shared" si="8"/>
        <v>3.2921535528648217E-2</v>
      </c>
      <c r="AH15" s="561">
        <f>$AE12*(1+(AH13-50%))</f>
        <v>4.0000518556829047E-2</v>
      </c>
      <c r="AI15" s="561">
        <f t="shared" ref="AI15:AN15" si="9">$AE12*(1+(AI13-50%))</f>
        <v>4.4691410924900692E-2</v>
      </c>
      <c r="AJ15" s="561">
        <f t="shared" si="9"/>
        <v>4.7761813202183936E-2</v>
      </c>
      <c r="AK15" s="561">
        <f t="shared" si="9"/>
        <v>5.0661637575173682E-2</v>
      </c>
      <c r="AL15" s="561">
        <f t="shared" si="9"/>
        <v>5.1770393953081528E-2</v>
      </c>
      <c r="AM15" s="561">
        <f t="shared" si="9"/>
        <v>5.2879150330989368E-2</v>
      </c>
      <c r="AN15" s="561">
        <f t="shared" si="9"/>
        <v>5.3732039852456934E-2</v>
      </c>
    </row>
    <row r="16" spans="4:44" ht="14.25" customHeight="1">
      <c r="E16" s="573" t="s">
        <v>84</v>
      </c>
      <c r="F16" s="578" t="s">
        <v>69</v>
      </c>
      <c r="G16" s="575" t="s">
        <v>70</v>
      </c>
      <c r="H16" s="575"/>
      <c r="I16" s="575"/>
      <c r="J16" s="575"/>
      <c r="K16" s="575"/>
      <c r="L16" s="575"/>
      <c r="M16" s="575"/>
      <c r="N16" s="575"/>
      <c r="O16" s="575"/>
      <c r="P16" s="575"/>
      <c r="Q16" s="575"/>
      <c r="R16" s="575"/>
      <c r="S16" s="575"/>
      <c r="T16" s="575"/>
      <c r="U16" s="575"/>
      <c r="V16" s="575"/>
      <c r="W16" s="575"/>
      <c r="X16" s="575"/>
      <c r="Y16" s="575"/>
      <c r="Z16" s="575"/>
      <c r="AA16" s="576"/>
      <c r="AD16" s="3" t="s">
        <v>133</v>
      </c>
      <c r="AE16" s="560">
        <f>$AQ$3/$AP$3*AE15</f>
        <v>1.1995456488445026E-2</v>
      </c>
      <c r="AF16" s="560">
        <f t="shared" ref="AF16" si="10">$AQ$3/$AP$3*AF15</f>
        <v>1.5187380532580612E-2</v>
      </c>
      <c r="AG16" s="560">
        <f t="shared" ref="AG16" si="11">$AQ$3/$AP$3*AG15</f>
        <v>1.9872301307037682E-2</v>
      </c>
      <c r="AH16" s="560">
        <f t="shared" ref="AH16" si="12">$AQ$3/$AP$3*AH15</f>
        <v>2.4145360914509511E-2</v>
      </c>
      <c r="AI16" s="560">
        <f t="shared" ref="AI16" si="13">$AQ$3/$AP$3*AI15</f>
        <v>2.6976906437533019E-2</v>
      </c>
      <c r="AJ16" s="560">
        <f t="shared" ref="AJ16" si="14">$AQ$3/$AP$3*AJ15</f>
        <v>2.8830281688966581E-2</v>
      </c>
      <c r="AK16" s="560">
        <f t="shared" ref="AK16" si="15">$AQ$3/$AP$3*AK15</f>
        <v>3.0580691648653839E-2</v>
      </c>
      <c r="AL16" s="560">
        <f t="shared" ref="AL16" si="16">$AQ$3/$AP$3*AL15</f>
        <v>3.1249966045004851E-2</v>
      </c>
      <c r="AM16" s="560">
        <f t="shared" ref="AM16" si="17">$AQ$3/$AP$3*AM15</f>
        <v>3.1919240441355863E-2</v>
      </c>
      <c r="AN16" s="560">
        <f t="shared" ref="AN16" si="18">$AQ$3/$AP$3*AN15</f>
        <v>3.2434066900087405E-2</v>
      </c>
    </row>
    <row r="17" spans="5:40" ht="14.25" customHeight="1">
      <c r="E17" s="574"/>
      <c r="F17" s="572"/>
      <c r="G17" s="571" t="s">
        <v>54</v>
      </c>
      <c r="H17" s="571"/>
      <c r="I17" s="571"/>
      <c r="J17" s="571"/>
      <c r="K17" s="571"/>
      <c r="L17" s="571"/>
      <c r="M17" s="571"/>
      <c r="N17" s="571"/>
      <c r="O17" s="571"/>
      <c r="P17" s="571"/>
      <c r="Q17" s="571"/>
      <c r="R17" s="571"/>
      <c r="S17" s="571"/>
      <c r="T17" s="571"/>
      <c r="U17" s="571"/>
      <c r="V17" s="571"/>
      <c r="W17" s="571"/>
      <c r="X17" s="571"/>
      <c r="Y17" s="571"/>
      <c r="Z17" s="571"/>
      <c r="AA17" s="577"/>
      <c r="AD17" s="3" t="s">
        <v>539</v>
      </c>
      <c r="AE17" s="560">
        <f>$AR$3/$AP$3*AE15</f>
        <v>2.1496952544404854E-2</v>
      </c>
      <c r="AF17" s="560">
        <f t="shared" ref="AF17:AN17" si="19">$AR$3/$AP$3*AF15</f>
        <v>2.7217171676392413E-2</v>
      </c>
      <c r="AG17" s="560">
        <f t="shared" si="19"/>
        <v>3.5612977176567695E-2</v>
      </c>
      <c r="AH17" s="560">
        <f t="shared" si="19"/>
        <v>4.3270689885518777E-2</v>
      </c>
      <c r="AI17" s="560">
        <f t="shared" si="19"/>
        <v>4.8345077825185163E-2</v>
      </c>
      <c r="AJ17" s="560">
        <f t="shared" si="19"/>
        <v>5.166649538569406E-2</v>
      </c>
      <c r="AK17" s="560">
        <f t="shared" si="19"/>
        <v>5.4803389748396922E-2</v>
      </c>
      <c r="AL17" s="560">
        <f t="shared" si="19"/>
        <v>5.6002790534136253E-2</v>
      </c>
      <c r="AM17" s="560">
        <f t="shared" si="19"/>
        <v>5.7202191319875577E-2</v>
      </c>
      <c r="AN17" s="560">
        <f t="shared" si="19"/>
        <v>5.8124807308905825E-2</v>
      </c>
    </row>
    <row r="18" spans="5:40" ht="15.6">
      <c r="E18" s="574"/>
      <c r="F18" s="572"/>
      <c r="G18" s="379">
        <v>0</v>
      </c>
      <c r="H18" s="379">
        <v>1</v>
      </c>
      <c r="I18" s="379">
        <v>2</v>
      </c>
      <c r="J18" s="379">
        <v>3</v>
      </c>
      <c r="K18" s="379">
        <v>4</v>
      </c>
      <c r="L18" s="379">
        <v>5</v>
      </c>
      <c r="M18" s="379">
        <v>6</v>
      </c>
      <c r="N18" s="379">
        <v>7</v>
      </c>
      <c r="O18" s="379">
        <v>8</v>
      </c>
      <c r="P18" s="379">
        <v>9</v>
      </c>
      <c r="Q18" s="379">
        <v>10</v>
      </c>
      <c r="R18" s="379">
        <v>11</v>
      </c>
      <c r="S18" s="379">
        <v>12</v>
      </c>
      <c r="T18" s="379">
        <v>13</v>
      </c>
      <c r="U18" s="379">
        <v>14</v>
      </c>
      <c r="V18" s="379">
        <v>15</v>
      </c>
      <c r="W18" s="379">
        <v>16</v>
      </c>
      <c r="X18" s="379">
        <v>17</v>
      </c>
      <c r="Y18" s="379">
        <v>18</v>
      </c>
      <c r="Z18" s="379">
        <v>19</v>
      </c>
      <c r="AA18" s="488" t="s">
        <v>11</v>
      </c>
    </row>
    <row r="19" spans="5:40" ht="15.6">
      <c r="E19" s="489" t="s">
        <v>85</v>
      </c>
      <c r="F19" s="382">
        <v>552</v>
      </c>
      <c r="G19" s="375">
        <v>0.1213768115942029</v>
      </c>
      <c r="H19" s="375">
        <v>0.29891304347826086</v>
      </c>
      <c r="I19" s="375">
        <v>0.48731884057971014</v>
      </c>
      <c r="J19" s="375">
        <v>0.67210144927536231</v>
      </c>
      <c r="K19" s="375">
        <v>0.78079710144927539</v>
      </c>
      <c r="L19" s="375">
        <v>0.84782608695652173</v>
      </c>
      <c r="M19" s="375">
        <v>0.90036231884057971</v>
      </c>
      <c r="N19" s="375">
        <v>0.92753623188405798</v>
      </c>
      <c r="O19" s="375">
        <v>0.96557971014492749</v>
      </c>
      <c r="P19" s="375">
        <v>0.97463768115942029</v>
      </c>
      <c r="Q19" s="375">
        <v>0.97826086956521741</v>
      </c>
      <c r="R19" s="375">
        <v>0.98188405797101452</v>
      </c>
      <c r="S19" s="375">
        <v>0.98913043478260876</v>
      </c>
      <c r="T19" s="375">
        <v>0.99456521739130443</v>
      </c>
      <c r="U19" s="375">
        <v>0.99818840579710155</v>
      </c>
      <c r="V19" s="375">
        <v>1</v>
      </c>
      <c r="W19" s="375">
        <v>1</v>
      </c>
      <c r="X19" s="375">
        <v>1</v>
      </c>
      <c r="Y19" s="375">
        <v>1</v>
      </c>
      <c r="Z19" s="375">
        <v>1</v>
      </c>
      <c r="AA19" s="497">
        <v>1</v>
      </c>
      <c r="AD19" s="551" t="s">
        <v>90</v>
      </c>
    </row>
    <row r="20" spans="5:40" ht="15.6">
      <c r="E20" s="491" t="s">
        <v>86</v>
      </c>
      <c r="F20" s="384">
        <v>1849</v>
      </c>
      <c r="G20" s="374">
        <v>5.1379123850730124E-2</v>
      </c>
      <c r="H20" s="374">
        <v>0.19902650081124931</v>
      </c>
      <c r="I20" s="374">
        <v>0.40183883180097346</v>
      </c>
      <c r="J20" s="374">
        <v>0.57328285559762027</v>
      </c>
      <c r="K20" s="374">
        <v>0.68848025959978365</v>
      </c>
      <c r="L20" s="374">
        <v>0.77285018929150895</v>
      </c>
      <c r="M20" s="374">
        <v>0.84424012979989183</v>
      </c>
      <c r="N20" s="374">
        <v>0.88426176311519744</v>
      </c>
      <c r="O20" s="374">
        <v>0.9226608977825852</v>
      </c>
      <c r="P20" s="374">
        <v>0.94591671173607361</v>
      </c>
      <c r="Q20" s="374">
        <v>0.96268253109789081</v>
      </c>
      <c r="R20" s="374">
        <v>0.97241752298539752</v>
      </c>
      <c r="S20" s="374">
        <v>0.98215251487290423</v>
      </c>
      <c r="T20" s="374">
        <v>0.98864250946457544</v>
      </c>
      <c r="U20" s="374">
        <v>0.99242833964305033</v>
      </c>
      <c r="V20" s="374">
        <v>0.99459167117360736</v>
      </c>
      <c r="W20" s="374">
        <v>0.99783666846944297</v>
      </c>
      <c r="X20" s="374">
        <v>0.99837750135208225</v>
      </c>
      <c r="Y20" s="374">
        <v>0.99837750135208225</v>
      </c>
      <c r="Z20" s="374">
        <v>0.99837750135208225</v>
      </c>
      <c r="AA20" s="498">
        <v>1</v>
      </c>
      <c r="AD20" s="3" t="s">
        <v>535</v>
      </c>
      <c r="AE20" s="3">
        <f>$I$6*(50%-I24)/(J24-I24)+$J$6*(J24-50%)/(J24-I24)</f>
        <v>2.6029411764705883</v>
      </c>
    </row>
    <row r="21" spans="5:40" ht="15.6">
      <c r="E21" s="489" t="s">
        <v>87</v>
      </c>
      <c r="F21" s="382">
        <v>398</v>
      </c>
      <c r="G21" s="375">
        <v>0.14824120603015076</v>
      </c>
      <c r="H21" s="375">
        <v>0.31909547738693467</v>
      </c>
      <c r="I21" s="375">
        <v>0.49246231155778897</v>
      </c>
      <c r="J21" s="375">
        <v>0.68341708542713575</v>
      </c>
      <c r="K21" s="375">
        <v>0.78643216080402012</v>
      </c>
      <c r="L21" s="375">
        <v>0.85175879396984921</v>
      </c>
      <c r="M21" s="375">
        <v>0.90954773869346728</v>
      </c>
      <c r="N21" s="375">
        <v>0.9371859296482411</v>
      </c>
      <c r="O21" s="375">
        <v>0.97487437185929637</v>
      </c>
      <c r="P21" s="375">
        <v>0.98241206030150741</v>
      </c>
      <c r="Q21" s="375">
        <v>0.98492462311557771</v>
      </c>
      <c r="R21" s="375">
        <v>0.98492462311557771</v>
      </c>
      <c r="S21" s="375">
        <v>0.99246231155778875</v>
      </c>
      <c r="T21" s="375">
        <v>0.99748743718592947</v>
      </c>
      <c r="U21" s="375">
        <v>0.99999999999999978</v>
      </c>
      <c r="V21" s="375">
        <v>0.99999999999999978</v>
      </c>
      <c r="W21" s="375">
        <v>0.99999999999999978</v>
      </c>
      <c r="X21" s="375">
        <v>0.99999999999999978</v>
      </c>
      <c r="Y21" s="375">
        <v>0.99999999999999978</v>
      </c>
      <c r="Z21" s="375">
        <v>0.99999999999999978</v>
      </c>
      <c r="AA21" s="497">
        <v>0.99999999999999978</v>
      </c>
      <c r="AD21" s="3" t="s">
        <v>536</v>
      </c>
      <c r="AE21" s="556">
        <f>DR_SecGrp_Year!I10</f>
        <v>3.0515960650471789E-2</v>
      </c>
    </row>
    <row r="22" spans="5:40" ht="15.6">
      <c r="E22" s="491" t="s">
        <v>88</v>
      </c>
      <c r="F22" s="384">
        <v>429</v>
      </c>
      <c r="G22" s="374">
        <v>5.128205128205128E-2</v>
      </c>
      <c r="H22" s="374">
        <v>0.19580419580419578</v>
      </c>
      <c r="I22" s="374">
        <v>0.40792540792540788</v>
      </c>
      <c r="J22" s="374">
        <v>0.60139860139860135</v>
      </c>
      <c r="K22" s="374">
        <v>0.72960372960372954</v>
      </c>
      <c r="L22" s="374">
        <v>0.81351981351981351</v>
      </c>
      <c r="M22" s="374">
        <v>0.89277389277389274</v>
      </c>
      <c r="N22" s="374">
        <v>0.92307692307692302</v>
      </c>
      <c r="O22" s="374">
        <v>0.95337995337995329</v>
      </c>
      <c r="P22" s="374">
        <v>0.97668997668997659</v>
      </c>
      <c r="Q22" s="374">
        <v>0.98368298368298357</v>
      </c>
      <c r="R22" s="374">
        <v>0.98601398601398593</v>
      </c>
      <c r="S22" s="374">
        <v>0.99533799533799527</v>
      </c>
      <c r="T22" s="374">
        <v>0.99999999999999989</v>
      </c>
      <c r="U22" s="374">
        <v>0.99999999999999989</v>
      </c>
      <c r="V22" s="374">
        <v>0.99999999999999989</v>
      </c>
      <c r="W22" s="374">
        <v>0.99999999999999989</v>
      </c>
      <c r="X22" s="374">
        <v>0.99999999999999989</v>
      </c>
      <c r="Y22" s="374">
        <v>0.99999999999999989</v>
      </c>
      <c r="Z22" s="374">
        <v>0.99999999999999989</v>
      </c>
      <c r="AA22" s="498">
        <v>0.99999999999999989</v>
      </c>
      <c r="AD22" s="3" t="s">
        <v>538</v>
      </c>
      <c r="AE22" s="557">
        <f>G24/$Q24</f>
        <v>5.978260869565219E-2</v>
      </c>
      <c r="AF22" s="557">
        <f t="shared" ref="AF22:AN22" si="20">H24/$Q24</f>
        <v>0.19565217391304351</v>
      </c>
      <c r="AG22" s="557">
        <f t="shared" si="20"/>
        <v>0.4293478260869566</v>
      </c>
      <c r="AH22" s="557">
        <f t="shared" si="20"/>
        <v>0.61413043478260876</v>
      </c>
      <c r="AI22" s="557">
        <f t="shared" si="20"/>
        <v>0.75543478260869579</v>
      </c>
      <c r="AJ22" s="557">
        <f t="shared" si="20"/>
        <v>0.84239130434782616</v>
      </c>
      <c r="AK22" s="557">
        <f t="shared" si="20"/>
        <v>0.90760869565217406</v>
      </c>
      <c r="AL22" s="557">
        <f t="shared" si="20"/>
        <v>0.92391304347826098</v>
      </c>
      <c r="AM22" s="557">
        <f t="shared" si="20"/>
        <v>0.95652173913043492</v>
      </c>
      <c r="AN22" s="557">
        <f t="shared" si="20"/>
        <v>0.99456521739130443</v>
      </c>
    </row>
    <row r="23" spans="5:40" ht="15.6">
      <c r="E23" s="489" t="s">
        <v>89</v>
      </c>
      <c r="F23" s="382">
        <v>154</v>
      </c>
      <c r="G23" s="375">
        <v>5.1948051948051951E-2</v>
      </c>
      <c r="H23" s="375">
        <v>0.24675324675324678</v>
      </c>
      <c r="I23" s="375">
        <v>0.47402597402597402</v>
      </c>
      <c r="J23" s="375">
        <v>0.64285714285714279</v>
      </c>
      <c r="K23" s="375">
        <v>0.76623376623376616</v>
      </c>
      <c r="L23" s="375">
        <v>0.83766233766233755</v>
      </c>
      <c r="M23" s="375">
        <v>0.87662337662337653</v>
      </c>
      <c r="N23" s="375">
        <v>0.90259740259740251</v>
      </c>
      <c r="O23" s="375">
        <v>0.94155844155844148</v>
      </c>
      <c r="P23" s="375">
        <v>0.95454545454545447</v>
      </c>
      <c r="Q23" s="375">
        <v>0.96103896103896091</v>
      </c>
      <c r="R23" s="375">
        <v>0.97402597402597391</v>
      </c>
      <c r="S23" s="375">
        <v>0.98051948051948035</v>
      </c>
      <c r="T23" s="375">
        <v>0.98701298701298679</v>
      </c>
      <c r="U23" s="375">
        <v>0.99350649350649323</v>
      </c>
      <c r="V23" s="375">
        <v>0.99999999999999967</v>
      </c>
      <c r="W23" s="375">
        <v>0.99999999999999967</v>
      </c>
      <c r="X23" s="375">
        <v>0.99999999999999967</v>
      </c>
      <c r="Y23" s="375">
        <v>0.99999999999999967</v>
      </c>
      <c r="Z23" s="375">
        <v>0.99999999999999967</v>
      </c>
      <c r="AA23" s="497">
        <v>0.99999999999999967</v>
      </c>
      <c r="AD23" s="3" t="s">
        <v>537</v>
      </c>
      <c r="AE23" s="3">
        <v>1</v>
      </c>
      <c r="AF23" s="3">
        <v>2</v>
      </c>
      <c r="AG23" s="3">
        <v>3</v>
      </c>
      <c r="AH23" s="3">
        <v>4</v>
      </c>
      <c r="AI23" s="3">
        <v>5</v>
      </c>
      <c r="AJ23" s="3">
        <v>6</v>
      </c>
      <c r="AK23" s="3">
        <v>7</v>
      </c>
      <c r="AL23" s="3">
        <v>8</v>
      </c>
      <c r="AM23" s="3">
        <v>9</v>
      </c>
      <c r="AN23" s="3">
        <v>10</v>
      </c>
    </row>
    <row r="24" spans="5:40" ht="15.6">
      <c r="E24" s="491" t="s">
        <v>90</v>
      </c>
      <c r="F24" s="384">
        <v>185</v>
      </c>
      <c r="G24" s="374">
        <v>5.9459459459459463E-2</v>
      </c>
      <c r="H24" s="374">
        <v>0.19459459459459461</v>
      </c>
      <c r="I24" s="374">
        <v>0.42702702702702705</v>
      </c>
      <c r="J24" s="374">
        <v>0.61081081081081079</v>
      </c>
      <c r="K24" s="374">
        <v>0.75135135135135134</v>
      </c>
      <c r="L24" s="374">
        <v>0.83783783783783783</v>
      </c>
      <c r="M24" s="374">
        <v>0.9027027027027027</v>
      </c>
      <c r="N24" s="374">
        <v>0.91891891891891886</v>
      </c>
      <c r="O24" s="374">
        <v>0.95135135135135129</v>
      </c>
      <c r="P24" s="374">
        <v>0.98918918918918908</v>
      </c>
      <c r="Q24" s="374">
        <v>0.99459459459459443</v>
      </c>
      <c r="R24" s="374">
        <v>0.99459459459459443</v>
      </c>
      <c r="S24" s="374">
        <v>0.99999999999999978</v>
      </c>
      <c r="T24" s="374">
        <v>0.99999999999999978</v>
      </c>
      <c r="U24" s="374">
        <v>0.99999999999999978</v>
      </c>
      <c r="V24" s="374">
        <v>0.99999999999999978</v>
      </c>
      <c r="W24" s="374">
        <v>0.99999999999999978</v>
      </c>
      <c r="X24" s="374">
        <v>0.99999999999999978</v>
      </c>
      <c r="Y24" s="374">
        <v>0.99999999999999978</v>
      </c>
      <c r="Z24" s="374">
        <v>0.99999999999999978</v>
      </c>
      <c r="AA24" s="498">
        <v>0.99999999999999978</v>
      </c>
      <c r="AE24" s="561">
        <f>$AE21*(1+(AE22-50%))</f>
        <v>1.7082304059774969E-2</v>
      </c>
      <c r="AF24" s="561">
        <f t="shared" ref="AF24:AG24" si="21">$AE21*(1+(AF22-50%))</f>
        <v>2.1228494365545591E-2</v>
      </c>
      <c r="AG24" s="561">
        <f t="shared" si="21"/>
        <v>2.8359941691471064E-2</v>
      </c>
      <c r="AH24" s="561">
        <f>$AE21*(1+(AH22-50%))</f>
        <v>3.399876050731912E-2</v>
      </c>
      <c r="AI24" s="561">
        <f t="shared" ref="AI24:AN24" si="22">$AE21*(1+(AI22-50%))</f>
        <v>3.8310798425320564E-2</v>
      </c>
      <c r="AJ24" s="561">
        <f t="shared" si="22"/>
        <v>4.0964360221013761E-2</v>
      </c>
      <c r="AK24" s="561">
        <f t="shared" si="22"/>
        <v>4.2954531567783664E-2</v>
      </c>
      <c r="AL24" s="561">
        <f t="shared" si="22"/>
        <v>4.345207440447614E-2</v>
      </c>
      <c r="AM24" s="561">
        <f t="shared" si="22"/>
        <v>4.4447160077861092E-2</v>
      </c>
      <c r="AN24" s="561">
        <f t="shared" si="22"/>
        <v>4.5608093363476862E-2</v>
      </c>
    </row>
    <row r="25" spans="5:40" ht="15.6">
      <c r="E25" s="489" t="s">
        <v>91</v>
      </c>
      <c r="F25" s="382">
        <v>185</v>
      </c>
      <c r="G25" s="375">
        <v>4.8648648648648651E-2</v>
      </c>
      <c r="H25" s="375">
        <v>0.22702702702702704</v>
      </c>
      <c r="I25" s="375">
        <v>0.42162162162162165</v>
      </c>
      <c r="J25" s="375">
        <v>0.57837837837837847</v>
      </c>
      <c r="K25" s="375">
        <v>0.71351351351351355</v>
      </c>
      <c r="L25" s="375">
        <v>0.8</v>
      </c>
      <c r="M25" s="375">
        <v>0.87567567567567572</v>
      </c>
      <c r="N25" s="375">
        <v>0.91351351351351351</v>
      </c>
      <c r="O25" s="375">
        <v>0.94054054054054048</v>
      </c>
      <c r="P25" s="375">
        <v>0.94594594594594583</v>
      </c>
      <c r="Q25" s="375">
        <v>0.94594594594594583</v>
      </c>
      <c r="R25" s="375">
        <v>0.95675675675675664</v>
      </c>
      <c r="S25" s="375">
        <v>0.96756756756756745</v>
      </c>
      <c r="T25" s="375">
        <v>0.97837837837837827</v>
      </c>
      <c r="U25" s="375">
        <v>0.98918918918918908</v>
      </c>
      <c r="V25" s="375">
        <v>0.99459459459459443</v>
      </c>
      <c r="W25" s="375">
        <v>0.99999999999999978</v>
      </c>
      <c r="X25" s="375">
        <v>0.99999999999999978</v>
      </c>
      <c r="Y25" s="375">
        <v>0.99999999999999978</v>
      </c>
      <c r="Z25" s="375">
        <v>0.99999999999999978</v>
      </c>
      <c r="AA25" s="497">
        <v>0.99999999999999978</v>
      </c>
      <c r="AD25" s="3" t="s">
        <v>133</v>
      </c>
      <c r="AE25" s="560">
        <f>$AQ$3/$AP$3*AE24</f>
        <v>1.0311326244150432E-2</v>
      </c>
      <c r="AF25" s="560">
        <f t="shared" ref="AF25" si="23">$AQ$3/$AP$3*AF24</f>
        <v>1.2814075332536456E-2</v>
      </c>
      <c r="AG25" s="560">
        <f t="shared" ref="AG25" si="24">$AQ$3/$AP$3*AG24</f>
        <v>1.7118803764560424E-2</v>
      </c>
      <c r="AH25" s="560">
        <f t="shared" ref="AH25" si="25">$AQ$3/$AP$3*AH24</f>
        <v>2.0522542524765423E-2</v>
      </c>
      <c r="AI25" s="560">
        <f t="shared" ref="AI25" si="26">$AQ$3/$AP$3*AI24</f>
        <v>2.312540157668689E-2</v>
      </c>
      <c r="AJ25" s="560">
        <f t="shared" ref="AJ25" si="27">$AQ$3/$AP$3*AJ24</f>
        <v>2.4727160993253946E-2</v>
      </c>
      <c r="AK25" s="560">
        <f t="shared" ref="AK25" si="28">$AQ$3/$AP$3*AK24</f>
        <v>2.5928480555679242E-2</v>
      </c>
      <c r="AL25" s="560">
        <f t="shared" ref="AL25" si="29">$AQ$3/$AP$3*AL24</f>
        <v>2.6228810446285566E-2</v>
      </c>
      <c r="AM25" s="560">
        <f t="shared" ref="AM25" si="30">$AQ$3/$AP$3*AM24</f>
        <v>2.6829470227498212E-2</v>
      </c>
      <c r="AN25" s="560">
        <f t="shared" ref="AN25" si="31">$AQ$3/$AP$3*AN24</f>
        <v>2.7530239972246299E-2</v>
      </c>
    </row>
    <row r="26" spans="5:40" ht="25.2" customHeight="1">
      <c r="E26" s="493" t="s">
        <v>230</v>
      </c>
      <c r="F26" s="494">
        <v>2401</v>
      </c>
      <c r="G26" s="499">
        <v>6.7471886713869222E-2</v>
      </c>
      <c r="H26" s="499">
        <v>0.221990837151187</v>
      </c>
      <c r="I26" s="499">
        <v>0.42149104539775095</v>
      </c>
      <c r="J26" s="499">
        <v>0.59600166597251147</v>
      </c>
      <c r="K26" s="499">
        <v>0.70970428987921697</v>
      </c>
      <c r="L26" s="499">
        <v>0.79008746355685133</v>
      </c>
      <c r="M26" s="499">
        <v>0.85714285714285721</v>
      </c>
      <c r="N26" s="499">
        <v>0.89421074552269897</v>
      </c>
      <c r="O26" s="499">
        <v>0.93252811328613083</v>
      </c>
      <c r="P26" s="499">
        <v>0.95251978342357357</v>
      </c>
      <c r="Q26" s="499">
        <v>0.96626405664306547</v>
      </c>
      <c r="R26" s="499">
        <v>0.97459391920033323</v>
      </c>
      <c r="S26" s="499">
        <v>0.98375676801332779</v>
      </c>
      <c r="T26" s="499">
        <v>0.99000416493127863</v>
      </c>
      <c r="U26" s="499">
        <v>0.99375260308204916</v>
      </c>
      <c r="V26" s="499">
        <v>0.99583506872136607</v>
      </c>
      <c r="W26" s="499">
        <v>0.99833402748854638</v>
      </c>
      <c r="X26" s="499">
        <v>0.99875052061640979</v>
      </c>
      <c r="Y26" s="499">
        <v>0.99875052061640979</v>
      </c>
      <c r="Z26" s="499">
        <v>0.99875052061640979</v>
      </c>
      <c r="AA26" s="500">
        <v>1</v>
      </c>
      <c r="AD26" s="3" t="s">
        <v>539</v>
      </c>
      <c r="AE26" s="560">
        <f>$AR$3/$AP$3*AE24</f>
        <v>1.8478837479332332E-2</v>
      </c>
      <c r="AF26" s="560">
        <f t="shared" ref="AF26:AN26" si="32">$AR$3/$AP$3*AF24</f>
        <v>2.2963992207325618E-2</v>
      </c>
      <c r="AG26" s="560">
        <f t="shared" si="32"/>
        <v>3.0678458339474066E-2</v>
      </c>
      <c r="AH26" s="560">
        <f t="shared" si="32"/>
        <v>3.6778268769544945E-2</v>
      </c>
      <c r="AI26" s="560">
        <f t="shared" si="32"/>
        <v>4.1442829686657953E-2</v>
      </c>
      <c r="AJ26" s="560">
        <f t="shared" si="32"/>
        <v>4.4313328712573652E-2</v>
      </c>
      <c r="AK26" s="560">
        <f t="shared" si="32"/>
        <v>4.6466202982010436E-2</v>
      </c>
      <c r="AL26" s="560">
        <f t="shared" si="32"/>
        <v>4.7004421549369631E-2</v>
      </c>
      <c r="AM26" s="560">
        <f t="shared" si="32"/>
        <v>4.8080858684088019E-2</v>
      </c>
      <c r="AN26" s="560">
        <f t="shared" si="32"/>
        <v>4.9336702007926135E-2</v>
      </c>
    </row>
    <row r="27" spans="5:40">
      <c r="E27" s="486"/>
      <c r="F27" s="486"/>
      <c r="G27" s="486"/>
      <c r="H27" s="486"/>
      <c r="I27" s="486"/>
      <c r="J27" s="486"/>
      <c r="K27" s="486"/>
      <c r="L27" s="486"/>
      <c r="M27" s="486"/>
      <c r="N27" s="486"/>
      <c r="O27" s="486"/>
      <c r="P27" s="486"/>
      <c r="Q27" s="486"/>
      <c r="R27" s="486"/>
      <c r="S27" s="486"/>
      <c r="T27" s="486"/>
      <c r="U27" s="486"/>
      <c r="V27" s="486"/>
      <c r="W27" s="486"/>
      <c r="X27" s="486"/>
      <c r="Y27" s="486"/>
      <c r="Z27" s="486"/>
      <c r="AA27" s="486"/>
    </row>
    <row r="28" spans="5:40" ht="13.2" customHeight="1">
      <c r="E28" s="485" t="s">
        <v>231</v>
      </c>
      <c r="F28" s="466"/>
      <c r="G28" s="466"/>
      <c r="H28" s="466"/>
      <c r="I28" s="466"/>
      <c r="J28" s="466"/>
      <c r="K28" s="466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  <c r="AA28" s="466"/>
      <c r="AD28" s="551" t="s">
        <v>541</v>
      </c>
    </row>
    <row r="29" spans="5:40">
      <c r="AD29" s="3" t="s">
        <v>535</v>
      </c>
      <c r="AE29" s="3" t="e">
        <f>$I$6*(50%-I33)/(J33-I33)+$J$6*(J33-50%)/(J33-I33)</f>
        <v>#DIV/0!</v>
      </c>
    </row>
    <row r="30" spans="5:40">
      <c r="AD30" s="3" t="s">
        <v>536</v>
      </c>
      <c r="AE30" s="556">
        <f>DR_GICS!I21</f>
        <v>3.5393608598237897E-2</v>
      </c>
    </row>
    <row r="31" spans="5:40">
      <c r="AD31" s="3" t="s">
        <v>538</v>
      </c>
      <c r="AE31" s="557">
        <f>G26/$Q26</f>
        <v>6.9827586206896552E-2</v>
      </c>
      <c r="AF31" s="557">
        <f t="shared" ref="AF31:AN31" si="33">H26/$Q26</f>
        <v>0.2297413793103448</v>
      </c>
      <c r="AG31" s="557">
        <f t="shared" si="33"/>
        <v>0.43620689655172412</v>
      </c>
      <c r="AH31" s="557">
        <f t="shared" si="33"/>
        <v>0.61681034482758612</v>
      </c>
      <c r="AI31" s="557">
        <f t="shared" si="33"/>
        <v>0.73448275862068957</v>
      </c>
      <c r="AJ31" s="557">
        <f t="shared" si="33"/>
        <v>0.8176724137931034</v>
      </c>
      <c r="AK31" s="557">
        <f t="shared" si="33"/>
        <v>0.88706896551724135</v>
      </c>
      <c r="AL31" s="557">
        <f t="shared" si="33"/>
        <v>0.92543103448275865</v>
      </c>
      <c r="AM31" s="557">
        <f t="shared" si="33"/>
        <v>0.96508620689655167</v>
      </c>
      <c r="AN31" s="557">
        <f t="shared" si="33"/>
        <v>0.9857758620689655</v>
      </c>
    </row>
    <row r="32" spans="5:40">
      <c r="AD32" s="3" t="s">
        <v>537</v>
      </c>
      <c r="AE32" s="3">
        <v>1</v>
      </c>
      <c r="AF32" s="3">
        <v>2</v>
      </c>
      <c r="AG32" s="3">
        <v>3</v>
      </c>
      <c r="AH32" s="3">
        <v>4</v>
      </c>
      <c r="AI32" s="3">
        <v>5</v>
      </c>
      <c r="AJ32" s="3">
        <v>6</v>
      </c>
      <c r="AK32" s="3">
        <v>7</v>
      </c>
      <c r="AL32" s="3">
        <v>8</v>
      </c>
      <c r="AM32" s="3">
        <v>9</v>
      </c>
      <c r="AN32" s="3">
        <v>10</v>
      </c>
    </row>
    <row r="33" spans="30:40">
      <c r="AE33" s="561">
        <f>$AE30*(1+(AE31-50%))</f>
        <v>2.0168254554685561E-2</v>
      </c>
      <c r="AF33" s="561">
        <f t="shared" ref="AF33:AG33" si="34">$AE30*(1+(AF31-50%))</f>
        <v>2.58281807572486E-2</v>
      </c>
      <c r="AG33" s="561">
        <f t="shared" si="34"/>
        <v>3.3135740463522717E-2</v>
      </c>
      <c r="AH33" s="561">
        <f>$AE30*(1+(AH31-50%))</f>
        <v>3.9527948223290685E-2</v>
      </c>
      <c r="AI33" s="561">
        <f t="shared" ref="AI33:AN33" si="35">$AE30*(1+(AI31-50%))</f>
        <v>4.3692799579893679E-2</v>
      </c>
      <c r="AJ33" s="561">
        <f t="shared" si="35"/>
        <v>4.6637181674488465E-2</v>
      </c>
      <c r="AK33" s="561">
        <f t="shared" si="35"/>
        <v>4.9093376064279985E-2</v>
      </c>
      <c r="AL33" s="561">
        <f t="shared" si="35"/>
        <v>5.0451148118264101E-2</v>
      </c>
      <c r="AM33" s="561">
        <f t="shared" si="35"/>
        <v>5.185468776957354E-2</v>
      </c>
      <c r="AN33" s="561">
        <f t="shared" si="35"/>
        <v>5.2586969326778456E-2</v>
      </c>
    </row>
    <row r="34" spans="30:40">
      <c r="AD34" s="3" t="s">
        <v>133</v>
      </c>
      <c r="AE34" s="560">
        <f>$AQ$3/$AP$3*AE33</f>
        <v>1.2174086807068298E-2</v>
      </c>
      <c r="AF34" s="560">
        <f t="shared" ref="AF34:AN34" si="36">$AQ$3/$AP$3*AF33</f>
        <v>1.5590566538855238E-2</v>
      </c>
      <c r="AG34" s="560">
        <f t="shared" si="36"/>
        <v>2.0001601017361832E-2</v>
      </c>
      <c r="AH34" s="560">
        <f t="shared" si="36"/>
        <v>2.3860105081024176E-2</v>
      </c>
      <c r="AI34" s="560">
        <f t="shared" si="36"/>
        <v>2.6374118468565511E-2</v>
      </c>
      <c r="AJ34" s="560">
        <f t="shared" si="36"/>
        <v>2.8151424636314509E-2</v>
      </c>
      <c r="AK34" s="560">
        <f t="shared" si="36"/>
        <v>2.9634047916146586E-2</v>
      </c>
      <c r="AL34" s="560">
        <f t="shared" si="36"/>
        <v>3.045363469816555E-2</v>
      </c>
      <c r="AM34" s="560">
        <f t="shared" si="36"/>
        <v>3.1300848000926737E-2</v>
      </c>
      <c r="AN34" s="560">
        <f t="shared" si="36"/>
        <v>3.1742872332802131E-2</v>
      </c>
    </row>
    <row r="35" spans="30:40">
      <c r="AD35" s="3" t="s">
        <v>539</v>
      </c>
      <c r="AE35" s="560">
        <f>$AR$3/$AP$3*AE33</f>
        <v>2.1817074374377347E-2</v>
      </c>
      <c r="AF35" s="560">
        <f t="shared" ref="AF35:AN35" si="37">$AR$3/$AP$3*AF33</f>
        <v>2.7939717788064176E-2</v>
      </c>
      <c r="AG35" s="560">
        <f t="shared" si="37"/>
        <v>3.5844694055331007E-2</v>
      </c>
      <c r="AH35" s="560">
        <f t="shared" si="37"/>
        <v>4.2759485403942282E-2</v>
      </c>
      <c r="AI35" s="560">
        <f t="shared" si="37"/>
        <v>4.7264826783825049E-2</v>
      </c>
      <c r="AJ35" s="560">
        <f t="shared" si="37"/>
        <v>5.0449921605500408E-2</v>
      </c>
      <c r="AK35" s="560">
        <f t="shared" si="37"/>
        <v>5.3106917803892817E-2</v>
      </c>
      <c r="AL35" s="560">
        <f t="shared" si="37"/>
        <v>5.4575692099898543E-2</v>
      </c>
      <c r="AM35" s="560">
        <f t="shared" si="37"/>
        <v>5.609397564183706E-2</v>
      </c>
      <c r="AN35" s="560">
        <f t="shared" si="37"/>
        <v>5.6886123576761496E-2</v>
      </c>
    </row>
  </sheetData>
  <mergeCells count="8">
    <mergeCell ref="E4:E6"/>
    <mergeCell ref="F4:AA4"/>
    <mergeCell ref="F5:F6"/>
    <mergeCell ref="G5:AA5"/>
    <mergeCell ref="E16:E18"/>
    <mergeCell ref="F16:F18"/>
    <mergeCell ref="G16:AA16"/>
    <mergeCell ref="G17:AA17"/>
  </mergeCells>
  <pageMargins left="0.7" right="0.7" top="0.75" bottom="0.75" header="0.3" footer="0.3"/>
  <pageSetup orientation="portrait" r:id="rId1"/>
  <headerFooter>
    <oddHeader>&amp;C&amp;"Calibri"&amp;10&amp;K808080 Corporate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43F5-7CB3-4EE2-9927-63EAD3E6A2B9}">
  <dimension ref="C1:O49"/>
  <sheetViews>
    <sheetView topLeftCell="A4" workbookViewId="0">
      <selection activeCell="U16" sqref="U16"/>
    </sheetView>
  </sheetViews>
  <sheetFormatPr defaultColWidth="9.296875" defaultRowHeight="14.4" outlineLevelRow="1"/>
  <cols>
    <col min="1" max="1" width="3.296875" style="3" customWidth="1"/>
    <col min="2" max="2" width="7" style="3" customWidth="1"/>
    <col min="3" max="3" width="30.69921875" style="3" customWidth="1"/>
    <col min="4" max="6" width="11.59765625" style="3" customWidth="1"/>
    <col min="7" max="7" width="12.69921875" style="3" customWidth="1"/>
    <col min="8" max="8" width="11.59765625" style="3" customWidth="1"/>
    <col min="9" max="11" width="12.69921875" style="3" customWidth="1"/>
    <col min="12" max="15" width="13.59765625" style="3" hidden="1" customWidth="1"/>
    <col min="16" max="17" width="13.59765625" style="3" customWidth="1"/>
    <col min="18" max="16384" width="9.296875" style="3"/>
  </cols>
  <sheetData>
    <row r="1" spans="3:14" hidden="1">
      <c r="I1" s="3" t="s">
        <v>236</v>
      </c>
      <c r="J1" s="3" t="s">
        <v>14</v>
      </c>
    </row>
    <row r="2" spans="3:14" hidden="1">
      <c r="D2" s="3">
        <v>2</v>
      </c>
      <c r="E2" s="3">
        <v>4</v>
      </c>
      <c r="F2" s="3">
        <v>5</v>
      </c>
      <c r="G2" s="3">
        <v>6</v>
      </c>
      <c r="H2" s="3">
        <v>3</v>
      </c>
      <c r="I2" s="3">
        <v>15</v>
      </c>
      <c r="J2" s="3">
        <v>13</v>
      </c>
      <c r="K2" s="3">
        <v>16</v>
      </c>
    </row>
    <row r="3" spans="3:14" hidden="1">
      <c r="D3" s="3" t="s">
        <v>92</v>
      </c>
      <c r="E3" s="3" t="s">
        <v>93</v>
      </c>
      <c r="F3" s="3" t="s">
        <v>28</v>
      </c>
      <c r="G3" s="3" t="s">
        <v>94</v>
      </c>
      <c r="H3" s="3" t="s">
        <v>95</v>
      </c>
      <c r="I3" s="3" t="s">
        <v>96</v>
      </c>
      <c r="J3" s="3" t="s">
        <v>97</v>
      </c>
      <c r="K3" s="3" t="s">
        <v>98</v>
      </c>
    </row>
    <row r="5" spans="3:14">
      <c r="C5" s="36" t="s">
        <v>370</v>
      </c>
    </row>
    <row r="7" spans="3:14" s="43" customFormat="1" ht="51" customHeight="1">
      <c r="C7" s="378" t="s">
        <v>99</v>
      </c>
      <c r="D7" s="52" t="s">
        <v>0</v>
      </c>
      <c r="E7" s="52" t="s">
        <v>1</v>
      </c>
      <c r="F7" s="52" t="s">
        <v>2</v>
      </c>
      <c r="G7" s="52" t="s">
        <v>3</v>
      </c>
      <c r="H7" s="52" t="s">
        <v>4</v>
      </c>
      <c r="I7" s="52" t="str">
        <f>DR_GICS!H7</f>
        <v>Lower of 90% confidence interval</v>
      </c>
      <c r="J7" s="52" t="s">
        <v>14</v>
      </c>
      <c r="K7" s="52" t="str">
        <f>DR_GICS!J7</f>
        <v>Upper of 90% confidence interval</v>
      </c>
    </row>
    <row r="8" spans="3:14">
      <c r="C8" s="376" t="s">
        <v>76</v>
      </c>
      <c r="D8" s="76">
        <v>927</v>
      </c>
      <c r="E8" s="76">
        <v>31</v>
      </c>
      <c r="F8" s="76">
        <v>184</v>
      </c>
      <c r="G8" s="76">
        <v>4732</v>
      </c>
      <c r="H8" s="76">
        <v>41675.261039353507</v>
      </c>
      <c r="I8" s="390">
        <v>2.8857067941490389E-2</v>
      </c>
      <c r="J8" s="77">
        <v>3.888419273034658E-2</v>
      </c>
      <c r="K8" s="390">
        <v>4.8911317519202767E-2</v>
      </c>
      <c r="L8" s="3">
        <f t="shared" ref="L8" si="0">IF(ISERROR(K8),IF(M8="Grey",2,1),0)</f>
        <v>0</v>
      </c>
      <c r="N8" s="3" t="s">
        <v>76</v>
      </c>
    </row>
    <row r="9" spans="3:14" ht="28.8">
      <c r="C9" s="402" t="s">
        <v>100</v>
      </c>
      <c r="D9" s="74">
        <v>3543</v>
      </c>
      <c r="E9" s="74">
        <v>31</v>
      </c>
      <c r="F9" s="74">
        <v>573</v>
      </c>
      <c r="G9" s="74">
        <v>20888</v>
      </c>
      <c r="H9" s="74">
        <v>141719.33448161767</v>
      </c>
      <c r="I9" s="391">
        <v>2.2873680076258351E-2</v>
      </c>
      <c r="J9" s="75">
        <v>2.7432018383761012E-2</v>
      </c>
      <c r="K9" s="391">
        <v>3.1990356691263669E-2</v>
      </c>
      <c r="L9" s="3">
        <f>IF(ISERROR(K9),IF(M9="Grey",2,1),0)</f>
        <v>0</v>
      </c>
      <c r="M9" s="3" t="s">
        <v>101</v>
      </c>
      <c r="N9" s="3" t="s">
        <v>77</v>
      </c>
    </row>
    <row r="10" spans="3:14">
      <c r="C10" s="401" t="s">
        <v>78</v>
      </c>
      <c r="D10" s="76">
        <v>2305</v>
      </c>
      <c r="E10" s="76">
        <v>31</v>
      </c>
      <c r="F10" s="76">
        <v>372</v>
      </c>
      <c r="G10" s="76">
        <v>12771</v>
      </c>
      <c r="H10" s="76">
        <v>94129.924021698287</v>
      </c>
      <c r="I10" s="390">
        <v>2.2759131733658951E-2</v>
      </c>
      <c r="J10" s="77">
        <v>2.9128494244773311E-2</v>
      </c>
      <c r="K10" s="390">
        <v>3.549785675588768E-2</v>
      </c>
      <c r="L10" s="3">
        <f t="shared" ref="L10:L15" si="1">IF(ISERROR(K10),IF(M10="Grey",2,1),0)</f>
        <v>0</v>
      </c>
      <c r="N10" s="3" t="s">
        <v>78</v>
      </c>
    </row>
    <row r="11" spans="3:14" ht="28.8">
      <c r="C11" s="402" t="s">
        <v>102</v>
      </c>
      <c r="D11" s="74">
        <v>704</v>
      </c>
      <c r="E11" s="74">
        <v>31</v>
      </c>
      <c r="F11" s="74">
        <v>148</v>
      </c>
      <c r="G11" s="74">
        <v>4361</v>
      </c>
      <c r="H11" s="74">
        <v>31100.473263677981</v>
      </c>
      <c r="I11" s="391">
        <v>2.6116049438902712E-2</v>
      </c>
      <c r="J11" s="75">
        <v>3.3937170373767478E-2</v>
      </c>
      <c r="K11" s="391">
        <v>4.1758291308632262E-2</v>
      </c>
      <c r="L11" s="3">
        <f t="shared" si="1"/>
        <v>0</v>
      </c>
      <c r="M11" s="3" t="s">
        <v>101</v>
      </c>
      <c r="N11" s="3" t="s">
        <v>79</v>
      </c>
    </row>
    <row r="12" spans="3:14" hidden="1" outlineLevel="1">
      <c r="C12" s="376" t="s">
        <v>103</v>
      </c>
      <c r="D12" s="76" t="e">
        <v>#N/A</v>
      </c>
      <c r="E12" s="76" t="e">
        <v>#N/A</v>
      </c>
      <c r="F12" s="76" t="e">
        <v>#N/A</v>
      </c>
      <c r="G12" s="76" t="e">
        <v>#N/A</v>
      </c>
      <c r="H12" s="76" t="e">
        <v>#N/A</v>
      </c>
      <c r="I12" s="390" t="e">
        <v>#N/A</v>
      </c>
      <c r="J12" s="77" t="e">
        <v>#N/A</v>
      </c>
      <c r="K12" s="390" t="e">
        <v>#N/A</v>
      </c>
      <c r="L12" s="3">
        <f t="shared" si="1"/>
        <v>1</v>
      </c>
      <c r="N12" s="3" t="s">
        <v>103</v>
      </c>
    </row>
    <row r="13" spans="3:14" collapsed="1">
      <c r="C13" s="376" t="s">
        <v>80</v>
      </c>
      <c r="D13" s="76">
        <v>898</v>
      </c>
      <c r="E13" s="76">
        <v>31</v>
      </c>
      <c r="F13" s="76">
        <v>158</v>
      </c>
      <c r="G13" s="76">
        <v>4823</v>
      </c>
      <c r="H13" s="76">
        <v>33901.5368605931</v>
      </c>
      <c r="I13" s="390">
        <v>2.1954205423444392E-2</v>
      </c>
      <c r="J13" s="77">
        <v>3.2759693137051633E-2</v>
      </c>
      <c r="K13" s="390">
        <v>4.3565180850658858E-2</v>
      </c>
      <c r="L13" s="3">
        <f t="shared" si="1"/>
        <v>0</v>
      </c>
      <c r="N13" s="3" t="s">
        <v>80</v>
      </c>
    </row>
    <row r="14" spans="3:14">
      <c r="C14" s="377" t="s">
        <v>81</v>
      </c>
      <c r="D14" s="74">
        <v>1800</v>
      </c>
      <c r="E14" s="74">
        <v>31</v>
      </c>
      <c r="F14" s="74">
        <v>626</v>
      </c>
      <c r="G14" s="74">
        <v>10348</v>
      </c>
      <c r="H14" s="74">
        <v>75299.379951494891</v>
      </c>
      <c r="I14" s="391">
        <v>5.4642712644265512E-2</v>
      </c>
      <c r="J14" s="75">
        <v>6.0494781600309237E-2</v>
      </c>
      <c r="K14" s="391">
        <v>6.6346850556352976E-2</v>
      </c>
      <c r="L14" s="3">
        <f t="shared" si="1"/>
        <v>0</v>
      </c>
      <c r="M14" s="3" t="s">
        <v>101</v>
      </c>
      <c r="N14" s="3" t="s">
        <v>81</v>
      </c>
    </row>
    <row r="15" spans="3:14" hidden="1" outlineLevel="1">
      <c r="C15" s="376" t="s">
        <v>104</v>
      </c>
      <c r="D15" s="76">
        <v>299</v>
      </c>
      <c r="E15" s="76">
        <v>28</v>
      </c>
      <c r="F15" s="76">
        <v>40</v>
      </c>
      <c r="G15" s="76">
        <v>1438</v>
      </c>
      <c r="H15" s="76">
        <v>28534.94123057332</v>
      </c>
      <c r="I15" s="390">
        <v>1.9220093855779889E-2</v>
      </c>
      <c r="J15" s="77">
        <v>2.7816411682892912E-2</v>
      </c>
      <c r="K15" s="390">
        <v>3.6412729510005917E-2</v>
      </c>
      <c r="L15" s="3">
        <f t="shared" si="1"/>
        <v>0</v>
      </c>
      <c r="M15" s="53"/>
      <c r="N15" s="3" t="s">
        <v>82</v>
      </c>
    </row>
    <row r="16" spans="3:14" s="17" customFormat="1" ht="21" customHeight="1" collapsed="1">
      <c r="C16" s="392" t="s">
        <v>105</v>
      </c>
      <c r="D16" s="393">
        <v>10476</v>
      </c>
      <c r="E16" s="393">
        <v>31</v>
      </c>
      <c r="F16" s="393">
        <v>2101</v>
      </c>
      <c r="G16" s="393">
        <v>59361</v>
      </c>
      <c r="H16" s="393">
        <v>446360.85084900609</v>
      </c>
      <c r="I16" s="394">
        <v>3.1889332934405899E-2</v>
      </c>
      <c r="J16" s="394">
        <v>3.5393608598237897E-2</v>
      </c>
      <c r="K16" s="394">
        <v>3.8897884262069908E-2</v>
      </c>
    </row>
    <row r="18" spans="3:3">
      <c r="C18" s="36" t="s">
        <v>371</v>
      </c>
    </row>
    <row r="49" spans="3:3">
      <c r="C49" s="36"/>
    </row>
  </sheetData>
  <sortState xmlns:xlrd2="http://schemas.microsoft.com/office/spreadsheetml/2017/richdata2" ref="A8:A15">
    <sortCondition ref="A8:A15"/>
  </sortState>
  <conditionalFormatting sqref="D8:K15">
    <cfRule type="expression" dxfId="36" priority="1">
      <formula>$L8=2</formula>
    </cfRule>
    <cfRule type="expression" dxfId="35" priority="2">
      <formula>$L8=1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4953-8922-4143-BF28-71233923933F}">
  <dimension ref="B2:I41"/>
  <sheetViews>
    <sheetView workbookViewId="0">
      <selection activeCell="O25" sqref="O25"/>
    </sheetView>
  </sheetViews>
  <sheetFormatPr defaultRowHeight="13.8"/>
  <cols>
    <col min="1" max="2" width="4.59765625" customWidth="1"/>
    <col min="3" max="3" width="15.59765625" style="92" customWidth="1"/>
    <col min="4" max="5" width="14" customWidth="1"/>
    <col min="6" max="6" width="14.8984375" customWidth="1"/>
    <col min="7" max="9" width="14" customWidth="1"/>
  </cols>
  <sheetData>
    <row r="2" spans="2:9">
      <c r="C2" s="235" t="s">
        <v>372</v>
      </c>
    </row>
    <row r="4" spans="2:9" ht="37.950000000000003" customHeight="1">
      <c r="B4" s="246"/>
      <c r="C4" s="403" t="s">
        <v>106</v>
      </c>
      <c r="D4" s="404" t="s">
        <v>76</v>
      </c>
      <c r="E4" s="404" t="s">
        <v>77</v>
      </c>
      <c r="F4" s="404" t="s">
        <v>78</v>
      </c>
      <c r="G4" s="404" t="s">
        <v>79</v>
      </c>
      <c r="H4" s="404" t="s">
        <v>80</v>
      </c>
      <c r="I4" s="404" t="s">
        <v>81</v>
      </c>
    </row>
    <row r="5" spans="2:9" hidden="1">
      <c r="B5" s="246"/>
      <c r="C5" s="405"/>
      <c r="D5" s="406"/>
      <c r="E5" s="406"/>
      <c r="F5" s="406"/>
      <c r="G5" s="406"/>
      <c r="H5" s="406"/>
      <c r="I5" s="406"/>
    </row>
    <row r="6" spans="2:9">
      <c r="B6" s="246"/>
      <c r="C6" s="407" t="s">
        <v>93</v>
      </c>
      <c r="D6" s="98">
        <v>31</v>
      </c>
      <c r="E6" s="98">
        <v>31</v>
      </c>
      <c r="F6" s="98">
        <v>31</v>
      </c>
      <c r="G6" s="98">
        <v>31</v>
      </c>
      <c r="H6" s="98">
        <v>31</v>
      </c>
      <c r="I6" s="98">
        <v>31</v>
      </c>
    </row>
    <row r="7" spans="2:9">
      <c r="B7" s="246"/>
      <c r="C7" s="407" t="s">
        <v>107</v>
      </c>
      <c r="D7" s="98">
        <v>927</v>
      </c>
      <c r="E7" s="98">
        <v>3543</v>
      </c>
      <c r="F7" s="98">
        <v>2305</v>
      </c>
      <c r="G7" s="98">
        <v>704</v>
      </c>
      <c r="H7" s="98">
        <v>898</v>
      </c>
      <c r="I7" s="98">
        <v>1800</v>
      </c>
    </row>
    <row r="8" spans="2:9">
      <c r="B8" s="246"/>
      <c r="C8" s="407" t="s">
        <v>28</v>
      </c>
      <c r="D8" s="98">
        <v>184</v>
      </c>
      <c r="E8" s="98">
        <v>573</v>
      </c>
      <c r="F8" s="98">
        <v>372</v>
      </c>
      <c r="G8" s="98">
        <v>148</v>
      </c>
      <c r="H8" s="98">
        <v>158</v>
      </c>
      <c r="I8" s="98">
        <v>626</v>
      </c>
    </row>
    <row r="9" spans="2:9">
      <c r="B9" s="246"/>
      <c r="C9" s="407" t="s">
        <v>94</v>
      </c>
      <c r="D9" s="98">
        <v>4732</v>
      </c>
      <c r="E9" s="98">
        <v>20888</v>
      </c>
      <c r="F9" s="98">
        <v>12771</v>
      </c>
      <c r="G9" s="98">
        <v>4361</v>
      </c>
      <c r="H9" s="98">
        <v>4823</v>
      </c>
      <c r="I9" s="98">
        <v>10348</v>
      </c>
    </row>
    <row r="10" spans="2:9" ht="27.6">
      <c r="B10" s="246"/>
      <c r="C10" s="404" t="s">
        <v>14</v>
      </c>
      <c r="D10" s="408">
        <v>3.888419273034658E-2</v>
      </c>
      <c r="E10" s="408">
        <v>2.7432018383761012E-2</v>
      </c>
      <c r="F10" s="408">
        <v>2.9128494244773311E-2</v>
      </c>
      <c r="G10" s="408">
        <v>3.3937170373767478E-2</v>
      </c>
      <c r="H10" s="408">
        <v>3.2759693137051633E-2</v>
      </c>
      <c r="I10" s="408">
        <v>6.0494781600309237E-2</v>
      </c>
    </row>
    <row r="11" spans="2:9">
      <c r="B11" s="246"/>
      <c r="C11" s="407">
        <v>1994</v>
      </c>
      <c r="D11" s="97">
        <v>2.3255813953488368E-2</v>
      </c>
      <c r="E11" s="97">
        <v>4.0816326530612242E-2</v>
      </c>
      <c r="F11" s="97">
        <v>1.020408163265306E-2</v>
      </c>
      <c r="G11" s="97">
        <v>6.8965517241379309E-2</v>
      </c>
      <c r="H11" s="97">
        <v>0</v>
      </c>
      <c r="I11" s="97">
        <v>3.4482758620689648E-2</v>
      </c>
    </row>
    <row r="12" spans="2:9">
      <c r="B12" s="246"/>
      <c r="C12" s="409">
        <v>1995</v>
      </c>
      <c r="D12" s="181">
        <v>5.4545454545454543E-2</v>
      </c>
      <c r="E12" s="181">
        <v>3.007518796992481E-2</v>
      </c>
      <c r="F12" s="181">
        <v>2.843601895734597E-2</v>
      </c>
      <c r="G12" s="181">
        <v>0</v>
      </c>
      <c r="H12" s="181">
        <v>0</v>
      </c>
      <c r="I12" s="181">
        <v>5.6910569105691047E-2</v>
      </c>
    </row>
    <row r="13" spans="2:9">
      <c r="B13" s="246"/>
      <c r="C13" s="407">
        <v>1996</v>
      </c>
      <c r="D13" s="97">
        <v>1.5873015873015869E-2</v>
      </c>
      <c r="E13" s="97">
        <v>3.2258064516129031E-2</v>
      </c>
      <c r="F13" s="97">
        <v>4.5045045045045036E-3</v>
      </c>
      <c r="G13" s="97">
        <v>7.1428571428571425E-2</v>
      </c>
      <c r="H13" s="97">
        <v>0</v>
      </c>
      <c r="I13" s="97">
        <v>1.515151515151515E-2</v>
      </c>
    </row>
    <row r="14" spans="2:9">
      <c r="B14" s="246"/>
      <c r="C14" s="409">
        <v>1997</v>
      </c>
      <c r="D14" s="181">
        <v>4.1095890410958902E-2</v>
      </c>
      <c r="E14" s="181">
        <v>2.475247524752475E-2</v>
      </c>
      <c r="F14" s="181">
        <v>2.1645021645021641E-2</v>
      </c>
      <c r="G14" s="181">
        <v>0</v>
      </c>
      <c r="H14" s="181">
        <v>6.1538461538461542E-2</v>
      </c>
      <c r="I14" s="181">
        <v>8.6330935251798566E-2</v>
      </c>
    </row>
    <row r="15" spans="2:9">
      <c r="B15" s="246"/>
      <c r="C15" s="407">
        <v>1998</v>
      </c>
      <c r="D15" s="97">
        <v>0.20779220779220781</v>
      </c>
      <c r="E15" s="97">
        <v>5.9633027522935783E-2</v>
      </c>
      <c r="F15" s="97">
        <v>2.2624434389140271E-2</v>
      </c>
      <c r="G15" s="97">
        <v>2.3255813953488368E-2</v>
      </c>
      <c r="H15" s="97">
        <v>0.26760563380281688</v>
      </c>
      <c r="I15" s="97">
        <v>9.420289855072464E-2</v>
      </c>
    </row>
    <row r="16" spans="2:9">
      <c r="B16" s="246"/>
      <c r="C16" s="409">
        <v>1999</v>
      </c>
      <c r="D16" s="181">
        <v>4.1666666666666657E-2</v>
      </c>
      <c r="E16" s="181">
        <v>5.6000000000000001E-2</v>
      </c>
      <c r="F16" s="181">
        <v>1.7094017094017099E-2</v>
      </c>
      <c r="G16" s="181">
        <v>1.515151515151515E-2</v>
      </c>
      <c r="H16" s="181">
        <v>1.8518518518518521E-2</v>
      </c>
      <c r="I16" s="181">
        <v>7.9710144927536225E-2</v>
      </c>
    </row>
    <row r="17" spans="2:9">
      <c r="B17" s="246"/>
      <c r="C17" s="407">
        <v>2000</v>
      </c>
      <c r="D17" s="97">
        <v>6.1728395061728392E-2</v>
      </c>
      <c r="E17" s="97">
        <v>4.0404040404040407E-2</v>
      </c>
      <c r="F17" s="97">
        <v>3.2258064516129031E-2</v>
      </c>
      <c r="G17" s="97">
        <v>0</v>
      </c>
      <c r="H17" s="97">
        <v>1.9230769230769228E-2</v>
      </c>
      <c r="I17" s="97">
        <v>7.9470198675496692E-2</v>
      </c>
    </row>
    <row r="18" spans="2:9">
      <c r="B18" s="246"/>
      <c r="C18" s="409">
        <v>2001</v>
      </c>
      <c r="D18" s="181">
        <v>8.3333333333333329E-2</v>
      </c>
      <c r="E18" s="181">
        <v>3.6809815950920248E-2</v>
      </c>
      <c r="F18" s="181">
        <v>3.2128514056224897E-2</v>
      </c>
      <c r="G18" s="181">
        <v>5.8823529411764712E-2</v>
      </c>
      <c r="H18" s="181">
        <v>7.6923076923076927E-2</v>
      </c>
      <c r="I18" s="181">
        <v>8.6206896551724144E-2</v>
      </c>
    </row>
    <row r="19" spans="2:9">
      <c r="B19" s="246"/>
      <c r="C19" s="407">
        <v>2002</v>
      </c>
      <c r="D19" s="97">
        <v>6.8493150684931503E-2</v>
      </c>
      <c r="E19" s="97">
        <v>2.3255813953488368E-2</v>
      </c>
      <c r="F19" s="97">
        <v>0.12643678160919539</v>
      </c>
      <c r="G19" s="97">
        <v>0.14084507042253519</v>
      </c>
      <c r="H19" s="97">
        <v>7.407407407407407E-2</v>
      </c>
      <c r="I19" s="97">
        <v>8.5714285714285715E-2</v>
      </c>
    </row>
    <row r="20" spans="2:9">
      <c r="B20" s="246"/>
      <c r="C20" s="409">
        <v>2003</v>
      </c>
      <c r="D20" s="181">
        <v>0.1470588235294118</v>
      </c>
      <c r="E20" s="181">
        <v>2.8497409326424871E-2</v>
      </c>
      <c r="F20" s="181">
        <v>0.11020408163265311</v>
      </c>
      <c r="G20" s="181">
        <v>1.4492753623188409E-2</v>
      </c>
      <c r="H20" s="181">
        <v>6.25E-2</v>
      </c>
      <c r="I20" s="181">
        <v>8.98876404494382E-2</v>
      </c>
    </row>
    <row r="21" spans="2:9">
      <c r="B21" s="246"/>
      <c r="C21" s="407">
        <v>2004</v>
      </c>
      <c r="D21" s="97">
        <v>0.125</v>
      </c>
      <c r="E21" s="97">
        <v>0</v>
      </c>
      <c r="F21" s="97">
        <v>4.6218487394957992E-2</v>
      </c>
      <c r="G21" s="97">
        <v>4.7619047619047623E-2</v>
      </c>
      <c r="H21" s="97">
        <v>0.14285714285714279</v>
      </c>
      <c r="I21" s="97">
        <v>8.1967213114754092E-2</v>
      </c>
    </row>
    <row r="22" spans="2:9">
      <c r="B22" s="246"/>
      <c r="C22" s="409">
        <v>2005</v>
      </c>
      <c r="D22" s="181">
        <v>1.5625E-2</v>
      </c>
      <c r="E22" s="181">
        <v>3.8461538461538459E-3</v>
      </c>
      <c r="F22" s="181">
        <v>1.646090534979424E-2</v>
      </c>
      <c r="G22" s="181">
        <v>4.878048780487805E-2</v>
      </c>
      <c r="H22" s="181">
        <v>1.9230769230769228E-2</v>
      </c>
      <c r="I22" s="181">
        <v>0.1216931216931217</v>
      </c>
    </row>
    <row r="23" spans="2:9">
      <c r="B23" s="246"/>
      <c r="C23" s="407">
        <v>2006</v>
      </c>
      <c r="D23" s="97">
        <v>5.128205128205128E-2</v>
      </c>
      <c r="E23" s="97">
        <v>8.6355785837651123E-3</v>
      </c>
      <c r="F23" s="97">
        <v>2.9166666666666671E-2</v>
      </c>
      <c r="G23" s="97">
        <v>2.3255813953488368E-2</v>
      </c>
      <c r="H23" s="97">
        <v>4.6153846153846163E-2</v>
      </c>
      <c r="I23" s="97">
        <v>8.9005235602094238E-2</v>
      </c>
    </row>
    <row r="24" spans="2:9">
      <c r="B24" s="246"/>
      <c r="C24" s="409">
        <v>2007</v>
      </c>
      <c r="D24" s="181">
        <v>4.7619047619047623E-2</v>
      </c>
      <c r="E24" s="181">
        <v>9.74025974025974E-3</v>
      </c>
      <c r="F24" s="181">
        <v>1.6528925619834711E-2</v>
      </c>
      <c r="G24" s="181">
        <v>7.0588235294117646E-2</v>
      </c>
      <c r="H24" s="181">
        <v>2.6666666666666668E-2</v>
      </c>
      <c r="I24" s="181">
        <v>8.0213903743315509E-2</v>
      </c>
    </row>
    <row r="25" spans="2:9">
      <c r="B25" s="246"/>
      <c r="C25" s="407">
        <v>2008</v>
      </c>
      <c r="D25" s="97">
        <v>3.1578947368421047E-2</v>
      </c>
      <c r="E25" s="97">
        <v>2.279202279202279E-2</v>
      </c>
      <c r="F25" s="97">
        <v>2.4096385542168679E-2</v>
      </c>
      <c r="G25" s="97">
        <v>2.0408163265306121E-2</v>
      </c>
      <c r="H25" s="97">
        <v>6.741573033707865E-2</v>
      </c>
      <c r="I25" s="97">
        <v>6.6079295154185022E-2</v>
      </c>
    </row>
    <row r="26" spans="2:9">
      <c r="B26" s="246"/>
      <c r="C26" s="409">
        <v>2009</v>
      </c>
      <c r="D26" s="181">
        <v>2.1582733812949641E-2</v>
      </c>
      <c r="E26" s="181">
        <v>2.1879021879021882E-2</v>
      </c>
      <c r="F26" s="181">
        <v>5.4151624548736461E-2</v>
      </c>
      <c r="G26" s="181">
        <v>2.9126213592233011E-2</v>
      </c>
      <c r="H26" s="181">
        <v>5.1724137931034482E-2</v>
      </c>
      <c r="I26" s="181">
        <v>6.6929133858267723E-2</v>
      </c>
    </row>
    <row r="27" spans="2:9">
      <c r="B27" s="246"/>
      <c r="C27" s="407">
        <v>2010</v>
      </c>
      <c r="D27" s="97">
        <v>1.986754966887417E-2</v>
      </c>
      <c r="E27" s="97">
        <v>4.880952380952381E-2</v>
      </c>
      <c r="F27" s="97">
        <v>2.8571428571428571E-2</v>
      </c>
      <c r="G27" s="97">
        <v>3.669724770642202E-2</v>
      </c>
      <c r="H27" s="97">
        <v>8.0645161290322578E-3</v>
      </c>
      <c r="I27" s="97">
        <v>5.4945054945054937E-2</v>
      </c>
    </row>
    <row r="28" spans="2:9">
      <c r="B28" s="246"/>
      <c r="C28" s="409">
        <v>2011</v>
      </c>
      <c r="D28" s="181">
        <v>2.4096385542168679E-2</v>
      </c>
      <c r="E28" s="181">
        <v>2.7027027027027029E-2</v>
      </c>
      <c r="F28" s="181">
        <v>3.4013605442176869E-3</v>
      </c>
      <c r="G28" s="181">
        <v>6.4220183486238536E-2</v>
      </c>
      <c r="H28" s="181">
        <v>3.6764705882352942E-2</v>
      </c>
      <c r="I28" s="181">
        <v>4.6357615894039743E-2</v>
      </c>
    </row>
    <row r="29" spans="2:9">
      <c r="B29" s="246"/>
      <c r="C29" s="407">
        <v>2012</v>
      </c>
      <c r="D29" s="97">
        <v>5.8139534883720929E-3</v>
      </c>
      <c r="E29" s="97">
        <v>2.2633744855967079E-2</v>
      </c>
      <c r="F29" s="97">
        <v>4.1401273885350323E-2</v>
      </c>
      <c r="G29" s="97">
        <v>2.7272727272727271E-2</v>
      </c>
      <c r="H29" s="97">
        <v>1.3157894736842099E-2</v>
      </c>
      <c r="I29" s="97">
        <v>7.0588235294117646E-2</v>
      </c>
    </row>
    <row r="30" spans="2:9">
      <c r="B30" s="246"/>
      <c r="C30" s="409">
        <v>2013</v>
      </c>
      <c r="D30" s="181">
        <v>2.072538860103627E-2</v>
      </c>
      <c r="E30" s="181">
        <v>1.3023255813953491E-2</v>
      </c>
      <c r="F30" s="181">
        <v>3.8338658146964848E-2</v>
      </c>
      <c r="G30" s="181">
        <v>1.4492753623188409E-2</v>
      </c>
      <c r="H30" s="181">
        <v>3.3707865168539318E-2</v>
      </c>
      <c r="I30" s="181">
        <v>3.021978021978022E-2</v>
      </c>
    </row>
    <row r="31" spans="2:9">
      <c r="B31" s="246"/>
      <c r="C31" s="407">
        <v>2014</v>
      </c>
      <c r="D31" s="97">
        <v>5.2631578947368418E-2</v>
      </c>
      <c r="E31" s="97">
        <v>3.5812672176308541E-2</v>
      </c>
      <c r="F31" s="97">
        <v>2.7950310559006208E-2</v>
      </c>
      <c r="G31" s="97">
        <v>1.9230769230769228E-2</v>
      </c>
      <c r="H31" s="97">
        <v>4.1237113402061848E-2</v>
      </c>
      <c r="I31" s="97">
        <v>5.6265984654731448E-2</v>
      </c>
    </row>
    <row r="32" spans="2:9">
      <c r="B32" s="246"/>
      <c r="C32" s="409">
        <v>2015</v>
      </c>
      <c r="D32" s="181">
        <v>2.6315789473684209E-2</v>
      </c>
      <c r="E32" s="181">
        <v>3.2427695004382119E-2</v>
      </c>
      <c r="F32" s="181">
        <v>1.9310344827586211E-2</v>
      </c>
      <c r="G32" s="181">
        <v>3.6269430051813469E-2</v>
      </c>
      <c r="H32" s="181">
        <v>8.368200836820083E-3</v>
      </c>
      <c r="I32" s="181">
        <v>5.0328227571115977E-2</v>
      </c>
    </row>
    <row r="33" spans="2:9">
      <c r="B33" s="246"/>
      <c r="C33" s="407">
        <v>2016</v>
      </c>
      <c r="D33" s="97">
        <v>2.2624434389140271E-2</v>
      </c>
      <c r="E33" s="97">
        <v>2.9117379435850771E-2</v>
      </c>
      <c r="F33" s="97">
        <v>3.4165571616294348E-2</v>
      </c>
      <c r="G33" s="97">
        <v>3.045685279187817E-2</v>
      </c>
      <c r="H33" s="97">
        <v>2.5362318840579708E-2</v>
      </c>
      <c r="I33" s="97">
        <v>7.370517928286853E-2</v>
      </c>
    </row>
    <row r="34" spans="2:9">
      <c r="B34" s="246"/>
      <c r="C34" s="409">
        <v>2017</v>
      </c>
      <c r="D34" s="181">
        <v>1.28755364806867E-2</v>
      </c>
      <c r="E34" s="181">
        <v>2.596153846153846E-2</v>
      </c>
      <c r="F34" s="181">
        <v>3.0263157894736839E-2</v>
      </c>
      <c r="G34" s="181">
        <v>1.932367149758454E-2</v>
      </c>
      <c r="H34" s="181">
        <v>0</v>
      </c>
      <c r="I34" s="181">
        <v>7.0370370370370375E-2</v>
      </c>
    </row>
    <row r="35" spans="2:9">
      <c r="B35" s="246"/>
      <c r="C35" s="407">
        <v>2018</v>
      </c>
      <c r="D35" s="97">
        <v>2.419354838709677E-2</v>
      </c>
      <c r="E35" s="97">
        <v>2.0750988142292488E-2</v>
      </c>
      <c r="F35" s="97">
        <v>2.2038567493112948E-2</v>
      </c>
      <c r="G35" s="97">
        <v>1.4336917562724011E-2</v>
      </c>
      <c r="H35" s="97">
        <v>2.4054982817869421E-2</v>
      </c>
      <c r="I35" s="97">
        <v>5.935251798561151E-2</v>
      </c>
    </row>
    <row r="36" spans="2:9">
      <c r="B36" s="246"/>
      <c r="C36" s="409">
        <v>2019</v>
      </c>
      <c r="D36" s="181">
        <v>2.9962546816479401E-2</v>
      </c>
      <c r="E36" s="181">
        <v>2.1717670286278381E-2</v>
      </c>
      <c r="F36" s="181">
        <v>3.120759837177748E-2</v>
      </c>
      <c r="G36" s="181">
        <v>4.9342105263157902E-2</v>
      </c>
      <c r="H36" s="181">
        <v>3.5714285714285712E-2</v>
      </c>
      <c r="I36" s="181">
        <v>5.8528428093645488E-2</v>
      </c>
    </row>
    <row r="37" spans="2:9">
      <c r="B37" s="246"/>
      <c r="C37" s="407">
        <v>2020</v>
      </c>
      <c r="D37" s="97">
        <v>5.6737588652482268E-2</v>
      </c>
      <c r="E37" s="97">
        <v>5.123152709359606E-2</v>
      </c>
      <c r="F37" s="97">
        <v>3.7889039242219223E-2</v>
      </c>
      <c r="G37" s="97">
        <v>8.6538461538461536E-2</v>
      </c>
      <c r="H37" s="97">
        <v>4.2296072507552872E-2</v>
      </c>
      <c r="I37" s="97">
        <v>5.5105348460291727E-2</v>
      </c>
    </row>
    <row r="38" spans="2:9">
      <c r="B38" s="246"/>
      <c r="C38" s="409">
        <v>2021</v>
      </c>
      <c r="D38" s="181">
        <v>7.746478873239436E-2</v>
      </c>
      <c r="E38" s="181">
        <v>1.8556701030927839E-2</v>
      </c>
      <c r="F38" s="181">
        <v>2.032520325203252E-2</v>
      </c>
      <c r="G38" s="181">
        <v>2.0408163265306121E-2</v>
      </c>
      <c r="H38" s="181">
        <v>2.5477707006369432E-2</v>
      </c>
      <c r="I38" s="181">
        <v>4.8437500000000001E-2</v>
      </c>
    </row>
    <row r="39" spans="2:9">
      <c r="B39" s="246"/>
      <c r="C39" s="407">
        <v>2022</v>
      </c>
      <c r="D39" s="97">
        <v>2.464788732394366E-2</v>
      </c>
      <c r="E39" s="97">
        <v>6.7164179104477612E-2</v>
      </c>
      <c r="F39" s="97">
        <v>6.793478260869565E-3</v>
      </c>
      <c r="G39" s="97">
        <v>6.8493150684931503E-3</v>
      </c>
      <c r="H39" s="97">
        <v>4.9079754601227002E-2</v>
      </c>
      <c r="I39" s="97">
        <v>2.2796352583586629E-2</v>
      </c>
    </row>
    <row r="40" spans="2:9">
      <c r="B40" s="246"/>
      <c r="C40" s="409">
        <v>2023</v>
      </c>
      <c r="D40" s="181">
        <v>2.3569023569023569E-2</v>
      </c>
      <c r="E40" s="181">
        <v>1.390498261877173E-2</v>
      </c>
      <c r="F40" s="181">
        <v>3.002610966057441E-2</v>
      </c>
      <c r="G40" s="181">
        <v>3.1034482758620689E-2</v>
      </c>
      <c r="H40" s="181">
        <v>2.7027027027027029E-2</v>
      </c>
      <c r="I40" s="181">
        <v>6.966618287373004E-2</v>
      </c>
    </row>
    <row r="41" spans="2:9">
      <c r="B41" s="246"/>
      <c r="C41" s="407">
        <v>2024</v>
      </c>
      <c r="D41" s="97">
        <v>1.973684210526316E-2</v>
      </c>
      <c r="E41" s="97">
        <v>1.635514018691589E-2</v>
      </c>
      <c r="F41" s="97">
        <v>1.328021248339973E-2</v>
      </c>
      <c r="G41" s="97">
        <v>1.986754966887417E-2</v>
      </c>
      <c r="H41" s="97">
        <v>2.9498525073746308E-3</v>
      </c>
      <c r="I41" s="97">
        <v>5.0964187327823693E-2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1BF5F-2138-478D-99E1-C57DD7481904}">
  <dimension ref="A2:I52"/>
  <sheetViews>
    <sheetView workbookViewId="0"/>
  </sheetViews>
  <sheetFormatPr defaultRowHeight="13.8"/>
  <cols>
    <col min="1" max="2" width="3.69921875" customWidth="1"/>
    <col min="3" max="3" width="15.8984375" style="92" customWidth="1"/>
    <col min="4" max="10" width="14" customWidth="1"/>
  </cols>
  <sheetData>
    <row r="2" spans="2:9">
      <c r="C2" s="235" t="s">
        <v>373</v>
      </c>
    </row>
    <row r="3" spans="2:9">
      <c r="C3"/>
    </row>
    <row r="4" spans="2:9" ht="37.950000000000003" customHeight="1">
      <c r="C4" s="403"/>
      <c r="D4" s="404" t="s">
        <v>108</v>
      </c>
      <c r="E4" s="404" t="s">
        <v>109</v>
      </c>
      <c r="F4" s="404" t="s">
        <v>110</v>
      </c>
      <c r="G4" s="404" t="s">
        <v>103</v>
      </c>
      <c r="H4" s="404" t="s">
        <v>111</v>
      </c>
      <c r="I4" s="404" t="s">
        <v>112</v>
      </c>
    </row>
    <row r="5" spans="2:9" hidden="1">
      <c r="C5" s="405"/>
      <c r="D5" s="406"/>
      <c r="E5" s="406"/>
      <c r="F5" s="406"/>
      <c r="G5" s="406"/>
      <c r="H5" s="406"/>
      <c r="I5" s="406"/>
    </row>
    <row r="6" spans="2:9">
      <c r="B6" s="246"/>
      <c r="C6" s="407" t="s">
        <v>93</v>
      </c>
      <c r="D6" s="98">
        <v>31</v>
      </c>
      <c r="E6" s="98">
        <v>31</v>
      </c>
      <c r="F6" s="98">
        <v>31</v>
      </c>
      <c r="G6" s="98">
        <v>31</v>
      </c>
      <c r="H6" s="98">
        <v>31</v>
      </c>
      <c r="I6" s="98">
        <v>31</v>
      </c>
    </row>
    <row r="7" spans="2:9">
      <c r="B7" s="246"/>
      <c r="C7" s="407" t="s">
        <v>107</v>
      </c>
      <c r="D7" s="98">
        <v>2094</v>
      </c>
      <c r="E7" s="98">
        <v>2353</v>
      </c>
      <c r="F7" s="98">
        <v>3125</v>
      </c>
      <c r="G7" s="98">
        <v>1000</v>
      </c>
      <c r="H7" s="98">
        <v>37</v>
      </c>
      <c r="I7" s="98">
        <v>1210</v>
      </c>
    </row>
    <row r="8" spans="2:9">
      <c r="B8" s="246"/>
      <c r="C8" s="407" t="s">
        <v>28</v>
      </c>
      <c r="D8" s="98">
        <v>667</v>
      </c>
      <c r="E8" s="98">
        <v>488</v>
      </c>
      <c r="F8" s="98">
        <v>491</v>
      </c>
      <c r="G8" s="98">
        <v>167</v>
      </c>
      <c r="H8" s="98">
        <v>6</v>
      </c>
      <c r="I8" s="98">
        <v>188</v>
      </c>
    </row>
    <row r="9" spans="2:9">
      <c r="B9" s="246"/>
      <c r="C9" s="407" t="s">
        <v>94</v>
      </c>
      <c r="D9" s="98">
        <v>12416</v>
      </c>
      <c r="E9" s="98">
        <v>12531</v>
      </c>
      <c r="F9" s="98">
        <v>18681</v>
      </c>
      <c r="G9" s="98">
        <v>5882</v>
      </c>
      <c r="H9" s="98">
        <v>192</v>
      </c>
      <c r="I9" s="98">
        <v>6483</v>
      </c>
    </row>
    <row r="10" spans="2:9" ht="27.6">
      <c r="B10" s="246"/>
      <c r="C10" s="404" t="s">
        <v>14</v>
      </c>
      <c r="D10" s="408">
        <v>5.3721005154639179E-2</v>
      </c>
      <c r="E10" s="408">
        <v>3.8943420317612318E-2</v>
      </c>
      <c r="F10" s="408">
        <v>2.628338954017451E-2</v>
      </c>
      <c r="G10" s="408">
        <v>2.8391703502210128E-2</v>
      </c>
      <c r="H10" s="408">
        <v>3.125E-2</v>
      </c>
      <c r="I10" s="408">
        <v>2.8998920252969299E-2</v>
      </c>
    </row>
    <row r="11" spans="2:9">
      <c r="B11" s="246"/>
      <c r="C11" s="407">
        <v>1994</v>
      </c>
      <c r="D11" s="97">
        <v>4.2857142857142858E-2</v>
      </c>
      <c r="E11" s="97">
        <v>1.075268817204301E-2</v>
      </c>
      <c r="F11" s="97">
        <v>4.1666666666666657E-2</v>
      </c>
      <c r="G11" s="97">
        <v>1.7241379310344831E-2</v>
      </c>
      <c r="H11" s="97">
        <v>0</v>
      </c>
      <c r="I11" s="97">
        <v>7.246376811594203E-3</v>
      </c>
    </row>
    <row r="12" spans="2:9">
      <c r="B12" s="246"/>
      <c r="C12" s="409">
        <v>1995</v>
      </c>
      <c r="D12" s="181">
        <v>4.72972972972973E-2</v>
      </c>
      <c r="E12" s="181">
        <v>2.542372881355932E-2</v>
      </c>
      <c r="F12" s="181">
        <v>3.0769230769230771E-2</v>
      </c>
      <c r="G12" s="181">
        <v>0</v>
      </c>
      <c r="H12" s="181">
        <v>0</v>
      </c>
      <c r="I12" s="181">
        <v>4.1379310344827593E-2</v>
      </c>
    </row>
    <row r="13" spans="2:9">
      <c r="B13" s="246"/>
      <c r="C13" s="407">
        <v>1996</v>
      </c>
      <c r="D13" s="97">
        <v>1.935483870967742E-2</v>
      </c>
      <c r="E13" s="97">
        <v>2.2556390977443611E-2</v>
      </c>
      <c r="F13" s="97">
        <v>3.3519553072625698E-2</v>
      </c>
      <c r="G13" s="97">
        <v>0</v>
      </c>
      <c r="H13" s="97">
        <v>0</v>
      </c>
      <c r="I13" s="97">
        <v>6.5359477124183009E-3</v>
      </c>
    </row>
    <row r="14" spans="2:9">
      <c r="B14" s="246"/>
      <c r="C14" s="409">
        <v>1997</v>
      </c>
      <c r="D14" s="181">
        <v>7.407407407407407E-2</v>
      </c>
      <c r="E14" s="181">
        <v>4.5454545454545463E-2</v>
      </c>
      <c r="F14" s="181">
        <v>2.6041666666666671E-2</v>
      </c>
      <c r="G14" s="181">
        <v>1.3513513513513511E-2</v>
      </c>
      <c r="H14" s="181">
        <v>0</v>
      </c>
      <c r="I14" s="181">
        <v>2.5477707006369432E-2</v>
      </c>
    </row>
    <row r="15" spans="2:9">
      <c r="B15" s="246"/>
      <c r="C15" s="407">
        <v>1998</v>
      </c>
      <c r="D15" s="97">
        <v>8.1761006289308172E-2</v>
      </c>
      <c r="E15" s="97">
        <v>0.21301775147928989</v>
      </c>
      <c r="F15" s="97">
        <v>6.280193236714976E-2</v>
      </c>
      <c r="G15" s="97">
        <v>2.9850746268656719E-2</v>
      </c>
      <c r="H15" s="97">
        <v>0</v>
      </c>
      <c r="I15" s="97">
        <v>1.948051948051948E-2</v>
      </c>
    </row>
    <row r="16" spans="2:9">
      <c r="B16" s="246"/>
      <c r="C16" s="409">
        <v>1999</v>
      </c>
      <c r="D16" s="181">
        <v>7.1428571428571425E-2</v>
      </c>
      <c r="E16" s="181">
        <v>1.8749999999999999E-2</v>
      </c>
      <c r="F16" s="181">
        <v>5.4852320675105488E-2</v>
      </c>
      <c r="G16" s="181">
        <v>0</v>
      </c>
      <c r="H16" s="181">
        <v>0.22222222222222221</v>
      </c>
      <c r="I16" s="181">
        <v>2.5000000000000001E-2</v>
      </c>
    </row>
    <row r="17" spans="2:9">
      <c r="B17" s="246"/>
      <c r="C17" s="407">
        <v>2000</v>
      </c>
      <c r="D17" s="97">
        <v>6.741573033707865E-2</v>
      </c>
      <c r="E17" s="97">
        <v>3.5502958579881658E-2</v>
      </c>
      <c r="F17" s="97">
        <v>3.9285714285714278E-2</v>
      </c>
      <c r="G17" s="97">
        <v>2.3255813953488368E-2</v>
      </c>
      <c r="H17" s="97">
        <v>0</v>
      </c>
      <c r="I17" s="97">
        <v>3.7267080745341623E-2</v>
      </c>
    </row>
    <row r="18" spans="2:9">
      <c r="B18" s="246"/>
      <c r="C18" s="409">
        <v>2001</v>
      </c>
      <c r="D18" s="181">
        <v>8.4158415841584164E-2</v>
      </c>
      <c r="E18" s="181">
        <v>6.7073170731707321E-2</v>
      </c>
      <c r="F18" s="181">
        <v>3.6065573770491813E-2</v>
      </c>
      <c r="G18" s="181">
        <v>4.8192771084337352E-2</v>
      </c>
      <c r="H18" s="181">
        <v>0.125</v>
      </c>
      <c r="I18" s="181">
        <v>2.4390243902439029E-2</v>
      </c>
    </row>
    <row r="19" spans="2:9">
      <c r="B19" s="246"/>
      <c r="C19" s="407">
        <v>2002</v>
      </c>
      <c r="D19" s="97">
        <v>8.6956521739130432E-2</v>
      </c>
      <c r="E19" s="97">
        <v>9.4674556213017749E-2</v>
      </c>
      <c r="F19" s="97">
        <v>2.53968253968254E-2</v>
      </c>
      <c r="G19" s="97">
        <v>4.6511627906976737E-2</v>
      </c>
      <c r="H19" s="97">
        <v>0</v>
      </c>
      <c r="I19" s="97">
        <v>0.16860465116279069</v>
      </c>
    </row>
    <row r="20" spans="2:9">
      <c r="B20" s="246"/>
      <c r="C20" s="409">
        <v>2003</v>
      </c>
      <c r="D20" s="181">
        <v>7.9439252336448593E-2</v>
      </c>
      <c r="E20" s="181">
        <v>9.0322580645161285E-2</v>
      </c>
      <c r="F20" s="181">
        <v>2.8248587570621469E-2</v>
      </c>
      <c r="G20" s="181">
        <v>9.8901098901098897E-2</v>
      </c>
      <c r="H20" s="181">
        <v>0</v>
      </c>
      <c r="I20" s="181">
        <v>0.1140939597315436</v>
      </c>
    </row>
    <row r="21" spans="2:9">
      <c r="B21" s="246"/>
      <c r="C21" s="407">
        <v>2004</v>
      </c>
      <c r="D21" s="97">
        <v>6.4102564102564097E-2</v>
      </c>
      <c r="E21" s="97">
        <v>0.1073825503355705</v>
      </c>
      <c r="F21" s="97">
        <v>0</v>
      </c>
      <c r="G21" s="97">
        <v>7.6086956521739135E-2</v>
      </c>
      <c r="H21" s="97">
        <v>0.25</v>
      </c>
      <c r="I21" s="97">
        <v>1.4388489208633091E-2</v>
      </c>
    </row>
    <row r="22" spans="2:9">
      <c r="B22" s="246"/>
      <c r="C22" s="409">
        <v>2005</v>
      </c>
      <c r="D22" s="181">
        <v>0.10121457489878539</v>
      </c>
      <c r="E22" s="181">
        <v>2.5316455696202531E-2</v>
      </c>
      <c r="F22" s="181">
        <v>4.2826552462526769E-3</v>
      </c>
      <c r="G22" s="181">
        <v>1.01010101010101E-2</v>
      </c>
      <c r="H22" s="181">
        <v>0</v>
      </c>
      <c r="I22" s="181">
        <v>2.18978102189781E-2</v>
      </c>
    </row>
    <row r="23" spans="2:9">
      <c r="B23" s="246"/>
      <c r="C23" s="407">
        <v>2006</v>
      </c>
      <c r="D23" s="97">
        <v>7.2580645161290328E-2</v>
      </c>
      <c r="E23" s="97">
        <v>6.030150753768844E-2</v>
      </c>
      <c r="F23" s="97">
        <v>1.926782273603083E-3</v>
      </c>
      <c r="G23" s="97">
        <v>2.803738317757009E-2</v>
      </c>
      <c r="H23" s="97">
        <v>0</v>
      </c>
      <c r="I23" s="97">
        <v>3.1496062992125977E-2</v>
      </c>
    </row>
    <row r="24" spans="2:9">
      <c r="B24" s="246"/>
      <c r="C24" s="409">
        <v>2007</v>
      </c>
      <c r="D24" s="181">
        <v>6.584362139917696E-2</v>
      </c>
      <c r="E24" s="181">
        <v>6.0185185185185182E-2</v>
      </c>
      <c r="F24" s="181">
        <v>7.2595281306715061E-3</v>
      </c>
      <c r="G24" s="181">
        <v>2.7272727272727271E-2</v>
      </c>
      <c r="H24" s="181">
        <v>0</v>
      </c>
      <c r="I24" s="181">
        <v>7.9365079365079361E-3</v>
      </c>
    </row>
    <row r="25" spans="2:9">
      <c r="B25" s="246"/>
      <c r="C25" s="407">
        <v>2008</v>
      </c>
      <c r="D25" s="97">
        <v>5.8823529411764712E-2</v>
      </c>
      <c r="E25" s="97">
        <v>4.4354838709677422E-2</v>
      </c>
      <c r="F25" s="97">
        <v>2.2047244094488189E-2</v>
      </c>
      <c r="G25" s="97">
        <v>1.063829787234043E-2</v>
      </c>
      <c r="H25" s="97">
        <v>0</v>
      </c>
      <c r="I25" s="97">
        <v>2.7027027027027029E-2</v>
      </c>
    </row>
    <row r="26" spans="2:9">
      <c r="B26" s="246"/>
      <c r="C26" s="409">
        <v>2009</v>
      </c>
      <c r="D26" s="181">
        <v>5.3968253968253971E-2</v>
      </c>
      <c r="E26" s="181">
        <v>3.7267080745341623E-2</v>
      </c>
      <c r="F26" s="181">
        <v>1.8387553041018391E-2</v>
      </c>
      <c r="G26" s="181">
        <v>8.3333333333333329E-2</v>
      </c>
      <c r="H26" s="181">
        <v>0.1</v>
      </c>
      <c r="I26" s="181">
        <v>3.125E-2</v>
      </c>
    </row>
    <row r="27" spans="2:9">
      <c r="B27" s="246"/>
      <c r="C27" s="407">
        <v>2010</v>
      </c>
      <c r="D27" s="97">
        <v>5.7401812688821753E-2</v>
      </c>
      <c r="E27" s="97">
        <v>3.081232492997199E-2</v>
      </c>
      <c r="F27" s="97">
        <v>4.3478260869565223E-2</v>
      </c>
      <c r="G27" s="97">
        <v>5.5045871559633031E-2</v>
      </c>
      <c r="H27" s="97">
        <v>0</v>
      </c>
      <c r="I27" s="97">
        <v>6.1728395061728392E-3</v>
      </c>
    </row>
    <row r="28" spans="2:9">
      <c r="B28" s="246"/>
      <c r="C28" s="409">
        <v>2011</v>
      </c>
      <c r="D28" s="181">
        <v>5.0991501416430593E-2</v>
      </c>
      <c r="E28" s="181">
        <v>3.6269430051813469E-2</v>
      </c>
      <c r="F28" s="181">
        <v>2.7431421446384038E-2</v>
      </c>
      <c r="G28" s="181">
        <v>0</v>
      </c>
      <c r="H28" s="181">
        <v>0</v>
      </c>
      <c r="I28" s="181">
        <v>5.9171597633136093E-3</v>
      </c>
    </row>
    <row r="29" spans="2:9">
      <c r="B29" s="246"/>
      <c r="C29" s="407">
        <v>2012</v>
      </c>
      <c r="D29" s="97">
        <v>6.8241469816272965E-2</v>
      </c>
      <c r="E29" s="97">
        <v>1.408450704225352E-2</v>
      </c>
      <c r="F29" s="97">
        <v>2.171428571428571E-2</v>
      </c>
      <c r="G29" s="97">
        <v>6.1538461538461542E-2</v>
      </c>
      <c r="H29" s="97">
        <v>0</v>
      </c>
      <c r="I29" s="97">
        <v>2.8409090909090912E-2</v>
      </c>
    </row>
    <row r="30" spans="2:9">
      <c r="B30" s="246"/>
      <c r="C30" s="409">
        <v>2013</v>
      </c>
      <c r="D30" s="181">
        <v>2.9197080291970798E-2</v>
      </c>
      <c r="E30" s="181">
        <v>2.514506769825919E-2</v>
      </c>
      <c r="F30" s="181">
        <v>1.154249737670514E-2</v>
      </c>
      <c r="G30" s="181">
        <v>5.2631578947368418E-2</v>
      </c>
      <c r="H30" s="181">
        <v>0</v>
      </c>
      <c r="I30" s="181">
        <v>2.3952095808383232E-2</v>
      </c>
    </row>
    <row r="31" spans="2:9">
      <c r="B31" s="246"/>
      <c r="C31" s="407">
        <v>2014</v>
      </c>
      <c r="D31" s="97">
        <v>5.4176072234762979E-2</v>
      </c>
      <c r="E31" s="97">
        <v>3.9783001808318258E-2</v>
      </c>
      <c r="F31" s="97">
        <v>3.5123966942148761E-2</v>
      </c>
      <c r="G31" s="97">
        <v>2.1126760563380281E-2</v>
      </c>
      <c r="H31" s="97">
        <v>0</v>
      </c>
      <c r="I31" s="97">
        <v>2.3668639053254441E-2</v>
      </c>
    </row>
    <row r="32" spans="2:9">
      <c r="B32" s="246"/>
      <c r="C32" s="409">
        <v>2015</v>
      </c>
      <c r="D32" s="181">
        <v>5.0387596899224812E-2</v>
      </c>
      <c r="E32" s="181">
        <v>1.5576323987538941E-2</v>
      </c>
      <c r="F32" s="181">
        <v>3.4550839091806507E-2</v>
      </c>
      <c r="G32" s="181">
        <v>2.5316455696202531E-2</v>
      </c>
      <c r="H32" s="181">
        <v>0</v>
      </c>
      <c r="I32" s="181">
        <v>1.3333333333333331E-2</v>
      </c>
    </row>
    <row r="33" spans="1:9">
      <c r="B33" s="246"/>
      <c r="C33" s="407">
        <v>2016</v>
      </c>
      <c r="D33" s="97">
        <v>7.1174377224199295E-2</v>
      </c>
      <c r="E33" s="97">
        <v>2.514792899408284E-2</v>
      </c>
      <c r="F33" s="97">
        <v>2.8571428571428571E-2</v>
      </c>
      <c r="G33" s="97">
        <v>2.1634615384615381E-2</v>
      </c>
      <c r="H33" s="97">
        <v>0</v>
      </c>
      <c r="I33" s="97">
        <v>4.7923322683706068E-2</v>
      </c>
    </row>
    <row r="34" spans="1:9">
      <c r="B34" s="246"/>
      <c r="C34" s="409">
        <v>2017</v>
      </c>
      <c r="D34" s="181">
        <v>6.1056105610561059E-2</v>
      </c>
      <c r="E34" s="181">
        <v>1.1477761836441889E-2</v>
      </c>
      <c r="F34" s="181">
        <v>2.5806451612903229E-2</v>
      </c>
      <c r="G34" s="181">
        <v>2.1582733812949641E-2</v>
      </c>
      <c r="H34" s="181">
        <v>0</v>
      </c>
      <c r="I34" s="181">
        <v>4.1139240506329111E-2</v>
      </c>
    </row>
    <row r="35" spans="1:9">
      <c r="B35" s="246"/>
      <c r="C35" s="407">
        <v>2018</v>
      </c>
      <c r="D35" s="97">
        <v>5.0946142649199423E-2</v>
      </c>
      <c r="E35" s="97">
        <v>1.920438957475995E-2</v>
      </c>
      <c r="F35" s="97">
        <v>2.3230088495575219E-2</v>
      </c>
      <c r="G35" s="97">
        <v>2.4875621890547261E-2</v>
      </c>
      <c r="H35" s="97">
        <v>0</v>
      </c>
      <c r="I35" s="97">
        <v>1.6722408026755849E-2</v>
      </c>
    </row>
    <row r="36" spans="1:9">
      <c r="B36" s="246"/>
      <c r="C36" s="409">
        <v>2019</v>
      </c>
      <c r="D36" s="181">
        <v>5.0464807436918988E-2</v>
      </c>
      <c r="E36" s="181">
        <v>4.8492791612057669E-2</v>
      </c>
      <c r="F36" s="181">
        <v>1.662971175166297E-2</v>
      </c>
      <c r="G36" s="181">
        <v>3.2098765432098768E-2</v>
      </c>
      <c r="H36" s="181">
        <v>0</v>
      </c>
      <c r="I36" s="181">
        <v>2.9411764705882349E-2</v>
      </c>
    </row>
    <row r="37" spans="1:9">
      <c r="B37" s="246"/>
      <c r="C37" s="407">
        <v>2020</v>
      </c>
      <c r="D37" s="97">
        <v>4.8531289910600253E-2</v>
      </c>
      <c r="E37" s="97">
        <v>6.6666666666666666E-2</v>
      </c>
      <c r="F37" s="97">
        <v>5.5555555555555552E-2</v>
      </c>
      <c r="G37" s="97">
        <v>3.5264483627204031E-2</v>
      </c>
      <c r="H37" s="97">
        <v>0</v>
      </c>
      <c r="I37" s="97">
        <v>4.3613707165109032E-2</v>
      </c>
    </row>
    <row r="38" spans="1:9">
      <c r="B38" s="246"/>
      <c r="C38" s="409">
        <v>2021</v>
      </c>
      <c r="D38" s="181">
        <v>3.7641154328732752E-2</v>
      </c>
      <c r="E38" s="181">
        <v>5.4263565891472867E-2</v>
      </c>
      <c r="F38" s="181">
        <v>1.173708920187793E-2</v>
      </c>
      <c r="G38" s="181">
        <v>2.557544757033248E-2</v>
      </c>
      <c r="H38" s="181">
        <v>0</v>
      </c>
      <c r="I38" s="181">
        <v>1.5527950310559009E-2</v>
      </c>
    </row>
    <row r="39" spans="1:9">
      <c r="B39" s="246"/>
      <c r="C39" s="407">
        <v>2022</v>
      </c>
      <c r="D39" s="97">
        <v>1.9925280199252798E-2</v>
      </c>
      <c r="E39" s="97">
        <v>4.6776232616940583E-2</v>
      </c>
      <c r="F39" s="97">
        <v>6.1349693251533742E-2</v>
      </c>
      <c r="G39" s="97">
        <v>1.081081081081081E-2</v>
      </c>
      <c r="H39" s="97">
        <v>0</v>
      </c>
      <c r="I39" s="97">
        <v>2.9940119760479039E-3</v>
      </c>
    </row>
    <row r="40" spans="1:9">
      <c r="B40" s="246"/>
      <c r="C40" s="409">
        <v>2023</v>
      </c>
      <c r="D40" s="181">
        <v>5.8323207776427702E-2</v>
      </c>
      <c r="E40" s="181">
        <v>2.8500619578686489E-2</v>
      </c>
      <c r="F40" s="181">
        <v>1.2145748987854249E-2</v>
      </c>
      <c r="G40" s="181">
        <v>3.3519553072625698E-2</v>
      </c>
      <c r="H40" s="181">
        <v>0</v>
      </c>
      <c r="I40" s="181">
        <v>2.4657534246575338E-2</v>
      </c>
    </row>
    <row r="41" spans="1:9">
      <c r="B41" s="246"/>
      <c r="C41" s="407">
        <v>2024</v>
      </c>
      <c r="D41" s="97">
        <v>4.0792540792540792E-2</v>
      </c>
      <c r="E41" s="97">
        <v>1.543942992874109E-2</v>
      </c>
      <c r="F41" s="97">
        <v>1.5427769985974751E-2</v>
      </c>
      <c r="G41" s="97">
        <v>1.4792899408284019E-2</v>
      </c>
      <c r="H41" s="97">
        <v>0.25</v>
      </c>
      <c r="I41" s="97">
        <v>1.06951871657754E-2</v>
      </c>
    </row>
    <row r="44" spans="1:9">
      <c r="A44" s="92"/>
      <c r="B44" s="92"/>
    </row>
    <row r="45" spans="1:9">
      <c r="A45" s="92"/>
      <c r="B45" s="92"/>
    </row>
    <row r="46" spans="1:9">
      <c r="A46" s="92"/>
      <c r="B46" s="92"/>
    </row>
    <row r="47" spans="1:9">
      <c r="A47" s="92"/>
      <c r="B47" s="92"/>
    </row>
    <row r="48" spans="1:9">
      <c r="A48" s="92"/>
      <c r="B48" s="92"/>
    </row>
    <row r="49" spans="1:2">
      <c r="A49" s="92"/>
      <c r="B49" s="92"/>
    </row>
    <row r="50" spans="1:2">
      <c r="A50" s="92"/>
      <c r="B50" s="92"/>
    </row>
    <row r="51" spans="1:2">
      <c r="A51" s="92"/>
      <c r="B51" s="92"/>
    </row>
    <row r="52" spans="1:2">
      <c r="A52" s="92"/>
      <c r="B52" s="92"/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F902-444F-48E0-9262-60E20AA86B29}">
  <dimension ref="B1:M23"/>
  <sheetViews>
    <sheetView topLeftCell="A7" zoomScale="130" zoomScaleNormal="130" workbookViewId="0">
      <selection activeCell="B12" sqref="B12"/>
    </sheetView>
  </sheetViews>
  <sheetFormatPr defaultColWidth="9.296875" defaultRowHeight="14.4"/>
  <cols>
    <col min="1" max="1" width="1.09765625" style="3" customWidth="1"/>
    <col min="2" max="2" width="26.8984375" style="3" customWidth="1"/>
    <col min="3" max="5" width="11.59765625" style="3" customWidth="1"/>
    <col min="6" max="6" width="12.69921875" style="3" customWidth="1"/>
    <col min="7" max="7" width="11.59765625" style="3" customWidth="1"/>
    <col min="8" max="10" width="12.69921875" style="3" customWidth="1"/>
    <col min="11" max="13" width="13.59765625" style="3" hidden="1" customWidth="1"/>
    <col min="14" max="16" width="13.59765625" style="3" customWidth="1"/>
    <col min="17" max="16384" width="9.296875" style="3"/>
  </cols>
  <sheetData>
    <row r="1" spans="2:13" hidden="1">
      <c r="H1" s="3" t="s">
        <v>236</v>
      </c>
      <c r="I1" s="3" t="s">
        <v>14</v>
      </c>
    </row>
    <row r="2" spans="2:13" hidden="1">
      <c r="C2" s="3">
        <v>2</v>
      </c>
      <c r="D2" s="3">
        <v>4</v>
      </c>
      <c r="E2" s="3">
        <v>5</v>
      </c>
      <c r="F2" s="3">
        <v>6</v>
      </c>
      <c r="G2" s="3">
        <v>3</v>
      </c>
      <c r="H2" s="3">
        <v>15</v>
      </c>
      <c r="I2" s="3">
        <v>13</v>
      </c>
      <c r="J2" s="3">
        <v>16</v>
      </c>
    </row>
    <row r="3" spans="2:13" hidden="1">
      <c r="C3" s="3" t="s">
        <v>92</v>
      </c>
      <c r="D3" s="3" t="s">
        <v>93</v>
      </c>
      <c r="E3" s="3" t="s">
        <v>28</v>
      </c>
      <c r="F3" s="3" t="s">
        <v>94</v>
      </c>
      <c r="G3" s="3" t="s">
        <v>95</v>
      </c>
      <c r="H3" s="3" t="s">
        <v>96</v>
      </c>
      <c r="I3" s="3" t="s">
        <v>97</v>
      </c>
      <c r="J3" s="3" t="s">
        <v>98</v>
      </c>
    </row>
    <row r="5" spans="2:13">
      <c r="B5" s="235" t="s">
        <v>374</v>
      </c>
      <c r="C5" s="235"/>
      <c r="D5" s="235"/>
      <c r="E5" s="235"/>
      <c r="F5" s="235"/>
      <c r="G5" s="235"/>
      <c r="H5" s="235"/>
      <c r="I5" s="235"/>
      <c r="J5" s="235"/>
    </row>
    <row r="6" spans="2:13" ht="6" customHeight="1"/>
    <row r="7" spans="2:13" s="43" customFormat="1" ht="51" customHeight="1">
      <c r="B7" s="378" t="s">
        <v>113</v>
      </c>
      <c r="C7" s="52" t="s">
        <v>0</v>
      </c>
      <c r="D7" s="52" t="s">
        <v>1</v>
      </c>
      <c r="E7" s="52" t="s">
        <v>2</v>
      </c>
      <c r="F7" s="52" t="s">
        <v>3</v>
      </c>
      <c r="G7" s="52" t="s">
        <v>4</v>
      </c>
      <c r="H7" s="52" t="str">
        <f>DR!$H$4</f>
        <v>Lower of 90% confidence interval</v>
      </c>
      <c r="I7" s="52" t="s">
        <v>14</v>
      </c>
      <c r="J7" s="52" t="str">
        <f>DR!$J$4</f>
        <v>Upper of 90% confidence interval</v>
      </c>
    </row>
    <row r="8" spans="2:13">
      <c r="B8" s="376" t="s">
        <v>55</v>
      </c>
      <c r="C8" s="76"/>
      <c r="D8" s="76"/>
      <c r="E8" s="76"/>
      <c r="F8" s="76"/>
      <c r="G8" s="76"/>
      <c r="H8" s="390"/>
      <c r="I8" s="77"/>
      <c r="J8" s="390"/>
      <c r="K8" s="3">
        <f t="shared" ref="K8" si="0">IF(ISERROR(J8),IF(L8="Grey",2,1),0)</f>
        <v>0</v>
      </c>
      <c r="M8" s="3" t="s">
        <v>55</v>
      </c>
    </row>
    <row r="9" spans="2:13">
      <c r="B9" s="377" t="s">
        <v>56</v>
      </c>
      <c r="C9" s="74">
        <v>301</v>
      </c>
      <c r="D9" s="74">
        <v>31</v>
      </c>
      <c r="E9" s="74">
        <v>59</v>
      </c>
      <c r="F9" s="74">
        <v>1488</v>
      </c>
      <c r="G9" s="74">
        <v>12448.214466201158</v>
      </c>
      <c r="H9" s="391">
        <v>3.0837344967442181E-2</v>
      </c>
      <c r="I9" s="75">
        <v>3.9650537634408602E-2</v>
      </c>
      <c r="J9" s="391">
        <v>4.8463730301375033E-2</v>
      </c>
      <c r="K9" s="3">
        <f>IF(ISERROR(J9),IF(L9="Grey",2,1),0)</f>
        <v>0</v>
      </c>
      <c r="L9" s="3" t="s">
        <v>101</v>
      </c>
      <c r="M9" s="3" t="s">
        <v>56</v>
      </c>
    </row>
    <row r="10" spans="2:13">
      <c r="B10" s="376" t="s">
        <v>57</v>
      </c>
      <c r="C10" s="76">
        <v>843</v>
      </c>
      <c r="D10" s="76">
        <v>31</v>
      </c>
      <c r="E10" s="76">
        <v>258</v>
      </c>
      <c r="F10" s="76">
        <v>4331</v>
      </c>
      <c r="G10" s="76">
        <v>30631.565308236415</v>
      </c>
      <c r="H10" s="390">
        <v>5.0306666797970689E-2</v>
      </c>
      <c r="I10" s="77">
        <v>5.9570537981990301E-2</v>
      </c>
      <c r="J10" s="390">
        <v>6.8834409166009913E-2</v>
      </c>
      <c r="K10" s="3">
        <f t="shared" ref="K10:K12" si="1">IF(ISERROR(J10),IF(L10="Grey",2,1),0)</f>
        <v>0</v>
      </c>
      <c r="M10" s="3" t="s">
        <v>57</v>
      </c>
    </row>
    <row r="11" spans="2:13">
      <c r="B11" s="377" t="s">
        <v>58</v>
      </c>
      <c r="C11" s="74">
        <v>1279</v>
      </c>
      <c r="D11" s="74">
        <v>31</v>
      </c>
      <c r="E11" s="74">
        <v>349</v>
      </c>
      <c r="F11" s="74">
        <v>6585</v>
      </c>
      <c r="G11" s="74">
        <v>32326.163866740986</v>
      </c>
      <c r="H11" s="391">
        <v>4.6190928518322488E-2</v>
      </c>
      <c r="I11" s="75">
        <v>5.2999240698557333E-2</v>
      </c>
      <c r="J11" s="391">
        <v>5.9807552878792157E-2</v>
      </c>
      <c r="K11" s="3">
        <f t="shared" si="1"/>
        <v>0</v>
      </c>
      <c r="L11" s="3" t="s">
        <v>101</v>
      </c>
      <c r="M11" s="3" t="s">
        <v>58</v>
      </c>
    </row>
    <row r="12" spans="2:13">
      <c r="B12" s="376" t="s">
        <v>59</v>
      </c>
      <c r="C12" s="76">
        <v>242</v>
      </c>
      <c r="D12" s="76">
        <v>31</v>
      </c>
      <c r="E12" s="76">
        <v>48</v>
      </c>
      <c r="F12" s="76">
        <v>1347</v>
      </c>
      <c r="G12" s="76">
        <v>15627.5720313445</v>
      </c>
      <c r="H12" s="390">
        <v>2.7212805532224091E-2</v>
      </c>
      <c r="I12" s="77">
        <v>3.5634743875278388E-2</v>
      </c>
      <c r="J12" s="390">
        <v>4.4056682218332699E-2</v>
      </c>
      <c r="K12" s="3">
        <f t="shared" si="1"/>
        <v>0</v>
      </c>
      <c r="M12" s="3" t="s">
        <v>59</v>
      </c>
    </row>
    <row r="13" spans="2:13">
      <c r="B13" s="377" t="s">
        <v>60</v>
      </c>
      <c r="C13" s="74">
        <v>3788</v>
      </c>
      <c r="D13" s="74">
        <v>31</v>
      </c>
      <c r="E13" s="74">
        <v>520</v>
      </c>
      <c r="F13" s="74">
        <v>23045</v>
      </c>
      <c r="G13" s="74">
        <v>186887.84708923119</v>
      </c>
      <c r="H13" s="391">
        <v>1.939518317377318E-2</v>
      </c>
      <c r="I13" s="75">
        <v>2.2564547624213491E-2</v>
      </c>
      <c r="J13" s="391">
        <v>2.5733912074653809E-2</v>
      </c>
      <c r="K13" s="3">
        <f>IF(ISERROR(J13),IF(L13="Grey",2,1),0)</f>
        <v>0</v>
      </c>
      <c r="L13" s="3" t="s">
        <v>101</v>
      </c>
      <c r="M13" s="3" t="s">
        <v>60</v>
      </c>
    </row>
    <row r="14" spans="2:13">
      <c r="B14" s="376" t="s">
        <v>61</v>
      </c>
      <c r="C14" s="76">
        <v>251</v>
      </c>
      <c r="D14" s="76">
        <v>31</v>
      </c>
      <c r="E14" s="76">
        <v>74</v>
      </c>
      <c r="F14" s="76">
        <v>1241</v>
      </c>
      <c r="G14" s="76">
        <v>7339.1729325758224</v>
      </c>
      <c r="H14" s="390">
        <v>4.5798747868272642E-2</v>
      </c>
      <c r="I14" s="77">
        <v>5.9629331184528608E-2</v>
      </c>
      <c r="J14" s="390">
        <v>7.3459914500784582E-2</v>
      </c>
      <c r="K14" s="3">
        <f t="shared" ref="K14:K16" si="2">IF(ISERROR(J14),IF(L14="Grey",2,1),0)</f>
        <v>0</v>
      </c>
      <c r="M14" s="3" t="s">
        <v>61</v>
      </c>
    </row>
    <row r="15" spans="2:13">
      <c r="B15" s="377" t="s">
        <v>62</v>
      </c>
      <c r="C15" s="74">
        <v>817</v>
      </c>
      <c r="D15" s="74">
        <v>31</v>
      </c>
      <c r="E15" s="74">
        <v>153</v>
      </c>
      <c r="F15" s="74">
        <v>4222</v>
      </c>
      <c r="G15" s="74">
        <v>53490.883885769232</v>
      </c>
      <c r="H15" s="391">
        <v>2.9616965081812049E-2</v>
      </c>
      <c r="I15" s="75">
        <v>3.623874940786357E-2</v>
      </c>
      <c r="J15" s="391">
        <v>4.2860533733915088E-2</v>
      </c>
      <c r="K15" s="3">
        <f t="shared" si="2"/>
        <v>0</v>
      </c>
      <c r="L15" s="3" t="s">
        <v>101</v>
      </c>
      <c r="M15" s="3" t="s">
        <v>62</v>
      </c>
    </row>
    <row r="16" spans="2:13">
      <c r="B16" s="376" t="s">
        <v>63</v>
      </c>
      <c r="C16" s="504">
        <v>62</v>
      </c>
      <c r="D16" s="504">
        <v>30</v>
      </c>
      <c r="E16" s="504">
        <v>14</v>
      </c>
      <c r="F16" s="504">
        <v>236</v>
      </c>
      <c r="G16" s="504">
        <v>2189.219337422544</v>
      </c>
      <c r="H16" s="503">
        <v>3.3163213015522788E-2</v>
      </c>
      <c r="I16" s="502">
        <v>5.9322033898305093E-2</v>
      </c>
      <c r="J16" s="503">
        <v>8.5480854781087384E-2</v>
      </c>
      <c r="K16" s="3">
        <f t="shared" si="2"/>
        <v>0</v>
      </c>
      <c r="M16" s="3" t="s">
        <v>63</v>
      </c>
    </row>
    <row r="17" spans="2:13">
      <c r="B17" s="377" t="s">
        <v>64</v>
      </c>
      <c r="C17" s="74">
        <v>911</v>
      </c>
      <c r="D17" s="74">
        <v>31</v>
      </c>
      <c r="E17" s="74">
        <v>241</v>
      </c>
      <c r="F17" s="74">
        <v>5330</v>
      </c>
      <c r="G17" s="74">
        <v>30875.262917093787</v>
      </c>
      <c r="H17" s="391">
        <v>3.8275758328729502E-2</v>
      </c>
      <c r="I17" s="75">
        <v>4.5215759849906188E-2</v>
      </c>
      <c r="J17" s="391">
        <v>5.2155761371082882E-2</v>
      </c>
      <c r="K17" s="3">
        <f>IF(ISERROR(J17),IF(L17="Grey",2,1),0)</f>
        <v>0</v>
      </c>
      <c r="L17" s="3" t="s">
        <v>101</v>
      </c>
      <c r="M17" s="3" t="s">
        <v>64</v>
      </c>
    </row>
    <row r="18" spans="2:13">
      <c r="B18" s="376" t="s">
        <v>65</v>
      </c>
      <c r="C18" s="76">
        <v>187</v>
      </c>
      <c r="D18" s="76">
        <v>31</v>
      </c>
      <c r="E18" s="76">
        <v>43</v>
      </c>
      <c r="F18" s="76">
        <v>862</v>
      </c>
      <c r="G18" s="76">
        <v>5851.9001893874638</v>
      </c>
      <c r="H18" s="390">
        <v>3.9582866118512257E-2</v>
      </c>
      <c r="I18" s="77">
        <v>4.9883990719257539E-2</v>
      </c>
      <c r="J18" s="390">
        <v>6.018511532000282E-2</v>
      </c>
      <c r="K18" s="3">
        <f t="shared" ref="K18:K20" si="3">IF(ISERROR(J18),IF(L18="Grey",2,1),0)</f>
        <v>0</v>
      </c>
      <c r="M18" s="3" t="s">
        <v>65</v>
      </c>
    </row>
    <row r="19" spans="2:13">
      <c r="B19" s="377" t="s">
        <v>66</v>
      </c>
      <c r="C19" s="74">
        <v>1390</v>
      </c>
      <c r="D19" s="74">
        <v>31</v>
      </c>
      <c r="E19" s="74">
        <v>255</v>
      </c>
      <c r="F19" s="74">
        <v>8633</v>
      </c>
      <c r="G19" s="74">
        <v>61550.886837162419</v>
      </c>
      <c r="H19" s="391">
        <v>2.5155780041075691E-2</v>
      </c>
      <c r="I19" s="75">
        <v>2.953781999304992E-2</v>
      </c>
      <c r="J19" s="391">
        <v>3.3919859945024153E-2</v>
      </c>
      <c r="K19" s="3">
        <f t="shared" si="3"/>
        <v>0</v>
      </c>
      <c r="L19" s="3" t="s">
        <v>101</v>
      </c>
      <c r="M19" s="3" t="s">
        <v>66</v>
      </c>
    </row>
    <row r="20" spans="2:13">
      <c r="B20" s="376" t="s">
        <v>67</v>
      </c>
      <c r="C20" s="76">
        <v>396</v>
      </c>
      <c r="D20" s="76">
        <v>31</v>
      </c>
      <c r="E20" s="76">
        <v>86</v>
      </c>
      <c r="F20" s="76">
        <v>1996</v>
      </c>
      <c r="G20" s="76">
        <v>7058.6561389236022</v>
      </c>
      <c r="H20" s="390">
        <v>3.1483604195233689E-2</v>
      </c>
      <c r="I20" s="77">
        <v>4.308617234468938E-2</v>
      </c>
      <c r="J20" s="390">
        <v>5.4688740494145072E-2</v>
      </c>
      <c r="K20" s="3">
        <f t="shared" si="3"/>
        <v>0</v>
      </c>
      <c r="M20" s="3" t="s">
        <v>67</v>
      </c>
    </row>
    <row r="21" spans="2:13" s="17" customFormat="1" ht="21" customHeight="1">
      <c r="B21" s="392" t="s">
        <v>105</v>
      </c>
      <c r="C21" s="393">
        <f>DR!C5</f>
        <v>10476</v>
      </c>
      <c r="D21" s="393"/>
      <c r="E21" s="393">
        <f>DR!E5</f>
        <v>2101</v>
      </c>
      <c r="F21" s="393">
        <f>DR!F5</f>
        <v>59361</v>
      </c>
      <c r="G21" s="393">
        <f>DR!G5</f>
        <v>446360.85084900609</v>
      </c>
      <c r="H21" s="394">
        <f>DR!H5</f>
        <v>3.1889332934405899E-2</v>
      </c>
      <c r="I21" s="394">
        <f>DR!I5</f>
        <v>3.5393608598237897E-2</v>
      </c>
      <c r="J21" s="394">
        <f>DR!J5</f>
        <v>3.8897884262069908E-2</v>
      </c>
    </row>
    <row r="22" spans="2:13" s="17" customFormat="1"/>
    <row r="23" spans="2:13" s="17" customFormat="1">
      <c r="B23" s="235" t="s">
        <v>375</v>
      </c>
    </row>
  </sheetData>
  <conditionalFormatting sqref="C8:J20">
    <cfRule type="expression" dxfId="34" priority="1">
      <formula>$K8=2</formula>
    </cfRule>
    <cfRule type="expression" dxfId="33" priority="2">
      <formula>$K8=1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343D-9B8A-42AA-BADD-8DC6D7BCD89D}">
  <sheetPr>
    <tabColor rgb="FFFFC000"/>
  </sheetPr>
  <dimension ref="A2:P57"/>
  <sheetViews>
    <sheetView topLeftCell="B1" workbookViewId="0">
      <selection activeCell="O3" sqref="O3"/>
    </sheetView>
  </sheetViews>
  <sheetFormatPr defaultRowHeight="13.8"/>
  <cols>
    <col min="1" max="1" width="3.69921875" customWidth="1"/>
    <col min="2" max="2" width="4" customWidth="1"/>
    <col min="3" max="3" width="14" style="92" customWidth="1"/>
    <col min="4" max="4" width="12" customWidth="1"/>
    <col min="5" max="5" width="12.69921875" customWidth="1"/>
    <col min="6" max="16" width="12" customWidth="1"/>
  </cols>
  <sheetData>
    <row r="2" spans="2:16">
      <c r="C2" s="235" t="s">
        <v>376</v>
      </c>
    </row>
    <row r="3" spans="2:16" ht="14.4" thickBot="1">
      <c r="D3" s="549"/>
      <c r="E3" s="549"/>
      <c r="H3" s="549"/>
      <c r="O3" s="549"/>
    </row>
    <row r="4" spans="2:16" ht="37.950000000000003" customHeight="1" thickBot="1">
      <c r="C4" s="104"/>
      <c r="D4" s="115" t="s">
        <v>55</v>
      </c>
      <c r="E4" s="116" t="s">
        <v>56</v>
      </c>
      <c r="F4" s="116" t="s">
        <v>57</v>
      </c>
      <c r="G4" s="116" t="s">
        <v>58</v>
      </c>
      <c r="H4" s="116" t="s">
        <v>59</v>
      </c>
      <c r="I4" s="116" t="s">
        <v>60</v>
      </c>
      <c r="J4" s="116" t="s">
        <v>61</v>
      </c>
      <c r="K4" s="116" t="s">
        <v>62</v>
      </c>
      <c r="L4" s="116" t="s">
        <v>63</v>
      </c>
      <c r="M4" s="116" t="s">
        <v>64</v>
      </c>
      <c r="N4" s="116" t="s">
        <v>65</v>
      </c>
      <c r="O4" s="116" t="s">
        <v>66</v>
      </c>
      <c r="P4" s="117" t="s">
        <v>82</v>
      </c>
    </row>
    <row r="5" spans="2:16" hidden="1">
      <c r="C5" s="105"/>
      <c r="D5" s="101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08"/>
    </row>
    <row r="6" spans="2:16">
      <c r="B6" s="246"/>
      <c r="C6" s="106" t="s">
        <v>93</v>
      </c>
      <c r="D6" s="102" t="s">
        <v>237</v>
      </c>
      <c r="E6" s="98">
        <v>31</v>
      </c>
      <c r="F6" s="98">
        <v>31</v>
      </c>
      <c r="G6" s="98">
        <v>31</v>
      </c>
      <c r="H6" s="98">
        <v>31</v>
      </c>
      <c r="I6" s="98">
        <v>31</v>
      </c>
      <c r="J6" s="98">
        <v>31</v>
      </c>
      <c r="K6" s="98">
        <v>31</v>
      </c>
      <c r="L6" s="98">
        <v>30</v>
      </c>
      <c r="M6" s="98">
        <v>31</v>
      </c>
      <c r="N6" s="98">
        <v>31</v>
      </c>
      <c r="O6" s="98">
        <v>31</v>
      </c>
      <c r="P6" s="109">
        <v>31</v>
      </c>
    </row>
    <row r="7" spans="2:16">
      <c r="B7" s="246"/>
      <c r="C7" s="106" t="s">
        <v>107</v>
      </c>
      <c r="D7" s="102" t="s">
        <v>237</v>
      </c>
      <c r="E7" s="98">
        <v>301</v>
      </c>
      <c r="F7" s="98">
        <v>843</v>
      </c>
      <c r="G7" s="98">
        <v>1279</v>
      </c>
      <c r="H7" s="98">
        <v>242</v>
      </c>
      <c r="I7" s="98">
        <v>3788</v>
      </c>
      <c r="J7" s="98">
        <v>251</v>
      </c>
      <c r="K7" s="98">
        <v>817</v>
      </c>
      <c r="L7" s="98">
        <v>62</v>
      </c>
      <c r="M7" s="98">
        <v>911</v>
      </c>
      <c r="N7" s="98">
        <v>187</v>
      </c>
      <c r="O7" s="98">
        <v>1390</v>
      </c>
      <c r="P7" s="109">
        <v>396</v>
      </c>
    </row>
    <row r="8" spans="2:16">
      <c r="B8" s="246"/>
      <c r="C8" s="106" t="s">
        <v>28</v>
      </c>
      <c r="D8" s="102" t="s">
        <v>237</v>
      </c>
      <c r="E8" s="98">
        <v>59</v>
      </c>
      <c r="F8" s="98">
        <v>258</v>
      </c>
      <c r="G8" s="98">
        <v>349</v>
      </c>
      <c r="H8" s="98">
        <v>48</v>
      </c>
      <c r="I8" s="98">
        <v>520</v>
      </c>
      <c r="J8" s="98">
        <v>74</v>
      </c>
      <c r="K8" s="98">
        <v>153</v>
      </c>
      <c r="L8" s="98">
        <v>14</v>
      </c>
      <c r="M8" s="98">
        <v>241</v>
      </c>
      <c r="N8" s="98">
        <v>43</v>
      </c>
      <c r="O8" s="98">
        <v>255</v>
      </c>
      <c r="P8" s="109">
        <v>86</v>
      </c>
    </row>
    <row r="9" spans="2:16" ht="14.4" thickBot="1">
      <c r="B9" s="246"/>
      <c r="C9" s="183" t="s">
        <v>94</v>
      </c>
      <c r="D9" s="184" t="s">
        <v>237</v>
      </c>
      <c r="E9" s="185">
        <v>1488</v>
      </c>
      <c r="F9" s="185">
        <v>4331</v>
      </c>
      <c r="G9" s="185">
        <v>6585</v>
      </c>
      <c r="H9" s="185">
        <v>1347</v>
      </c>
      <c r="I9" s="185">
        <v>23045</v>
      </c>
      <c r="J9" s="185">
        <v>1241</v>
      </c>
      <c r="K9" s="185">
        <v>4222</v>
      </c>
      <c r="L9" s="185">
        <v>236</v>
      </c>
      <c r="M9" s="185">
        <v>5330</v>
      </c>
      <c r="N9" s="185">
        <v>862</v>
      </c>
      <c r="O9" s="185">
        <v>8633</v>
      </c>
      <c r="P9" s="186">
        <v>1996</v>
      </c>
    </row>
    <row r="10" spans="2:16" ht="28.2" thickBot="1">
      <c r="B10" s="246"/>
      <c r="C10" s="155" t="s">
        <v>14</v>
      </c>
      <c r="D10" s="187" t="s">
        <v>237</v>
      </c>
      <c r="E10" s="188">
        <v>3.9650537634408602E-2</v>
      </c>
      <c r="F10" s="188">
        <v>5.9570537981990301E-2</v>
      </c>
      <c r="G10" s="188">
        <v>5.2999240698557333E-2</v>
      </c>
      <c r="H10" s="188">
        <v>3.5634743875278388E-2</v>
      </c>
      <c r="I10" s="188">
        <v>2.2564547624213491E-2</v>
      </c>
      <c r="J10" s="188">
        <v>5.9629331184528608E-2</v>
      </c>
      <c r="K10" s="188">
        <v>3.623874940786357E-2</v>
      </c>
      <c r="L10" s="188">
        <v>5.9322033898305093E-2</v>
      </c>
      <c r="M10" s="188">
        <v>4.5215759849906188E-2</v>
      </c>
      <c r="N10" s="188">
        <v>4.9883990719257539E-2</v>
      </c>
      <c r="O10" s="188">
        <v>2.953781999304992E-2</v>
      </c>
      <c r="P10" s="189">
        <v>4.308617234468938E-2</v>
      </c>
    </row>
    <row r="11" spans="2:16">
      <c r="B11" s="246"/>
      <c r="C11" s="156">
        <v>1994</v>
      </c>
      <c r="D11" s="193" t="s">
        <v>237</v>
      </c>
      <c r="E11" s="194">
        <v>0</v>
      </c>
      <c r="F11" s="194">
        <v>3.0612244897959179E-2</v>
      </c>
      <c r="G11" s="194">
        <v>2.8169014084507039E-2</v>
      </c>
      <c r="H11" s="194">
        <v>0</v>
      </c>
      <c r="I11" s="194">
        <v>1.075268817204301E-2</v>
      </c>
      <c r="J11" s="194">
        <v>0</v>
      </c>
      <c r="K11" s="194">
        <v>5.8823529411764712E-2</v>
      </c>
      <c r="L11" s="194">
        <v>0</v>
      </c>
      <c r="M11" s="194">
        <v>3.1007751937984499E-2</v>
      </c>
      <c r="N11" s="194">
        <v>0</v>
      </c>
      <c r="O11" s="194">
        <v>0</v>
      </c>
      <c r="P11" s="195">
        <v>2.3255813953488368E-2</v>
      </c>
    </row>
    <row r="12" spans="2:16">
      <c r="B12" s="246"/>
      <c r="C12" s="165">
        <v>1995</v>
      </c>
      <c r="D12" s="180" t="s">
        <v>237</v>
      </c>
      <c r="E12" s="181">
        <v>0</v>
      </c>
      <c r="F12" s="181">
        <v>3.03030303030303E-2</v>
      </c>
      <c r="G12" s="181">
        <v>9.8765432098765427E-2</v>
      </c>
      <c r="H12" s="181">
        <v>0</v>
      </c>
      <c r="I12" s="181">
        <v>0</v>
      </c>
      <c r="J12" s="181">
        <v>0.14285714285714279</v>
      </c>
      <c r="K12" s="181">
        <v>0</v>
      </c>
      <c r="L12" s="181">
        <v>0</v>
      </c>
      <c r="M12" s="181">
        <v>3.4965034965034968E-2</v>
      </c>
      <c r="N12" s="181">
        <v>0</v>
      </c>
      <c r="O12" s="181">
        <v>3.125E-2</v>
      </c>
      <c r="P12" s="182">
        <v>3.7735849056603772E-2</v>
      </c>
    </row>
    <row r="13" spans="2:16">
      <c r="B13" s="246"/>
      <c r="C13" s="106">
        <v>1996</v>
      </c>
      <c r="D13" s="103" t="s">
        <v>237</v>
      </c>
      <c r="E13" s="97">
        <v>0</v>
      </c>
      <c r="F13" s="97">
        <v>3.8095238095238099E-2</v>
      </c>
      <c r="G13" s="97">
        <v>1.2500000000000001E-2</v>
      </c>
      <c r="H13" s="97">
        <v>0</v>
      </c>
      <c r="I13" s="97">
        <v>1.2738853503184711E-2</v>
      </c>
      <c r="J13" s="97">
        <v>0.16666666666666671</v>
      </c>
      <c r="K13" s="97">
        <v>0</v>
      </c>
      <c r="L13" s="97">
        <v>0</v>
      </c>
      <c r="M13" s="97">
        <v>6.4516129032258056E-3</v>
      </c>
      <c r="N13" s="97">
        <v>0</v>
      </c>
      <c r="O13" s="97">
        <v>2.564102564102564E-2</v>
      </c>
      <c r="P13" s="110">
        <v>5.3571428571428568E-2</v>
      </c>
    </row>
    <row r="14" spans="2:16">
      <c r="B14" s="246"/>
      <c r="C14" s="165">
        <v>1997</v>
      </c>
      <c r="D14" s="180" t="s">
        <v>237</v>
      </c>
      <c r="E14" s="181">
        <v>0</v>
      </c>
      <c r="F14" s="181">
        <v>9.7087378640776698E-2</v>
      </c>
      <c r="G14" s="181">
        <v>8.8888888888888892E-2</v>
      </c>
      <c r="H14" s="181">
        <v>0</v>
      </c>
      <c r="I14" s="181">
        <v>1.075268817204301E-2</v>
      </c>
      <c r="J14" s="181">
        <v>0</v>
      </c>
      <c r="K14" s="181">
        <v>0</v>
      </c>
      <c r="L14" s="181">
        <v>0</v>
      </c>
      <c r="M14" s="181">
        <v>4.5161290322580643E-2</v>
      </c>
      <c r="N14" s="181">
        <v>0</v>
      </c>
      <c r="O14" s="181">
        <v>4.2553191489361701E-2</v>
      </c>
      <c r="P14" s="182">
        <v>0</v>
      </c>
    </row>
    <row r="15" spans="2:16">
      <c r="B15" s="246"/>
      <c r="C15" s="106">
        <v>1998</v>
      </c>
      <c r="D15" s="103" t="s">
        <v>237</v>
      </c>
      <c r="E15" s="97">
        <v>0</v>
      </c>
      <c r="F15" s="97">
        <v>0.1333333333333333</v>
      </c>
      <c r="G15" s="97">
        <v>4.8543689320388349E-2</v>
      </c>
      <c r="H15" s="97">
        <v>0.08</v>
      </c>
      <c r="I15" s="97">
        <v>8.4158415841584164E-2</v>
      </c>
      <c r="J15" s="97">
        <v>0.5</v>
      </c>
      <c r="K15" s="97">
        <v>6.25E-2</v>
      </c>
      <c r="L15" s="97">
        <v>0</v>
      </c>
      <c r="M15" s="97">
        <v>0.1066666666666667</v>
      </c>
      <c r="N15" s="97">
        <v>0</v>
      </c>
      <c r="O15" s="97">
        <v>0</v>
      </c>
      <c r="P15" s="110">
        <v>0.15517241379310351</v>
      </c>
    </row>
    <row r="16" spans="2:16">
      <c r="B16" s="246"/>
      <c r="C16" s="165">
        <v>1999</v>
      </c>
      <c r="D16" s="180" t="s">
        <v>237</v>
      </c>
      <c r="E16" s="181">
        <v>0.1333333333333333</v>
      </c>
      <c r="F16" s="181">
        <v>6.25E-2</v>
      </c>
      <c r="G16" s="181">
        <v>5.2631578947368418E-2</v>
      </c>
      <c r="H16" s="181">
        <v>3.8461538461538457E-2</v>
      </c>
      <c r="I16" s="181">
        <v>3.1963470319634701E-2</v>
      </c>
      <c r="J16" s="181">
        <v>0.16666666666666671</v>
      </c>
      <c r="K16" s="181">
        <v>2.0408163265306121E-2</v>
      </c>
      <c r="L16" s="181">
        <v>0</v>
      </c>
      <c r="M16" s="181">
        <v>2.6490066225165559E-2</v>
      </c>
      <c r="N16" s="181">
        <v>0</v>
      </c>
      <c r="O16" s="181">
        <v>1.6393442622950821E-2</v>
      </c>
      <c r="P16" s="182">
        <v>5.8823529411764712E-2</v>
      </c>
    </row>
    <row r="17" spans="2:16">
      <c r="B17" s="246"/>
      <c r="C17" s="106">
        <v>2000</v>
      </c>
      <c r="D17" s="103" t="s">
        <v>237</v>
      </c>
      <c r="E17" s="97">
        <v>2.9411764705882349E-2</v>
      </c>
      <c r="F17" s="97">
        <v>7.5471698113207544E-2</v>
      </c>
      <c r="G17" s="97">
        <v>7.1999999999999995E-2</v>
      </c>
      <c r="H17" s="97">
        <v>0</v>
      </c>
      <c r="I17" s="97">
        <v>3.2258064516129031E-2</v>
      </c>
      <c r="J17" s="97">
        <v>0</v>
      </c>
      <c r="K17" s="97">
        <v>5.4545454545454543E-2</v>
      </c>
      <c r="L17" s="97">
        <v>0</v>
      </c>
      <c r="M17" s="97">
        <v>5.0632911392405063E-2</v>
      </c>
      <c r="N17" s="97">
        <v>0</v>
      </c>
      <c r="O17" s="97">
        <v>0</v>
      </c>
      <c r="P17" s="110">
        <v>1.754385964912281E-2</v>
      </c>
    </row>
    <row r="18" spans="2:16">
      <c r="B18" s="246"/>
      <c r="C18" s="165">
        <v>2001</v>
      </c>
      <c r="D18" s="180" t="s">
        <v>237</v>
      </c>
      <c r="E18" s="181">
        <v>5.8823529411764712E-2</v>
      </c>
      <c r="F18" s="181">
        <v>8.8235294117647065E-2</v>
      </c>
      <c r="G18" s="181">
        <v>5.6910569105691047E-2</v>
      </c>
      <c r="H18" s="181">
        <v>3.7037037037037028E-2</v>
      </c>
      <c r="I18" s="181">
        <v>3.8596491228070177E-2</v>
      </c>
      <c r="J18" s="181">
        <v>0.2142857142857143</v>
      </c>
      <c r="K18" s="181">
        <v>5.0847457627118647E-2</v>
      </c>
      <c r="L18" s="181">
        <v>0</v>
      </c>
      <c r="M18" s="181">
        <v>4.5751633986928102E-2</v>
      </c>
      <c r="N18" s="181">
        <v>0</v>
      </c>
      <c r="O18" s="181">
        <v>1.3513513513513511E-2</v>
      </c>
      <c r="P18" s="182">
        <v>8.1967213114754092E-2</v>
      </c>
    </row>
    <row r="19" spans="2:16">
      <c r="B19" s="246"/>
      <c r="C19" s="106">
        <v>2002</v>
      </c>
      <c r="D19" s="103" t="s">
        <v>237</v>
      </c>
      <c r="E19" s="97">
        <v>2.8571428571428571E-2</v>
      </c>
      <c r="F19" s="97">
        <v>0.18269230769230771</v>
      </c>
      <c r="G19" s="97">
        <v>6.0344827586206899E-2</v>
      </c>
      <c r="H19" s="97">
        <v>0</v>
      </c>
      <c r="I19" s="97">
        <v>6.0897435897435903E-2</v>
      </c>
      <c r="J19" s="97">
        <v>0.125</v>
      </c>
      <c r="K19" s="97">
        <v>0.1071428571428571</v>
      </c>
      <c r="L19" s="97">
        <v>0</v>
      </c>
      <c r="M19" s="97">
        <v>9.375E-2</v>
      </c>
      <c r="N19" s="97">
        <v>9.0909090909090912E-2</v>
      </c>
      <c r="O19" s="97">
        <v>7.6923076923076927E-2</v>
      </c>
      <c r="P19" s="110">
        <v>0</v>
      </c>
    </row>
    <row r="20" spans="2:16">
      <c r="B20" s="246"/>
      <c r="C20" s="165">
        <v>2003</v>
      </c>
      <c r="D20" s="180" t="s">
        <v>237</v>
      </c>
      <c r="E20" s="181">
        <v>5.5555555555555552E-2</v>
      </c>
      <c r="F20" s="181">
        <v>0.10309278350515461</v>
      </c>
      <c r="G20" s="181">
        <v>0.14285714285714279</v>
      </c>
      <c r="H20" s="181">
        <v>5.8823529411764712E-2</v>
      </c>
      <c r="I20" s="181">
        <v>3.9156626506024098E-2</v>
      </c>
      <c r="J20" s="181">
        <v>0.1875</v>
      </c>
      <c r="K20" s="181">
        <v>8.6206896551724144E-2</v>
      </c>
      <c r="L20" s="181">
        <v>0.16666666666666671</v>
      </c>
      <c r="M20" s="181">
        <v>5.4054054054054057E-2</v>
      </c>
      <c r="N20" s="181">
        <v>0</v>
      </c>
      <c r="O20" s="181">
        <v>9.2105263157894732E-2</v>
      </c>
      <c r="P20" s="182">
        <v>0</v>
      </c>
    </row>
    <row r="21" spans="2:16">
      <c r="B21" s="246"/>
      <c r="C21" s="106">
        <v>2004</v>
      </c>
      <c r="D21" s="103" t="s">
        <v>237</v>
      </c>
      <c r="E21" s="97">
        <v>4.878048780487805E-2</v>
      </c>
      <c r="F21" s="97">
        <v>4.3010752688172053E-2</v>
      </c>
      <c r="G21" s="97">
        <v>7.1428571428571425E-2</v>
      </c>
      <c r="H21" s="97">
        <v>0.1025641025641026</v>
      </c>
      <c r="I21" s="97">
        <v>3.7940379403794043E-2</v>
      </c>
      <c r="J21" s="97">
        <v>5.5555555555555552E-2</v>
      </c>
      <c r="K21" s="97">
        <v>6.5573770491803282E-2</v>
      </c>
      <c r="L21" s="97">
        <v>0.42857142857142849</v>
      </c>
      <c r="M21" s="97">
        <v>1.3513513513513511E-2</v>
      </c>
      <c r="N21" s="97">
        <v>6.6666666666666666E-2</v>
      </c>
      <c r="O21" s="97">
        <v>0</v>
      </c>
      <c r="P21" s="110">
        <v>1.3333333333333331E-2</v>
      </c>
    </row>
    <row r="22" spans="2:16">
      <c r="B22" s="246"/>
      <c r="C22" s="165">
        <v>2005</v>
      </c>
      <c r="D22" s="180" t="s">
        <v>237</v>
      </c>
      <c r="E22" s="181">
        <v>7.1428571428571425E-2</v>
      </c>
      <c r="F22" s="181">
        <v>6.9306930693069313E-2</v>
      </c>
      <c r="G22" s="181">
        <v>5.0420168067226892E-2</v>
      </c>
      <c r="H22" s="181">
        <v>4.4444444444444453E-2</v>
      </c>
      <c r="I22" s="181">
        <v>1.8912529550827419E-2</v>
      </c>
      <c r="J22" s="181">
        <v>5.5555555555555552E-2</v>
      </c>
      <c r="K22" s="181">
        <v>2.9411764705882349E-2</v>
      </c>
      <c r="L22" s="181">
        <v>0</v>
      </c>
      <c r="M22" s="181">
        <v>1.714285714285714E-2</v>
      </c>
      <c r="N22" s="181">
        <v>0</v>
      </c>
      <c r="O22" s="181">
        <v>3.7037037037037028E-2</v>
      </c>
      <c r="P22" s="182">
        <v>0</v>
      </c>
    </row>
    <row r="23" spans="2:16">
      <c r="B23" s="246"/>
      <c r="C23" s="106">
        <v>2006</v>
      </c>
      <c r="D23" s="103" t="s">
        <v>237</v>
      </c>
      <c r="E23" s="97">
        <v>2.7027027027027029E-2</v>
      </c>
      <c r="F23" s="97">
        <v>4.9019607843137247E-2</v>
      </c>
      <c r="G23" s="97">
        <v>7.8125E-2</v>
      </c>
      <c r="H23" s="97">
        <v>0</v>
      </c>
      <c r="I23" s="97">
        <v>2.204408817635271E-2</v>
      </c>
      <c r="J23" s="97">
        <v>5.5555555555555552E-2</v>
      </c>
      <c r="K23" s="97">
        <v>0</v>
      </c>
      <c r="L23" s="97">
        <v>0</v>
      </c>
      <c r="M23" s="97">
        <v>3.825136612021858E-2</v>
      </c>
      <c r="N23" s="97">
        <v>0</v>
      </c>
      <c r="O23" s="97">
        <v>2.197802197802198E-2</v>
      </c>
      <c r="P23" s="110">
        <v>2.0408163265306121E-2</v>
      </c>
    </row>
    <row r="24" spans="2:16">
      <c r="B24" s="246"/>
      <c r="C24" s="165">
        <v>2007</v>
      </c>
      <c r="D24" s="180" t="s">
        <v>237</v>
      </c>
      <c r="E24" s="181">
        <v>2.3809523809523812E-2</v>
      </c>
      <c r="F24" s="181">
        <v>5.8252427184466021E-2</v>
      </c>
      <c r="G24" s="181">
        <v>3.4482758620689648E-2</v>
      </c>
      <c r="H24" s="181">
        <v>2.6315789473684209E-2</v>
      </c>
      <c r="I24" s="181">
        <v>2.517985611510791E-2</v>
      </c>
      <c r="J24" s="181">
        <v>0</v>
      </c>
      <c r="K24" s="181">
        <v>3.896103896103896E-2</v>
      </c>
      <c r="L24" s="181">
        <v>0.2</v>
      </c>
      <c r="M24" s="181">
        <v>1.60427807486631E-2</v>
      </c>
      <c r="N24" s="181">
        <v>0</v>
      </c>
      <c r="O24" s="181">
        <v>3.4090909090909088E-2</v>
      </c>
      <c r="P24" s="182">
        <v>0</v>
      </c>
    </row>
    <row r="25" spans="2:16">
      <c r="B25" s="246"/>
      <c r="C25" s="106">
        <v>2008</v>
      </c>
      <c r="D25" s="103" t="s">
        <v>237</v>
      </c>
      <c r="E25" s="97">
        <v>5.3571428571428568E-2</v>
      </c>
      <c r="F25" s="97">
        <v>4.5454545454545463E-2</v>
      </c>
      <c r="G25" s="97">
        <v>6.2111801242236017E-2</v>
      </c>
      <c r="H25" s="97">
        <v>1.9607843137254902E-2</v>
      </c>
      <c r="I25" s="97">
        <v>2.6397515527950308E-2</v>
      </c>
      <c r="J25" s="97">
        <v>0</v>
      </c>
      <c r="K25" s="97">
        <v>4.5977011494252873E-2</v>
      </c>
      <c r="L25" s="97">
        <v>0</v>
      </c>
      <c r="M25" s="97">
        <v>2.5000000000000001E-2</v>
      </c>
      <c r="N25" s="97">
        <v>0</v>
      </c>
      <c r="O25" s="97">
        <v>2.9702970297029702E-2</v>
      </c>
      <c r="P25" s="110">
        <v>0.04</v>
      </c>
    </row>
    <row r="26" spans="2:16">
      <c r="B26" s="246"/>
      <c r="C26" s="165">
        <v>2009</v>
      </c>
      <c r="D26" s="180" t="s">
        <v>237</v>
      </c>
      <c r="E26" s="181">
        <v>3.8461538461538457E-2</v>
      </c>
      <c r="F26" s="181">
        <v>5.128205128205128E-2</v>
      </c>
      <c r="G26" s="181">
        <v>3.825136612021858E-2</v>
      </c>
      <c r="H26" s="181">
        <v>3.6363636363636362E-2</v>
      </c>
      <c r="I26" s="181">
        <v>2.7624309392265189E-2</v>
      </c>
      <c r="J26" s="181">
        <v>3.125E-2</v>
      </c>
      <c r="K26" s="181">
        <v>7.0000000000000007E-2</v>
      </c>
      <c r="L26" s="181" t="s">
        <v>237</v>
      </c>
      <c r="M26" s="181">
        <v>6.25E-2</v>
      </c>
      <c r="N26" s="181">
        <v>0</v>
      </c>
      <c r="O26" s="181">
        <v>1.503759398496241E-2</v>
      </c>
      <c r="P26" s="182">
        <v>2.9411764705882349E-2</v>
      </c>
    </row>
    <row r="27" spans="2:16">
      <c r="B27" s="246"/>
      <c r="C27" s="106">
        <v>2010</v>
      </c>
      <c r="D27" s="103" t="s">
        <v>237</v>
      </c>
      <c r="E27" s="97">
        <v>0</v>
      </c>
      <c r="F27" s="97">
        <v>8.5470085470085472E-2</v>
      </c>
      <c r="G27" s="97">
        <v>8.0188679245283015E-2</v>
      </c>
      <c r="H27" s="97">
        <v>1.785714285714286E-2</v>
      </c>
      <c r="I27" s="97">
        <v>2.2546419098143231E-2</v>
      </c>
      <c r="J27" s="97">
        <v>5.5555555555555552E-2</v>
      </c>
      <c r="K27" s="97">
        <v>1.7699115044247791E-2</v>
      </c>
      <c r="L27" s="97">
        <v>0</v>
      </c>
      <c r="M27" s="97">
        <v>8.8235294117647065E-2</v>
      </c>
      <c r="N27" s="97">
        <v>0.1</v>
      </c>
      <c r="O27" s="97">
        <v>6.2500000000000003E-3</v>
      </c>
      <c r="P27" s="110">
        <v>4.878048780487805E-2</v>
      </c>
    </row>
    <row r="28" spans="2:16">
      <c r="B28" s="246"/>
      <c r="C28" s="165">
        <v>2011</v>
      </c>
      <c r="D28" s="180" t="s">
        <v>237</v>
      </c>
      <c r="E28" s="181">
        <v>4.7058823529411757E-2</v>
      </c>
      <c r="F28" s="181">
        <v>8.4033613445378148E-3</v>
      </c>
      <c r="G28" s="181">
        <v>3.6199095022624438E-2</v>
      </c>
      <c r="H28" s="181">
        <v>3.4482758620689648E-2</v>
      </c>
      <c r="I28" s="181">
        <v>1.7478152309612981E-2</v>
      </c>
      <c r="J28" s="181">
        <v>4.878048780487805E-2</v>
      </c>
      <c r="K28" s="181">
        <v>7.8014184397163122E-2</v>
      </c>
      <c r="L28" s="181">
        <v>0</v>
      </c>
      <c r="M28" s="181">
        <v>3.125E-2</v>
      </c>
      <c r="N28" s="181">
        <v>6.25E-2</v>
      </c>
      <c r="O28" s="181">
        <v>2.1052631578947371E-2</v>
      </c>
      <c r="P28" s="182">
        <v>0.1</v>
      </c>
    </row>
    <row r="29" spans="2:16">
      <c r="B29" s="246"/>
      <c r="C29" s="106">
        <v>2012</v>
      </c>
      <c r="D29" s="103" t="s">
        <v>237</v>
      </c>
      <c r="E29" s="97">
        <v>4.49438202247191E-2</v>
      </c>
      <c r="F29" s="97">
        <v>6.0150375939849621E-2</v>
      </c>
      <c r="G29" s="97">
        <v>4.7826086956521741E-2</v>
      </c>
      <c r="H29" s="97">
        <v>1.754385964912281E-2</v>
      </c>
      <c r="I29" s="97">
        <v>2.0594965675057211E-2</v>
      </c>
      <c r="J29" s="97">
        <v>4.5454545454545463E-2</v>
      </c>
      <c r="K29" s="97">
        <v>0.02</v>
      </c>
      <c r="L29" s="97">
        <v>0</v>
      </c>
      <c r="M29" s="97">
        <v>4.4554455445544552E-2</v>
      </c>
      <c r="N29" s="97">
        <v>0.108695652173913</v>
      </c>
      <c r="O29" s="97">
        <v>8.5836909871244635E-3</v>
      </c>
      <c r="P29" s="110">
        <v>5.4545454545454543E-2</v>
      </c>
    </row>
    <row r="30" spans="2:16">
      <c r="B30" s="246"/>
      <c r="C30" s="165">
        <v>2013</v>
      </c>
      <c r="D30" s="180" t="s">
        <v>237</v>
      </c>
      <c r="E30" s="181">
        <v>2.5316455696202531E-2</v>
      </c>
      <c r="F30" s="181">
        <v>3.7499999999999999E-2</v>
      </c>
      <c r="G30" s="181">
        <v>4.3650793650793648E-2</v>
      </c>
      <c r="H30" s="181">
        <v>4.6153846153846163E-2</v>
      </c>
      <c r="I30" s="181">
        <v>5.5066079295154188E-3</v>
      </c>
      <c r="J30" s="181">
        <v>5.7692307692307702E-2</v>
      </c>
      <c r="K30" s="181">
        <v>2.222222222222222E-2</v>
      </c>
      <c r="L30" s="181">
        <v>0</v>
      </c>
      <c r="M30" s="181">
        <v>2.7522935779816519E-2</v>
      </c>
      <c r="N30" s="181">
        <v>6.25E-2</v>
      </c>
      <c r="O30" s="181">
        <v>2.1126760563380281E-2</v>
      </c>
      <c r="P30" s="182">
        <v>5.1948051948051951E-2</v>
      </c>
    </row>
    <row r="31" spans="2:16">
      <c r="B31" s="246"/>
      <c r="C31" s="106">
        <v>2014</v>
      </c>
      <c r="D31" s="103" t="s">
        <v>237</v>
      </c>
      <c r="E31" s="97">
        <v>3.03030303030303E-2</v>
      </c>
      <c r="F31" s="97">
        <v>5.4545454545454543E-2</v>
      </c>
      <c r="G31" s="97">
        <v>3.7800687285223372E-2</v>
      </c>
      <c r="H31" s="97">
        <v>9.0909090909090912E-2</v>
      </c>
      <c r="I31" s="97">
        <v>1.467505241090147E-2</v>
      </c>
      <c r="J31" s="97">
        <v>3.7037037037037028E-2</v>
      </c>
      <c r="K31" s="97">
        <v>7.2625698324022353E-2</v>
      </c>
      <c r="L31" s="97">
        <v>0.125</v>
      </c>
      <c r="M31" s="97">
        <v>8.3333333333333329E-2</v>
      </c>
      <c r="N31" s="97">
        <v>2.1276595744680851E-2</v>
      </c>
      <c r="O31" s="97">
        <v>3.8216560509554139E-2</v>
      </c>
      <c r="P31" s="110">
        <v>0.1</v>
      </c>
    </row>
    <row r="32" spans="2:16">
      <c r="B32" s="246"/>
      <c r="C32" s="165">
        <v>2015</v>
      </c>
      <c r="D32" s="180" t="s">
        <v>237</v>
      </c>
      <c r="E32" s="181">
        <v>1.470588235294118E-2</v>
      </c>
      <c r="F32" s="181">
        <v>3.482587064676617E-2</v>
      </c>
      <c r="G32" s="181">
        <v>5.865102639296188E-2</v>
      </c>
      <c r="H32" s="181">
        <v>8.4507042253521125E-2</v>
      </c>
      <c r="I32" s="181">
        <v>1.4503816793893129E-2</v>
      </c>
      <c r="J32" s="181">
        <v>5.7971014492753617E-2</v>
      </c>
      <c r="K32" s="181">
        <v>5.0847457627118647E-2</v>
      </c>
      <c r="L32" s="181">
        <v>9.0909090909090912E-2</v>
      </c>
      <c r="M32" s="181">
        <v>5.2083333333333343E-2</v>
      </c>
      <c r="N32" s="181">
        <v>2.1276595744680851E-2</v>
      </c>
      <c r="O32" s="181">
        <v>1.627906976744186E-2</v>
      </c>
      <c r="P32" s="182">
        <v>2.1052631578947371E-2</v>
      </c>
    </row>
    <row r="33" spans="1:16">
      <c r="B33" s="246"/>
      <c r="C33" s="106">
        <v>2016</v>
      </c>
      <c r="D33" s="103" t="s">
        <v>237</v>
      </c>
      <c r="E33" s="97">
        <v>4.6153846153846163E-2</v>
      </c>
      <c r="F33" s="97">
        <v>7.1428571428571425E-2</v>
      </c>
      <c r="G33" s="97">
        <v>3.8235294117647062E-2</v>
      </c>
      <c r="H33" s="97">
        <v>2.9411764705882349E-2</v>
      </c>
      <c r="I33" s="97">
        <v>2.0331325301204819E-2</v>
      </c>
      <c r="J33" s="97">
        <v>6.5789473684210523E-2</v>
      </c>
      <c r="K33" s="97">
        <v>4.3668122270742363E-2</v>
      </c>
      <c r="L33" s="97">
        <v>7.1428571428571425E-2</v>
      </c>
      <c r="M33" s="97">
        <v>4.8913043478260872E-2</v>
      </c>
      <c r="N33" s="97">
        <v>2.0833333333333329E-2</v>
      </c>
      <c r="O33" s="97">
        <v>5.2845528455284563E-2</v>
      </c>
      <c r="P33" s="110">
        <v>3.8834951456310683E-2</v>
      </c>
    </row>
    <row r="34" spans="1:16">
      <c r="B34" s="246"/>
      <c r="C34" s="165">
        <v>2017</v>
      </c>
      <c r="D34" s="180" t="s">
        <v>237</v>
      </c>
      <c r="E34" s="181">
        <v>0.13207547169811321</v>
      </c>
      <c r="F34" s="181">
        <v>3.9603960396039598E-2</v>
      </c>
      <c r="G34" s="181">
        <v>3.7681159420289857E-2</v>
      </c>
      <c r="H34" s="181">
        <v>3.03030303030303E-2</v>
      </c>
      <c r="I34" s="181">
        <v>1.987767584097859E-2</v>
      </c>
      <c r="J34" s="181">
        <v>4.878048780487805E-2</v>
      </c>
      <c r="K34" s="181">
        <v>2.8225806451612899E-2</v>
      </c>
      <c r="L34" s="181">
        <v>0</v>
      </c>
      <c r="M34" s="181">
        <v>3.8043478260869568E-2</v>
      </c>
      <c r="N34" s="181">
        <v>4.6511627906976737E-2</v>
      </c>
      <c r="O34" s="181">
        <v>3.5785288270377733E-2</v>
      </c>
      <c r="P34" s="182">
        <v>3.9215686274509803E-2</v>
      </c>
    </row>
    <row r="35" spans="1:16">
      <c r="B35" s="246"/>
      <c r="C35" s="106">
        <v>2018</v>
      </c>
      <c r="D35" s="103" t="s">
        <v>237</v>
      </c>
      <c r="E35" s="97">
        <v>2.3255813953488368E-2</v>
      </c>
      <c r="F35" s="97">
        <v>5.5276381909547742E-2</v>
      </c>
      <c r="G35" s="97">
        <v>2.6470588235294121E-2</v>
      </c>
      <c r="H35" s="97">
        <v>3.4482758620689648E-2</v>
      </c>
      <c r="I35" s="97">
        <v>1.444866920152091E-2</v>
      </c>
      <c r="J35" s="97">
        <v>7.2289156626506021E-2</v>
      </c>
      <c r="K35" s="97">
        <v>3.3472803347280332E-2</v>
      </c>
      <c r="L35" s="97">
        <v>0.1</v>
      </c>
      <c r="M35" s="97">
        <v>4.5977011494252873E-2</v>
      </c>
      <c r="N35" s="97">
        <v>4.7619047619047623E-2</v>
      </c>
      <c r="O35" s="97">
        <v>2.6755852842809361E-2</v>
      </c>
      <c r="P35" s="110">
        <v>5.3191489361702128E-2</v>
      </c>
    </row>
    <row r="36" spans="1:16">
      <c r="B36" s="246"/>
      <c r="C36" s="165">
        <v>2019</v>
      </c>
      <c r="D36" s="180" t="s">
        <v>237</v>
      </c>
      <c r="E36" s="181">
        <v>0.04</v>
      </c>
      <c r="F36" s="181">
        <v>6.2200956937799042E-2</v>
      </c>
      <c r="G36" s="181">
        <v>5.8333333333333327E-2</v>
      </c>
      <c r="H36" s="181">
        <v>0</v>
      </c>
      <c r="I36" s="181">
        <v>2.5887573964497038E-2</v>
      </c>
      <c r="J36" s="181">
        <v>7.0422535211267609E-2</v>
      </c>
      <c r="K36" s="181">
        <v>2.4590163934426229E-2</v>
      </c>
      <c r="L36" s="181">
        <v>5.8823529411764712E-2</v>
      </c>
      <c r="M36" s="181">
        <v>3.614457831325301E-2</v>
      </c>
      <c r="N36" s="181">
        <v>2.3809523809523812E-2</v>
      </c>
      <c r="O36" s="181">
        <v>2.0679468242245199E-2</v>
      </c>
      <c r="P36" s="182">
        <v>0.14285714285714279</v>
      </c>
    </row>
    <row r="37" spans="1:16">
      <c r="B37" s="246"/>
      <c r="C37" s="106">
        <v>2020</v>
      </c>
      <c r="D37" s="103" t="s">
        <v>237</v>
      </c>
      <c r="E37" s="97">
        <v>3.9215686274509803E-2</v>
      </c>
      <c r="F37" s="97">
        <v>9.8522167487684734E-2</v>
      </c>
      <c r="G37" s="97">
        <v>5.8011049723756897E-2</v>
      </c>
      <c r="H37" s="97">
        <v>6.3829787234042548E-2</v>
      </c>
      <c r="I37" s="97">
        <v>3.7527593818984538E-2</v>
      </c>
      <c r="J37" s="97">
        <v>9.2105263157894732E-2</v>
      </c>
      <c r="K37" s="97">
        <v>4.8192771084337352E-2</v>
      </c>
      <c r="L37" s="97">
        <v>0.14285714285714279</v>
      </c>
      <c r="M37" s="97">
        <v>6.7073170731707321E-2</v>
      </c>
      <c r="N37" s="97">
        <v>8.8888888888888892E-2</v>
      </c>
      <c r="O37" s="97">
        <v>5.1144010767160158E-2</v>
      </c>
      <c r="P37" s="110">
        <v>2.564102564102564E-2</v>
      </c>
    </row>
    <row r="38" spans="1:16">
      <c r="B38" s="246"/>
      <c r="C38" s="165">
        <v>2021</v>
      </c>
      <c r="D38" s="180" t="s">
        <v>237</v>
      </c>
      <c r="E38" s="181">
        <v>6.5217391304347824E-2</v>
      </c>
      <c r="F38" s="181">
        <v>5.7291666666666657E-2</v>
      </c>
      <c r="G38" s="181">
        <v>5.3370786516853931E-2</v>
      </c>
      <c r="H38" s="181">
        <v>2.3809523809523812E-2</v>
      </c>
      <c r="I38" s="181">
        <v>2.0029673590504449E-2</v>
      </c>
      <c r="J38" s="181">
        <v>4.0540540540540543E-2</v>
      </c>
      <c r="K38" s="181">
        <v>2.8925619834710741E-2</v>
      </c>
      <c r="L38" s="181">
        <v>7.6923076923076927E-2</v>
      </c>
      <c r="M38" s="181">
        <v>4.0935672514619881E-2</v>
      </c>
      <c r="N38" s="181">
        <v>6.5217391304347824E-2</v>
      </c>
      <c r="O38" s="181">
        <v>2.479338842975207E-2</v>
      </c>
      <c r="P38" s="182">
        <v>2.469135802469136E-2</v>
      </c>
    </row>
    <row r="39" spans="1:16">
      <c r="B39" s="246"/>
      <c r="C39" s="106">
        <v>2022</v>
      </c>
      <c r="D39" s="103" t="s">
        <v>237</v>
      </c>
      <c r="E39" s="97">
        <v>2.0833333333333329E-2</v>
      </c>
      <c r="F39" s="97">
        <v>4.4776119402985072E-2</v>
      </c>
      <c r="G39" s="97">
        <v>8.1460674157303375E-2</v>
      </c>
      <c r="H39" s="97">
        <v>3.03030303030303E-2</v>
      </c>
      <c r="I39" s="97">
        <v>1.7910447761194031E-2</v>
      </c>
      <c r="J39" s="97">
        <v>2.469135802469136E-2</v>
      </c>
      <c r="K39" s="97">
        <v>3.1872509960159362E-2</v>
      </c>
      <c r="L39" s="97">
        <v>0</v>
      </c>
      <c r="M39" s="97">
        <v>5.0314465408805027E-2</v>
      </c>
      <c r="N39" s="97">
        <v>0.1020408163265306</v>
      </c>
      <c r="O39" s="97">
        <v>2.560646900269542E-2</v>
      </c>
      <c r="P39" s="110">
        <v>1.3157894736842099E-2</v>
      </c>
    </row>
    <row r="40" spans="1:16">
      <c r="B40" s="246"/>
      <c r="C40" s="165">
        <v>2023</v>
      </c>
      <c r="D40" s="180" t="s">
        <v>237</v>
      </c>
      <c r="E40" s="181">
        <v>6.25E-2</v>
      </c>
      <c r="F40" s="181">
        <v>3.553299492385787E-2</v>
      </c>
      <c r="G40" s="181">
        <v>7.1022727272727279E-2</v>
      </c>
      <c r="H40" s="181">
        <v>2.9411764705882349E-2</v>
      </c>
      <c r="I40" s="181">
        <v>2.1577380952380949E-2</v>
      </c>
      <c r="J40" s="181">
        <v>6.8965517241379309E-2</v>
      </c>
      <c r="K40" s="181">
        <v>1.094890510948905E-2</v>
      </c>
      <c r="L40" s="181">
        <v>0</v>
      </c>
      <c r="M40" s="181">
        <v>3.3783783783783793E-2</v>
      </c>
      <c r="N40" s="181">
        <v>5.7692307692307702E-2</v>
      </c>
      <c r="O40" s="181">
        <v>3.5812672176308541E-2</v>
      </c>
      <c r="P40" s="182">
        <v>2.5316455696202531E-2</v>
      </c>
    </row>
    <row r="41" spans="1:16" ht="14.4" thickBot="1">
      <c r="B41" s="246"/>
      <c r="C41" s="107">
        <v>2024</v>
      </c>
      <c r="D41" s="111" t="s">
        <v>237</v>
      </c>
      <c r="E41" s="112">
        <v>1.9230769230769228E-2</v>
      </c>
      <c r="F41" s="112">
        <v>3.3175355450236969E-2</v>
      </c>
      <c r="G41" s="112">
        <v>1.4005602240896361E-2</v>
      </c>
      <c r="H41" s="112">
        <v>0.04</v>
      </c>
      <c r="I41" s="112">
        <v>2.2463768115942029E-2</v>
      </c>
      <c r="J41" s="112">
        <v>3.2258064516129031E-2</v>
      </c>
      <c r="K41" s="112">
        <v>1.360544217687075E-2</v>
      </c>
      <c r="L41" s="112">
        <v>0</v>
      </c>
      <c r="M41" s="112">
        <v>3.2679738562091512E-2</v>
      </c>
      <c r="N41" s="112">
        <v>5.7692307692307702E-2</v>
      </c>
      <c r="O41" s="112">
        <v>2.2824536376604851E-2</v>
      </c>
      <c r="P41" s="113">
        <v>2.6666666666666668E-2</v>
      </c>
    </row>
    <row r="43" spans="1:16"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</row>
    <row r="44" spans="1:16">
      <c r="A44" s="92"/>
      <c r="B44" s="92"/>
    </row>
    <row r="45" spans="1:16">
      <c r="A45" s="92"/>
      <c r="B45" s="92"/>
    </row>
    <row r="46" spans="1:16">
      <c r="A46" s="92"/>
      <c r="B46" s="92"/>
    </row>
    <row r="47" spans="1:16">
      <c r="A47" s="92"/>
      <c r="B47" s="92"/>
    </row>
    <row r="48" spans="1:16">
      <c r="A48" s="92"/>
      <c r="B48" s="92"/>
    </row>
    <row r="49" spans="1:2">
      <c r="A49" s="92"/>
      <c r="B49" s="92"/>
    </row>
    <row r="50" spans="1:2">
      <c r="A50" s="92"/>
      <c r="B50" s="92"/>
    </row>
    <row r="51" spans="1:2">
      <c r="A51" s="92"/>
      <c r="B51" s="92"/>
    </row>
    <row r="52" spans="1:2">
      <c r="A52" s="92"/>
      <c r="B52" s="92"/>
    </row>
    <row r="53" spans="1:2">
      <c r="A53" s="92"/>
      <c r="B53" s="92"/>
    </row>
    <row r="54" spans="1:2">
      <c r="A54" s="92"/>
      <c r="B54" s="92"/>
    </row>
    <row r="55" spans="1:2">
      <c r="A55" s="92"/>
      <c r="B55" s="92"/>
    </row>
    <row r="56" spans="1:2">
      <c r="A56" s="92"/>
      <c r="B56" s="92"/>
    </row>
    <row r="57" spans="1:2">
      <c r="A57" s="92"/>
      <c r="B57" s="92"/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0704-0E17-4DCD-B416-8B813A0C970B}">
  <sheetPr>
    <tabColor rgb="FFFF0000"/>
  </sheetPr>
  <dimension ref="A1:L88"/>
  <sheetViews>
    <sheetView workbookViewId="0">
      <selection activeCell="H3" sqref="H3"/>
    </sheetView>
  </sheetViews>
  <sheetFormatPr defaultRowHeight="13.8"/>
  <cols>
    <col min="1" max="1" width="3.59765625" customWidth="1"/>
    <col min="2" max="2" width="4.8984375" bestFit="1" customWidth="1"/>
    <col min="3" max="3" width="14.59765625" style="92" customWidth="1"/>
    <col min="4" max="10" width="14" customWidth="1"/>
    <col min="11" max="11" width="9"/>
  </cols>
  <sheetData>
    <row r="1" spans="1:12" ht="14.4" thickBot="1">
      <c r="A1" s="92"/>
      <c r="B1" s="92"/>
      <c r="G1" s="554" t="s">
        <v>534</v>
      </c>
    </row>
    <row r="2" spans="1:12" ht="14.4" thickBot="1">
      <c r="A2" s="92"/>
      <c r="B2" s="92"/>
      <c r="C2" s="235" t="s">
        <v>377</v>
      </c>
      <c r="G2" s="553">
        <f>G10*G9/SUM(G9,I9)+I10*I9/SUM(G9,I9)</f>
        <v>3.4220779220779221E-2</v>
      </c>
      <c r="H2" s="567">
        <f>G7+I7</f>
        <v>2715</v>
      </c>
    </row>
    <row r="3" spans="1:12" ht="14.4" thickBot="1">
      <c r="A3" s="92"/>
      <c r="B3" s="92"/>
      <c r="C3" s="235"/>
      <c r="L3" s="235" t="s">
        <v>378</v>
      </c>
    </row>
    <row r="4" spans="1:12" ht="37.950000000000003" customHeight="1" thickBot="1">
      <c r="C4" s="104"/>
      <c r="D4" s="2" t="s">
        <v>85</v>
      </c>
      <c r="E4" s="275" t="s">
        <v>86</v>
      </c>
      <c r="F4" s="151" t="s">
        <v>87</v>
      </c>
      <c r="G4" s="100" t="s">
        <v>88</v>
      </c>
      <c r="H4" s="100" t="s">
        <v>89</v>
      </c>
      <c r="I4" s="100" t="s">
        <v>90</v>
      </c>
      <c r="J4" s="1" t="s">
        <v>91</v>
      </c>
    </row>
    <row r="5" spans="1:12" hidden="1">
      <c r="C5" s="105"/>
      <c r="D5" s="101"/>
      <c r="E5" s="164"/>
      <c r="F5" s="247"/>
      <c r="G5" s="99"/>
      <c r="H5" s="99"/>
      <c r="I5" s="99"/>
      <c r="J5" s="108"/>
    </row>
    <row r="6" spans="1:12">
      <c r="C6" s="106" t="s">
        <v>93</v>
      </c>
      <c r="D6" s="102">
        <v>31</v>
      </c>
      <c r="E6" s="276">
        <v>31</v>
      </c>
      <c r="F6" s="248">
        <v>31</v>
      </c>
      <c r="G6" s="98">
        <v>31</v>
      </c>
      <c r="H6" s="98">
        <v>31</v>
      </c>
      <c r="I6" s="98">
        <v>31</v>
      </c>
      <c r="J6" s="109">
        <v>31</v>
      </c>
      <c r="K6" s="80"/>
    </row>
    <row r="7" spans="1:12">
      <c r="C7" s="106" t="s">
        <v>107</v>
      </c>
      <c r="D7" s="102">
        <v>3788</v>
      </c>
      <c r="E7" s="276">
        <v>6688</v>
      </c>
      <c r="F7" s="248">
        <v>2617</v>
      </c>
      <c r="G7" s="98">
        <v>1863</v>
      </c>
      <c r="H7" s="98">
        <v>1171</v>
      </c>
      <c r="I7" s="98">
        <v>852</v>
      </c>
      <c r="J7" s="109">
        <v>842</v>
      </c>
      <c r="K7" s="80">
        <v>0.36158839251622754</v>
      </c>
    </row>
    <row r="8" spans="1:12">
      <c r="C8" s="106" t="s">
        <v>28</v>
      </c>
      <c r="D8" s="102">
        <v>520</v>
      </c>
      <c r="E8" s="276">
        <v>1581</v>
      </c>
      <c r="F8" s="248">
        <v>343</v>
      </c>
      <c r="G8" s="98">
        <v>375</v>
      </c>
      <c r="H8" s="98">
        <v>177</v>
      </c>
      <c r="I8" s="98">
        <v>152</v>
      </c>
      <c r="J8" s="109">
        <v>177</v>
      </c>
      <c r="K8" s="80">
        <v>0.24750118990956688</v>
      </c>
    </row>
    <row r="9" spans="1:12" ht="14.4" thickBot="1">
      <c r="C9" s="183" t="s">
        <v>94</v>
      </c>
      <c r="D9" s="184">
        <v>23045</v>
      </c>
      <c r="E9" s="277">
        <v>36316</v>
      </c>
      <c r="F9" s="249">
        <v>17150</v>
      </c>
      <c r="G9" s="185">
        <v>10419</v>
      </c>
      <c r="H9" s="185">
        <v>5895</v>
      </c>
      <c r="I9" s="185">
        <v>4981</v>
      </c>
      <c r="J9" s="186">
        <v>4379</v>
      </c>
      <c r="K9" s="80">
        <v>0.38821785347281884</v>
      </c>
    </row>
    <row r="10" spans="1:12" ht="28.2" thickBot="1">
      <c r="C10" s="155" t="s">
        <v>14</v>
      </c>
      <c r="D10" s="187">
        <v>2.2564547624213491E-2</v>
      </c>
      <c r="E10" s="278">
        <v>4.3534530234607342E-2</v>
      </c>
      <c r="F10" s="250">
        <v>0.02</v>
      </c>
      <c r="G10" s="553">
        <v>3.5991937805931469E-2</v>
      </c>
      <c r="H10" s="188">
        <v>3.002544529262087E-2</v>
      </c>
      <c r="I10" s="553">
        <v>3.0515960650471789E-2</v>
      </c>
      <c r="J10" s="189">
        <v>4.0420187257364702E-2</v>
      </c>
    </row>
    <row r="11" spans="1:12">
      <c r="C11" s="156">
        <v>1994</v>
      </c>
      <c r="D11" s="193">
        <v>1.075268817204301E-2</v>
      </c>
      <c r="E11" s="279">
        <v>2.7459954233409609E-2</v>
      </c>
      <c r="F11" s="283">
        <v>1.428571428571429E-2</v>
      </c>
      <c r="G11" s="194">
        <v>3.2258064516129031E-2</v>
      </c>
      <c r="H11" s="194">
        <v>0</v>
      </c>
      <c r="I11" s="194">
        <v>0</v>
      </c>
      <c r="J11" s="195">
        <v>0</v>
      </c>
    </row>
    <row r="12" spans="1:12">
      <c r="C12" s="165">
        <v>1995</v>
      </c>
      <c r="D12" s="180">
        <v>0</v>
      </c>
      <c r="E12" s="280">
        <v>4.065040650406504E-2</v>
      </c>
      <c r="F12" s="190">
        <v>0</v>
      </c>
      <c r="G12" s="181">
        <v>0</v>
      </c>
      <c r="H12" s="181">
        <v>0</v>
      </c>
      <c r="I12" s="181">
        <v>0</v>
      </c>
      <c r="J12" s="182">
        <v>0</v>
      </c>
    </row>
    <row r="13" spans="1:12">
      <c r="C13" s="106">
        <v>1996</v>
      </c>
      <c r="D13" s="103">
        <v>1.2738853503184711E-2</v>
      </c>
      <c r="E13" s="281">
        <v>2.0257826887661139E-2</v>
      </c>
      <c r="F13" s="191">
        <v>7.8125E-3</v>
      </c>
      <c r="G13" s="97">
        <v>0</v>
      </c>
      <c r="H13" s="97">
        <v>3.4482758620689648E-2</v>
      </c>
      <c r="I13" s="97">
        <v>0</v>
      </c>
      <c r="J13" s="110">
        <v>0</v>
      </c>
    </row>
    <row r="14" spans="1:12">
      <c r="C14" s="165">
        <v>1997</v>
      </c>
      <c r="D14" s="180">
        <v>1.075268817204301E-2</v>
      </c>
      <c r="E14" s="280">
        <v>4.7535211267605633E-2</v>
      </c>
      <c r="F14" s="190">
        <v>6.369426751592357E-3</v>
      </c>
      <c r="G14" s="181">
        <v>0</v>
      </c>
      <c r="H14" s="181">
        <v>3.4482758620689648E-2</v>
      </c>
      <c r="I14" s="181">
        <v>0</v>
      </c>
      <c r="J14" s="182">
        <v>0</v>
      </c>
    </row>
    <row r="15" spans="1:12">
      <c r="C15" s="106">
        <v>1998</v>
      </c>
      <c r="D15" s="103">
        <v>8.4158415841584164E-2</v>
      </c>
      <c r="E15" s="281">
        <v>8.8183421516754845E-2</v>
      </c>
      <c r="F15" s="191">
        <v>8.0459770114942528E-2</v>
      </c>
      <c r="G15" s="97">
        <v>4.0540540540540543E-2</v>
      </c>
      <c r="H15" s="97">
        <v>0.1071428571428571</v>
      </c>
      <c r="I15" s="97">
        <v>0</v>
      </c>
      <c r="J15" s="110">
        <v>9.8039215686274508E-2</v>
      </c>
    </row>
    <row r="16" spans="1:12">
      <c r="C16" s="165">
        <v>1999</v>
      </c>
      <c r="D16" s="180">
        <v>3.1963470319634701E-2</v>
      </c>
      <c r="E16" s="280">
        <v>4.5302013422818789E-2</v>
      </c>
      <c r="F16" s="190">
        <v>3.1578947368421047E-2</v>
      </c>
      <c r="G16" s="181">
        <v>3.6585365853658527E-2</v>
      </c>
      <c r="H16" s="181">
        <v>3.4482758620689648E-2</v>
      </c>
      <c r="I16" s="181">
        <v>0</v>
      </c>
      <c r="J16" s="182">
        <v>7.8431372549019607E-2</v>
      </c>
    </row>
    <row r="17" spans="3:10">
      <c r="C17" s="106">
        <v>2000</v>
      </c>
      <c r="D17" s="103">
        <v>3.2258064516129031E-2</v>
      </c>
      <c r="E17" s="281">
        <v>4.6296296296296287E-2</v>
      </c>
      <c r="F17" s="191">
        <v>3.255813953488372E-2</v>
      </c>
      <c r="G17" s="97">
        <v>3.03030303030303E-2</v>
      </c>
      <c r="H17" s="97">
        <v>3.03030303030303E-2</v>
      </c>
      <c r="I17" s="97">
        <v>0</v>
      </c>
      <c r="J17" s="110">
        <v>3.5087719298245612E-2</v>
      </c>
    </row>
    <row r="18" spans="3:10">
      <c r="C18" s="165">
        <v>2001</v>
      </c>
      <c r="D18" s="180">
        <v>3.8596491228070177E-2</v>
      </c>
      <c r="E18" s="280">
        <v>5.7838660578386603E-2</v>
      </c>
      <c r="F18" s="190">
        <v>4.1152263374485597E-2</v>
      </c>
      <c r="G18" s="181">
        <v>6.363636363636363E-2</v>
      </c>
      <c r="H18" s="181">
        <v>2.3809523809523812E-2</v>
      </c>
      <c r="I18" s="181">
        <v>9.0909090909090912E-2</v>
      </c>
      <c r="J18" s="182">
        <v>0.05</v>
      </c>
    </row>
    <row r="19" spans="3:10">
      <c r="C19" s="106">
        <v>2002</v>
      </c>
      <c r="D19" s="103">
        <v>6.0897435897435903E-2</v>
      </c>
      <c r="E19" s="281">
        <v>8.5329341317365276E-2</v>
      </c>
      <c r="F19" s="191">
        <v>5.6179775280898868E-2</v>
      </c>
      <c r="G19" s="97">
        <v>7.7586206896551727E-2</v>
      </c>
      <c r="H19" s="97">
        <v>8.8888888888888892E-2</v>
      </c>
      <c r="I19" s="97">
        <v>0</v>
      </c>
      <c r="J19" s="110">
        <v>6.1538461538461542E-2</v>
      </c>
    </row>
    <row r="20" spans="3:10">
      <c r="C20" s="165">
        <v>2003</v>
      </c>
      <c r="D20" s="180">
        <v>3.9156626506024098E-2</v>
      </c>
      <c r="E20" s="280">
        <v>8.2956259426847659E-2</v>
      </c>
      <c r="F20" s="190">
        <v>3.1914893617021267E-2</v>
      </c>
      <c r="G20" s="181">
        <v>0.1025641025641026</v>
      </c>
      <c r="H20" s="181">
        <v>0.08</v>
      </c>
      <c r="I20" s="181">
        <v>0.1818181818181818</v>
      </c>
      <c r="J20" s="182">
        <v>8.5714285714285715E-2</v>
      </c>
    </row>
    <row r="21" spans="3:10">
      <c r="C21" s="106">
        <v>2004</v>
      </c>
      <c r="D21" s="103">
        <v>3.7940379403794043E-2</v>
      </c>
      <c r="E21" s="281">
        <v>4.3859649122807022E-2</v>
      </c>
      <c r="F21" s="191">
        <v>2.922077922077922E-2</v>
      </c>
      <c r="G21" s="97">
        <v>4.8000000000000001E-2</v>
      </c>
      <c r="H21" s="97">
        <v>8.1967213114754092E-2</v>
      </c>
      <c r="I21" s="97">
        <v>0</v>
      </c>
      <c r="J21" s="110">
        <v>5.6338028169014093E-2</v>
      </c>
    </row>
    <row r="22" spans="3:10">
      <c r="C22" s="165">
        <v>2005</v>
      </c>
      <c r="D22" s="180">
        <v>1.8912529550827419E-2</v>
      </c>
      <c r="E22" s="280">
        <v>3.6885245901639337E-2</v>
      </c>
      <c r="F22" s="190">
        <v>2.247191011235955E-2</v>
      </c>
      <c r="G22" s="181">
        <v>6.8702290076335881E-2</v>
      </c>
      <c r="H22" s="181">
        <v>0</v>
      </c>
      <c r="I22" s="181">
        <v>0</v>
      </c>
      <c r="J22" s="182">
        <v>6.3291139240506333E-2</v>
      </c>
    </row>
    <row r="23" spans="3:10">
      <c r="C23" s="106">
        <v>2006</v>
      </c>
      <c r="D23" s="103">
        <v>2.204408817635271E-2</v>
      </c>
      <c r="E23" s="281">
        <v>3.6193029490616632E-2</v>
      </c>
      <c r="F23" s="191">
        <v>1.666666666666667E-2</v>
      </c>
      <c r="G23" s="97">
        <v>1.5384615384615391E-2</v>
      </c>
      <c r="H23" s="97">
        <v>5.0632911392405063E-2</v>
      </c>
      <c r="I23" s="97">
        <v>7.1428571428571425E-2</v>
      </c>
      <c r="J23" s="110">
        <v>2.6315789473684209E-2</v>
      </c>
    </row>
    <row r="24" spans="3:10">
      <c r="C24" s="165">
        <v>2007</v>
      </c>
      <c r="D24" s="180">
        <v>2.517985611510791E-2</v>
      </c>
      <c r="E24" s="280">
        <v>3.078982597054886E-2</v>
      </c>
      <c r="F24" s="190">
        <v>1.902748414376321E-2</v>
      </c>
      <c r="G24" s="181">
        <v>2.8985507246376808E-2</v>
      </c>
      <c r="H24" s="181">
        <v>6.0240963855421693E-2</v>
      </c>
      <c r="I24" s="181">
        <v>0</v>
      </c>
      <c r="J24" s="182">
        <v>3.5294117647058823E-2</v>
      </c>
    </row>
    <row r="25" spans="3:10">
      <c r="C25" s="106">
        <v>2008</v>
      </c>
      <c r="D25" s="103">
        <v>2.6397515527950308E-2</v>
      </c>
      <c r="E25" s="281">
        <v>3.8095238095238099E-2</v>
      </c>
      <c r="F25" s="191">
        <v>2.5500910746812391E-2</v>
      </c>
      <c r="G25" s="97">
        <v>3.5087719298245612E-2</v>
      </c>
      <c r="H25" s="97">
        <v>3.1578947368421047E-2</v>
      </c>
      <c r="I25" s="97">
        <v>4.1666666666666657E-2</v>
      </c>
      <c r="J25" s="110">
        <v>2.803738317757009E-2</v>
      </c>
    </row>
    <row r="26" spans="3:10">
      <c r="C26" s="165">
        <v>2009</v>
      </c>
      <c r="D26" s="180">
        <v>2.7624309392265189E-2</v>
      </c>
      <c r="E26" s="280">
        <v>4.3165467625899283E-2</v>
      </c>
      <c r="F26" s="190">
        <v>2.1523178807947019E-2</v>
      </c>
      <c r="G26" s="181">
        <v>2.2421524663677129E-2</v>
      </c>
      <c r="H26" s="181">
        <v>5.8333333333333327E-2</v>
      </c>
      <c r="I26" s="181">
        <v>3.03030303030303E-2</v>
      </c>
      <c r="J26" s="182">
        <v>5.9701492537313432E-2</v>
      </c>
    </row>
    <row r="27" spans="3:10">
      <c r="C27" s="106">
        <v>2010</v>
      </c>
      <c r="D27" s="103">
        <v>2.2546419098143231E-2</v>
      </c>
      <c r="E27" s="281">
        <v>5.3521126760563378E-2</v>
      </c>
      <c r="F27" s="191">
        <v>1.607717041800643E-2</v>
      </c>
      <c r="G27" s="97">
        <v>7.9681274900398405E-3</v>
      </c>
      <c r="H27" s="97">
        <v>5.3030303030303032E-2</v>
      </c>
      <c r="I27" s="97">
        <v>2.564102564102564E-2</v>
      </c>
      <c r="J27" s="110">
        <v>1.379310344827586E-2</v>
      </c>
    </row>
    <row r="28" spans="3:10">
      <c r="C28" s="165">
        <v>2011</v>
      </c>
      <c r="D28" s="180">
        <v>1.7478152309612981E-2</v>
      </c>
      <c r="E28" s="280">
        <v>4.0104620749782043E-2</v>
      </c>
      <c r="F28" s="190">
        <v>1.2084592145015109E-2</v>
      </c>
      <c r="G28" s="181">
        <v>0.04</v>
      </c>
      <c r="H28" s="181">
        <v>4.3165467625899283E-2</v>
      </c>
      <c r="I28" s="181">
        <v>0</v>
      </c>
      <c r="J28" s="182">
        <v>5.8064516129032261E-2</v>
      </c>
    </row>
    <row r="29" spans="3:10">
      <c r="C29" s="106">
        <v>2012</v>
      </c>
      <c r="D29" s="103">
        <v>2.0594965675057211E-2</v>
      </c>
      <c r="E29" s="281">
        <v>3.8678485092667213E-2</v>
      </c>
      <c r="F29" s="191">
        <v>1.386962552011096E-2</v>
      </c>
      <c r="G29" s="97">
        <v>3.012048192771084E-2</v>
      </c>
      <c r="H29" s="97">
        <v>5.2287581699346407E-2</v>
      </c>
      <c r="I29" s="97">
        <v>2.564102564102564E-2</v>
      </c>
      <c r="J29" s="110">
        <v>4.1176470588235287E-2</v>
      </c>
    </row>
    <row r="30" spans="3:10">
      <c r="C30" s="165">
        <v>2013</v>
      </c>
      <c r="D30" s="180">
        <v>5.5066079295154188E-3</v>
      </c>
      <c r="E30" s="280">
        <v>3.3802816901408447E-2</v>
      </c>
      <c r="F30" s="190">
        <v>4.0431266846361188E-3</v>
      </c>
      <c r="G30" s="181">
        <v>2.088772845953003E-2</v>
      </c>
      <c r="H30" s="181">
        <v>1.204819277108434E-2</v>
      </c>
      <c r="I30" s="181">
        <v>1.8691588785046731E-2</v>
      </c>
      <c r="J30" s="182">
        <v>3.3519553072625698E-2</v>
      </c>
    </row>
    <row r="31" spans="3:10">
      <c r="C31" s="106">
        <v>2014</v>
      </c>
      <c r="D31" s="103">
        <v>1.467505241090147E-2</v>
      </c>
      <c r="E31" s="281">
        <v>5.585464333781965E-2</v>
      </c>
      <c r="F31" s="191">
        <v>1.726427622841965E-2</v>
      </c>
      <c r="G31" s="97">
        <v>4.2079207920792082E-2</v>
      </c>
      <c r="H31" s="97">
        <v>4.9751243781094526E-3</v>
      </c>
      <c r="I31" s="97">
        <v>6.5217391304347824E-2</v>
      </c>
      <c r="J31" s="110">
        <v>5.1724137931034482E-2</v>
      </c>
    </row>
    <row r="32" spans="3:10">
      <c r="C32" s="165">
        <v>2015</v>
      </c>
      <c r="D32" s="180">
        <v>1.4503816793893129E-2</v>
      </c>
      <c r="E32" s="280">
        <v>4.0318001135718338E-2</v>
      </c>
      <c r="F32" s="190">
        <v>7.4152542372881358E-3</v>
      </c>
      <c r="G32" s="181">
        <v>3.136531365313653E-2</v>
      </c>
      <c r="H32" s="181">
        <v>3.2786885245901641E-2</v>
      </c>
      <c r="I32" s="181">
        <v>2.0833333333333329E-2</v>
      </c>
      <c r="J32" s="182">
        <v>3.9007092198581561E-2</v>
      </c>
    </row>
    <row r="33" spans="2:10">
      <c r="C33" s="106">
        <v>2016</v>
      </c>
      <c r="D33" s="103">
        <v>2.0331325301204819E-2</v>
      </c>
      <c r="E33" s="281">
        <v>4.8484848484848478E-2</v>
      </c>
      <c r="F33" s="191">
        <v>1.659751037344398E-2</v>
      </c>
      <c r="G33" s="97">
        <v>6.1120543293718167E-2</v>
      </c>
      <c r="H33" s="97">
        <v>3.021978021978022E-2</v>
      </c>
      <c r="I33" s="97">
        <v>6.3973063973063973E-2</v>
      </c>
      <c r="J33" s="110">
        <v>4.0293040293040303E-2</v>
      </c>
    </row>
    <row r="34" spans="2:10">
      <c r="C34" s="165">
        <v>2017</v>
      </c>
      <c r="D34" s="180">
        <v>1.987767584097859E-2</v>
      </c>
      <c r="E34" s="280">
        <v>3.8982133188955062E-2</v>
      </c>
      <c r="F34" s="190">
        <v>1.9047619047619049E-2</v>
      </c>
      <c r="G34" s="181">
        <v>4.7619047619047623E-2</v>
      </c>
      <c r="H34" s="181">
        <v>2.2038567493112948E-2</v>
      </c>
      <c r="I34" s="181">
        <v>4.8543689320388349E-2</v>
      </c>
      <c r="J34" s="182">
        <v>5.7034220532319387E-2</v>
      </c>
    </row>
    <row r="35" spans="2:10">
      <c r="C35" s="106">
        <v>2018</v>
      </c>
      <c r="D35" s="103">
        <v>1.444866920152091E-2</v>
      </c>
      <c r="E35" s="281">
        <v>3.6958817317845831E-2</v>
      </c>
      <c r="F35" s="191">
        <v>1.506996770721206E-2</v>
      </c>
      <c r="G35" s="97">
        <v>2.8528528528528531E-2</v>
      </c>
      <c r="H35" s="97">
        <v>1.2953367875647669E-2</v>
      </c>
      <c r="I35" s="97">
        <v>2.5125628140703519E-2</v>
      </c>
      <c r="J35" s="110">
        <v>2.8225806451612899E-2</v>
      </c>
    </row>
    <row r="36" spans="2:10">
      <c r="C36" s="165">
        <v>2019</v>
      </c>
      <c r="D36" s="180">
        <v>2.5887573964497038E-2</v>
      </c>
      <c r="E36" s="280">
        <v>4.1012658227848102E-2</v>
      </c>
      <c r="F36" s="190">
        <v>1.829924650161464E-2</v>
      </c>
      <c r="G36" s="181">
        <v>2.6954177897574129E-2</v>
      </c>
      <c r="H36" s="181">
        <v>4.2553191489361701E-2</v>
      </c>
      <c r="I36" s="181">
        <v>1.6736401673640169E-2</v>
      </c>
      <c r="J36" s="182">
        <v>2.3715415019762841E-2</v>
      </c>
    </row>
    <row r="37" spans="2:10">
      <c r="C37" s="106">
        <v>2020</v>
      </c>
      <c r="D37" s="103">
        <v>3.7527593818984538E-2</v>
      </c>
      <c r="E37" s="281">
        <v>5.9891998036327943E-2</v>
      </c>
      <c r="F37" s="191">
        <v>3.9130434782608699E-2</v>
      </c>
      <c r="G37" s="97">
        <v>6.6499372647427848E-2</v>
      </c>
      <c r="H37" s="97">
        <v>3.4168564920273349E-2</v>
      </c>
      <c r="I37" s="97">
        <v>6.1452513966480438E-2</v>
      </c>
      <c r="J37" s="110">
        <v>3.9215686274509803E-2</v>
      </c>
    </row>
    <row r="38" spans="2:10">
      <c r="C38" s="165">
        <v>2021</v>
      </c>
      <c r="D38" s="180">
        <v>2.0029673590504449E-2</v>
      </c>
      <c r="E38" s="280">
        <v>3.7593984962406013E-2</v>
      </c>
      <c r="F38" s="190">
        <v>2.3051591657519209E-2</v>
      </c>
      <c r="G38" s="181">
        <v>2.8314028314028319E-2</v>
      </c>
      <c r="H38" s="181">
        <v>1.3729977116704799E-2</v>
      </c>
      <c r="I38" s="181">
        <v>2.2556390977443611E-2</v>
      </c>
      <c r="J38" s="182">
        <v>4.9180327868852458E-2</v>
      </c>
    </row>
    <row r="39" spans="2:10">
      <c r="C39" s="106">
        <v>2022</v>
      </c>
      <c r="D39" s="103">
        <v>1.7910447761194031E-2</v>
      </c>
      <c r="E39" s="281">
        <v>4.1708043694141023E-2</v>
      </c>
      <c r="F39" s="191">
        <v>1.8099547511312219E-2</v>
      </c>
      <c r="G39" s="97">
        <v>2.4358974358974359E-2</v>
      </c>
      <c r="H39" s="97">
        <v>1.754385964912281E-2</v>
      </c>
      <c r="I39" s="97">
        <v>1.6605166051660521E-2</v>
      </c>
      <c r="J39" s="110">
        <v>2.8925619834710741E-2</v>
      </c>
    </row>
    <row r="40" spans="2:10">
      <c r="C40" s="165">
        <v>2023</v>
      </c>
      <c r="D40" s="180">
        <v>2.1577380952380949E-2</v>
      </c>
      <c r="E40" s="280">
        <v>4.0178571428571432E-2</v>
      </c>
      <c r="F40" s="190">
        <v>1.5348288075560801E-2</v>
      </c>
      <c r="G40" s="181">
        <v>3.5897435897435888E-2</v>
      </c>
      <c r="H40" s="181">
        <v>3.2193158953722337E-2</v>
      </c>
      <c r="I40" s="181">
        <v>3.0188679245283019E-2</v>
      </c>
      <c r="J40" s="182">
        <v>3.4782608695652167E-2</v>
      </c>
    </row>
    <row r="41" spans="2:10" ht="14.4" thickBot="1">
      <c r="C41" s="107">
        <v>2024</v>
      </c>
      <c r="D41" s="111">
        <v>2.2463768115942029E-2</v>
      </c>
      <c r="E41" s="282">
        <v>2.3016650342801179E-2</v>
      </c>
      <c r="F41" s="192">
        <v>2.014218009478673E-2</v>
      </c>
      <c r="G41" s="112">
        <v>1.804123711340206E-2</v>
      </c>
      <c r="H41" s="112">
        <v>2.6119402985074629E-2</v>
      </c>
      <c r="I41" s="112">
        <v>9.6899224806201549E-3</v>
      </c>
      <c r="J41" s="113">
        <v>3.4334763948497847E-2</v>
      </c>
    </row>
    <row r="44" spans="2:10">
      <c r="B44" s="526"/>
      <c r="C44" s="537" t="s">
        <v>9</v>
      </c>
      <c r="D44" s="526" t="s">
        <v>85</v>
      </c>
      <c r="E44" s="526" t="s">
        <v>86</v>
      </c>
      <c r="F44" s="526" t="s">
        <v>87</v>
      </c>
      <c r="G44" s="526" t="s">
        <v>88</v>
      </c>
      <c r="H44" s="526" t="s">
        <v>89</v>
      </c>
      <c r="I44" s="526" t="s">
        <v>90</v>
      </c>
      <c r="J44" s="526" t="s">
        <v>91</v>
      </c>
    </row>
    <row r="45" spans="2:10">
      <c r="B45" s="537">
        <v>1994</v>
      </c>
      <c r="C45" s="538">
        <v>3.5393608598237897E-2</v>
      </c>
      <c r="D45" s="539">
        <v>1.075268817204301E-2</v>
      </c>
      <c r="E45" s="539">
        <v>2.7459954233409609E-2</v>
      </c>
      <c r="F45" s="539">
        <v>1.428571428571429E-2</v>
      </c>
      <c r="G45" s="539">
        <v>3.2258064516129031E-2</v>
      </c>
      <c r="H45" s="539">
        <v>0</v>
      </c>
      <c r="I45" s="539">
        <v>0</v>
      </c>
      <c r="J45" s="539">
        <v>0</v>
      </c>
    </row>
    <row r="46" spans="2:10">
      <c r="B46" s="537">
        <v>1995</v>
      </c>
      <c r="C46" s="538">
        <v>3.5393608598237897E-2</v>
      </c>
      <c r="D46" s="539">
        <v>0</v>
      </c>
      <c r="E46" s="539">
        <v>4.065040650406504E-2</v>
      </c>
      <c r="F46" s="539">
        <v>0</v>
      </c>
      <c r="G46" s="539">
        <v>0</v>
      </c>
      <c r="H46" s="539">
        <v>0</v>
      </c>
      <c r="I46" s="539">
        <v>0</v>
      </c>
      <c r="J46" s="539">
        <v>0</v>
      </c>
    </row>
    <row r="47" spans="2:10">
      <c r="B47" s="537">
        <v>1996</v>
      </c>
      <c r="C47" s="538">
        <v>3.5393608598237897E-2</v>
      </c>
      <c r="D47" s="539">
        <v>1.2738853503184711E-2</v>
      </c>
      <c r="E47" s="539">
        <v>2.0257826887661139E-2</v>
      </c>
      <c r="F47" s="539">
        <v>7.8125E-3</v>
      </c>
      <c r="G47" s="539">
        <v>0</v>
      </c>
      <c r="H47" s="539">
        <v>3.4482758620689648E-2</v>
      </c>
      <c r="I47" s="539">
        <v>0</v>
      </c>
      <c r="J47" s="539">
        <v>0</v>
      </c>
    </row>
    <row r="48" spans="2:10">
      <c r="B48" s="537">
        <v>1997</v>
      </c>
      <c r="C48" s="538">
        <v>3.5393608598237897E-2</v>
      </c>
      <c r="D48" s="539">
        <v>1.075268817204301E-2</v>
      </c>
      <c r="E48" s="539">
        <v>4.7535211267605633E-2</v>
      </c>
      <c r="F48" s="539">
        <v>6.369426751592357E-3</v>
      </c>
      <c r="G48" s="539">
        <v>0</v>
      </c>
      <c r="H48" s="539">
        <v>3.4482758620689648E-2</v>
      </c>
      <c r="I48" s="539">
        <v>0</v>
      </c>
      <c r="J48" s="539">
        <v>0</v>
      </c>
    </row>
    <row r="49" spans="2:10">
      <c r="B49" s="537">
        <v>1998</v>
      </c>
      <c r="C49" s="538">
        <v>3.5393608598237897E-2</v>
      </c>
      <c r="D49" s="539">
        <v>8.4158415841584164E-2</v>
      </c>
      <c r="E49" s="539">
        <v>8.8183421516754845E-2</v>
      </c>
      <c r="F49" s="539">
        <v>8.0459770114942528E-2</v>
      </c>
      <c r="G49" s="539">
        <v>4.0540540540540543E-2</v>
      </c>
      <c r="H49" s="539">
        <v>0.1071428571428571</v>
      </c>
      <c r="I49" s="539">
        <v>0</v>
      </c>
      <c r="J49" s="539">
        <v>9.8039215686274508E-2</v>
      </c>
    </row>
    <row r="50" spans="2:10">
      <c r="B50" s="537">
        <v>1999</v>
      </c>
      <c r="C50" s="538">
        <v>3.5393608598237897E-2</v>
      </c>
      <c r="D50" s="539">
        <v>3.1963470319634701E-2</v>
      </c>
      <c r="E50" s="539">
        <v>4.5302013422818789E-2</v>
      </c>
      <c r="F50" s="539">
        <v>3.1578947368421047E-2</v>
      </c>
      <c r="G50" s="539">
        <v>3.6585365853658527E-2</v>
      </c>
      <c r="H50" s="539">
        <v>3.4482758620689648E-2</v>
      </c>
      <c r="I50" s="539">
        <v>0</v>
      </c>
      <c r="J50" s="539">
        <v>7.8431372549019607E-2</v>
      </c>
    </row>
    <row r="51" spans="2:10">
      <c r="B51" s="537">
        <v>2000</v>
      </c>
      <c r="C51" s="538">
        <v>3.5393608598237897E-2</v>
      </c>
      <c r="D51" s="539">
        <v>3.2258064516129031E-2</v>
      </c>
      <c r="E51" s="539">
        <v>4.6296296296296287E-2</v>
      </c>
      <c r="F51" s="539">
        <v>3.255813953488372E-2</v>
      </c>
      <c r="G51" s="539">
        <v>3.03030303030303E-2</v>
      </c>
      <c r="H51" s="539">
        <v>3.03030303030303E-2</v>
      </c>
      <c r="I51" s="539">
        <v>0</v>
      </c>
      <c r="J51" s="539">
        <v>3.5087719298245612E-2</v>
      </c>
    </row>
    <row r="52" spans="2:10">
      <c r="B52" s="537">
        <v>2001</v>
      </c>
      <c r="C52" s="538">
        <v>3.5393608598237897E-2</v>
      </c>
      <c r="D52" s="539">
        <v>3.8596491228070177E-2</v>
      </c>
      <c r="E52" s="539">
        <v>5.7838660578386603E-2</v>
      </c>
      <c r="F52" s="539">
        <v>4.1152263374485597E-2</v>
      </c>
      <c r="G52" s="539">
        <v>6.363636363636363E-2</v>
      </c>
      <c r="H52" s="539">
        <v>2.3809523809523812E-2</v>
      </c>
      <c r="I52" s="539">
        <v>9.0909090909090912E-2</v>
      </c>
      <c r="J52" s="539">
        <v>0.05</v>
      </c>
    </row>
    <row r="53" spans="2:10">
      <c r="B53" s="537">
        <v>2002</v>
      </c>
      <c r="C53" s="538">
        <v>3.5393608598237897E-2</v>
      </c>
      <c r="D53" s="539">
        <v>6.0897435897435903E-2</v>
      </c>
      <c r="E53" s="539">
        <v>8.5329341317365276E-2</v>
      </c>
      <c r="F53" s="539">
        <v>5.6179775280898868E-2</v>
      </c>
      <c r="G53" s="539">
        <v>7.7586206896551727E-2</v>
      </c>
      <c r="H53" s="539">
        <v>8.8888888888888892E-2</v>
      </c>
      <c r="I53" s="539">
        <v>0</v>
      </c>
      <c r="J53" s="539">
        <v>6.1538461538461542E-2</v>
      </c>
    </row>
    <row r="54" spans="2:10">
      <c r="B54" s="537">
        <v>2003</v>
      </c>
      <c r="C54" s="538">
        <v>3.5393608598237897E-2</v>
      </c>
      <c r="D54" s="539">
        <v>3.9156626506024098E-2</v>
      </c>
      <c r="E54" s="539">
        <v>8.2956259426847659E-2</v>
      </c>
      <c r="F54" s="539">
        <v>3.1914893617021267E-2</v>
      </c>
      <c r="G54" s="539">
        <v>0.1025641025641026</v>
      </c>
      <c r="H54" s="539">
        <v>0.08</v>
      </c>
      <c r="I54" s="539">
        <v>0.1818181818181818</v>
      </c>
      <c r="J54" s="539">
        <v>8.5714285714285715E-2</v>
      </c>
    </row>
    <row r="55" spans="2:10">
      <c r="B55" s="537">
        <v>2004</v>
      </c>
      <c r="C55" s="538">
        <v>3.5393608598237897E-2</v>
      </c>
      <c r="D55" s="539">
        <v>3.7940379403794043E-2</v>
      </c>
      <c r="E55" s="539">
        <v>4.3859649122807022E-2</v>
      </c>
      <c r="F55" s="539">
        <v>2.922077922077922E-2</v>
      </c>
      <c r="G55" s="539">
        <v>4.8000000000000001E-2</v>
      </c>
      <c r="H55" s="539">
        <v>8.1967213114754092E-2</v>
      </c>
      <c r="I55" s="539">
        <v>0</v>
      </c>
      <c r="J55" s="539">
        <v>5.6338028169014093E-2</v>
      </c>
    </row>
    <row r="56" spans="2:10">
      <c r="B56" s="537">
        <v>2005</v>
      </c>
      <c r="C56" s="538">
        <v>3.5393608598237897E-2</v>
      </c>
      <c r="D56" s="539">
        <v>1.8912529550827419E-2</v>
      </c>
      <c r="E56" s="539">
        <v>3.6885245901639337E-2</v>
      </c>
      <c r="F56" s="539">
        <v>2.247191011235955E-2</v>
      </c>
      <c r="G56" s="539">
        <v>6.8702290076335881E-2</v>
      </c>
      <c r="H56" s="539">
        <v>0</v>
      </c>
      <c r="I56" s="539">
        <v>0</v>
      </c>
      <c r="J56" s="539">
        <v>6.3291139240506333E-2</v>
      </c>
    </row>
    <row r="57" spans="2:10">
      <c r="B57" s="537">
        <v>2006</v>
      </c>
      <c r="C57" s="538">
        <v>3.5393608598237897E-2</v>
      </c>
      <c r="D57" s="539">
        <v>2.204408817635271E-2</v>
      </c>
      <c r="E57" s="539">
        <v>3.6193029490616632E-2</v>
      </c>
      <c r="F57" s="539">
        <v>1.666666666666667E-2</v>
      </c>
      <c r="G57" s="539">
        <v>1.5384615384615391E-2</v>
      </c>
      <c r="H57" s="539">
        <v>5.0632911392405063E-2</v>
      </c>
      <c r="I57" s="539">
        <v>7.1428571428571425E-2</v>
      </c>
      <c r="J57" s="539">
        <v>2.6315789473684209E-2</v>
      </c>
    </row>
    <row r="58" spans="2:10">
      <c r="B58" s="537">
        <v>2007</v>
      </c>
      <c r="C58" s="538">
        <v>3.5393608598237897E-2</v>
      </c>
      <c r="D58" s="539">
        <v>2.517985611510791E-2</v>
      </c>
      <c r="E58" s="539">
        <v>3.078982597054886E-2</v>
      </c>
      <c r="F58" s="539">
        <v>1.902748414376321E-2</v>
      </c>
      <c r="G58" s="539">
        <v>2.8985507246376808E-2</v>
      </c>
      <c r="H58" s="539">
        <v>6.0240963855421693E-2</v>
      </c>
      <c r="I58" s="539">
        <v>0</v>
      </c>
      <c r="J58" s="539">
        <v>3.5294117647058823E-2</v>
      </c>
    </row>
    <row r="59" spans="2:10">
      <c r="B59" s="537">
        <v>2008</v>
      </c>
      <c r="C59" s="538">
        <v>3.5393608598237897E-2</v>
      </c>
      <c r="D59" s="539">
        <v>2.6397515527950308E-2</v>
      </c>
      <c r="E59" s="539">
        <v>3.8095238095238099E-2</v>
      </c>
      <c r="F59" s="539">
        <v>2.5500910746812391E-2</v>
      </c>
      <c r="G59" s="539">
        <v>3.5087719298245612E-2</v>
      </c>
      <c r="H59" s="539">
        <v>3.1578947368421047E-2</v>
      </c>
      <c r="I59" s="539">
        <v>4.1666666666666657E-2</v>
      </c>
      <c r="J59" s="539">
        <v>2.803738317757009E-2</v>
      </c>
    </row>
    <row r="60" spans="2:10">
      <c r="B60" s="537">
        <v>2009</v>
      </c>
      <c r="C60" s="538">
        <v>3.5393608598237897E-2</v>
      </c>
      <c r="D60" s="539">
        <v>2.7624309392265189E-2</v>
      </c>
      <c r="E60" s="539">
        <v>4.3165467625899283E-2</v>
      </c>
      <c r="F60" s="539">
        <v>2.1523178807947019E-2</v>
      </c>
      <c r="G60" s="539">
        <v>2.2421524663677129E-2</v>
      </c>
      <c r="H60" s="539">
        <v>5.8333333333333327E-2</v>
      </c>
      <c r="I60" s="539">
        <v>3.03030303030303E-2</v>
      </c>
      <c r="J60" s="539">
        <v>5.9701492537313432E-2</v>
      </c>
    </row>
    <row r="61" spans="2:10">
      <c r="B61" s="537">
        <v>2010</v>
      </c>
      <c r="C61" s="538">
        <v>3.5393608598237897E-2</v>
      </c>
      <c r="D61" s="539">
        <v>2.2546419098143231E-2</v>
      </c>
      <c r="E61" s="539">
        <v>5.3521126760563378E-2</v>
      </c>
      <c r="F61" s="539">
        <v>1.607717041800643E-2</v>
      </c>
      <c r="G61" s="539">
        <v>7.9681274900398405E-3</v>
      </c>
      <c r="H61" s="539">
        <v>5.3030303030303032E-2</v>
      </c>
      <c r="I61" s="539">
        <v>2.564102564102564E-2</v>
      </c>
      <c r="J61" s="539">
        <v>1.379310344827586E-2</v>
      </c>
    </row>
    <row r="62" spans="2:10">
      <c r="B62" s="537">
        <v>2011</v>
      </c>
      <c r="C62" s="538">
        <v>3.5393608598237897E-2</v>
      </c>
      <c r="D62" s="539">
        <v>1.7478152309612981E-2</v>
      </c>
      <c r="E62" s="539">
        <v>4.0104620749782043E-2</v>
      </c>
      <c r="F62" s="539">
        <v>1.2084592145015109E-2</v>
      </c>
      <c r="G62" s="539">
        <v>0.04</v>
      </c>
      <c r="H62" s="539">
        <v>4.3165467625899283E-2</v>
      </c>
      <c r="I62" s="539">
        <v>0</v>
      </c>
      <c r="J62" s="539">
        <v>5.8064516129032261E-2</v>
      </c>
    </row>
    <row r="63" spans="2:10">
      <c r="B63" s="537">
        <v>2012</v>
      </c>
      <c r="C63" s="538">
        <v>3.5393608598237897E-2</v>
      </c>
      <c r="D63" s="539">
        <v>2.0594965675057211E-2</v>
      </c>
      <c r="E63" s="539">
        <v>3.8678485092667213E-2</v>
      </c>
      <c r="F63" s="539">
        <v>1.386962552011096E-2</v>
      </c>
      <c r="G63" s="539">
        <v>3.012048192771084E-2</v>
      </c>
      <c r="H63" s="539">
        <v>5.2287581699346407E-2</v>
      </c>
      <c r="I63" s="539">
        <v>2.564102564102564E-2</v>
      </c>
      <c r="J63" s="539">
        <v>4.1176470588235287E-2</v>
      </c>
    </row>
    <row r="64" spans="2:10">
      <c r="B64" s="537">
        <v>2013</v>
      </c>
      <c r="C64" s="538">
        <v>3.5393608598237897E-2</v>
      </c>
      <c r="D64" s="539">
        <v>5.5066079295154188E-3</v>
      </c>
      <c r="E64" s="539">
        <v>3.3802816901408447E-2</v>
      </c>
      <c r="F64" s="539">
        <v>4.0431266846361188E-3</v>
      </c>
      <c r="G64" s="539">
        <v>2.088772845953003E-2</v>
      </c>
      <c r="H64" s="539">
        <v>1.204819277108434E-2</v>
      </c>
      <c r="I64" s="539">
        <v>1.8691588785046731E-2</v>
      </c>
      <c r="J64" s="539">
        <v>3.3519553072625698E-2</v>
      </c>
    </row>
    <row r="65" spans="1:10">
      <c r="B65" s="537">
        <v>2014</v>
      </c>
      <c r="C65" s="538">
        <v>3.5393608598237897E-2</v>
      </c>
      <c r="D65" s="539">
        <v>1.467505241090147E-2</v>
      </c>
      <c r="E65" s="539">
        <v>5.585464333781965E-2</v>
      </c>
      <c r="F65" s="539">
        <v>1.726427622841965E-2</v>
      </c>
      <c r="G65" s="539">
        <v>4.2079207920792082E-2</v>
      </c>
      <c r="H65" s="539">
        <v>4.9751243781094526E-3</v>
      </c>
      <c r="I65" s="539">
        <v>6.5217391304347824E-2</v>
      </c>
      <c r="J65" s="539">
        <v>5.1724137931034482E-2</v>
      </c>
    </row>
    <row r="66" spans="1:10">
      <c r="B66" s="537">
        <v>2015</v>
      </c>
      <c r="C66" s="538">
        <v>3.5393608598237897E-2</v>
      </c>
      <c r="D66" s="539">
        <v>1.4503816793893129E-2</v>
      </c>
      <c r="E66" s="539">
        <v>4.0318001135718338E-2</v>
      </c>
      <c r="F66" s="539">
        <v>7.4152542372881358E-3</v>
      </c>
      <c r="G66" s="539">
        <v>3.136531365313653E-2</v>
      </c>
      <c r="H66" s="539">
        <v>3.2786885245901641E-2</v>
      </c>
      <c r="I66" s="539">
        <v>2.0833333333333329E-2</v>
      </c>
      <c r="J66" s="539">
        <v>3.9007092198581561E-2</v>
      </c>
    </row>
    <row r="67" spans="1:10">
      <c r="B67" s="537">
        <v>2016</v>
      </c>
      <c r="C67" s="538">
        <v>3.5393608598237897E-2</v>
      </c>
      <c r="D67" s="539">
        <v>2.0331325301204819E-2</v>
      </c>
      <c r="E67" s="539">
        <v>4.8484848484848478E-2</v>
      </c>
      <c r="F67" s="539">
        <v>1.659751037344398E-2</v>
      </c>
      <c r="G67" s="539">
        <v>6.1120543293718167E-2</v>
      </c>
      <c r="H67" s="539">
        <v>3.021978021978022E-2</v>
      </c>
      <c r="I67" s="539">
        <v>6.3973063973063973E-2</v>
      </c>
      <c r="J67" s="539">
        <v>4.0293040293040303E-2</v>
      </c>
    </row>
    <row r="68" spans="1:10">
      <c r="B68" s="537">
        <v>2017</v>
      </c>
      <c r="C68" s="538">
        <v>3.5393608598237897E-2</v>
      </c>
      <c r="D68" s="539">
        <v>1.987767584097859E-2</v>
      </c>
      <c r="E68" s="539">
        <v>3.8982133188955062E-2</v>
      </c>
      <c r="F68" s="539">
        <v>1.9047619047619049E-2</v>
      </c>
      <c r="G68" s="539">
        <v>4.7619047619047623E-2</v>
      </c>
      <c r="H68" s="539">
        <v>2.2038567493112948E-2</v>
      </c>
      <c r="I68" s="539">
        <v>4.8543689320388349E-2</v>
      </c>
      <c r="J68" s="539">
        <v>5.7034220532319387E-2</v>
      </c>
    </row>
    <row r="69" spans="1:10">
      <c r="B69" s="537">
        <v>2018</v>
      </c>
      <c r="C69" s="538">
        <v>3.5393608598237897E-2</v>
      </c>
      <c r="D69" s="539">
        <v>1.444866920152091E-2</v>
      </c>
      <c r="E69" s="539">
        <v>3.6958817317845831E-2</v>
      </c>
      <c r="F69" s="539">
        <v>1.506996770721206E-2</v>
      </c>
      <c r="G69" s="539">
        <v>2.8528528528528531E-2</v>
      </c>
      <c r="H69" s="539">
        <v>1.2953367875647669E-2</v>
      </c>
      <c r="I69" s="539">
        <v>2.5125628140703519E-2</v>
      </c>
      <c r="J69" s="539">
        <v>2.8225806451612899E-2</v>
      </c>
    </row>
    <row r="70" spans="1:10">
      <c r="B70" s="537">
        <v>2019</v>
      </c>
      <c r="C70" s="538">
        <v>3.5393608598237897E-2</v>
      </c>
      <c r="D70" s="539">
        <v>2.5887573964497038E-2</v>
      </c>
      <c r="E70" s="539">
        <v>4.1012658227848102E-2</v>
      </c>
      <c r="F70" s="539">
        <v>1.829924650161464E-2</v>
      </c>
      <c r="G70" s="539">
        <v>2.6954177897574129E-2</v>
      </c>
      <c r="H70" s="539">
        <v>4.2553191489361701E-2</v>
      </c>
      <c r="I70" s="539">
        <v>1.6736401673640169E-2</v>
      </c>
      <c r="J70" s="539">
        <v>2.3715415019762841E-2</v>
      </c>
    </row>
    <row r="71" spans="1:10">
      <c r="B71" s="537">
        <v>2020</v>
      </c>
      <c r="C71" s="538">
        <v>3.5393608598237897E-2</v>
      </c>
      <c r="D71" s="539">
        <v>3.7527593818984538E-2</v>
      </c>
      <c r="E71" s="539">
        <v>5.9891998036327943E-2</v>
      </c>
      <c r="F71" s="539">
        <v>3.9130434782608699E-2</v>
      </c>
      <c r="G71" s="539">
        <v>6.6499372647427848E-2</v>
      </c>
      <c r="H71" s="539">
        <v>3.4168564920273349E-2</v>
      </c>
      <c r="I71" s="539">
        <v>6.1452513966480438E-2</v>
      </c>
      <c r="J71" s="539">
        <v>3.9215686274509803E-2</v>
      </c>
    </row>
    <row r="72" spans="1:10">
      <c r="B72" s="537">
        <v>2021</v>
      </c>
      <c r="C72" s="538">
        <v>3.5393608598237897E-2</v>
      </c>
      <c r="D72" s="539">
        <v>2.0029673590504449E-2</v>
      </c>
      <c r="E72" s="539">
        <v>3.7593984962406013E-2</v>
      </c>
      <c r="F72" s="539">
        <v>2.3051591657519209E-2</v>
      </c>
      <c r="G72" s="539">
        <v>2.8314028314028319E-2</v>
      </c>
      <c r="H72" s="539">
        <v>1.3729977116704799E-2</v>
      </c>
      <c r="I72" s="539">
        <v>2.2556390977443611E-2</v>
      </c>
      <c r="J72" s="539">
        <v>4.9180327868852458E-2</v>
      </c>
    </row>
    <row r="73" spans="1:10">
      <c r="B73" s="537">
        <v>2022</v>
      </c>
      <c r="C73" s="538">
        <v>3.5393608598237897E-2</v>
      </c>
      <c r="D73" s="539">
        <v>1.7910447761194031E-2</v>
      </c>
      <c r="E73" s="539">
        <v>4.1708043694141023E-2</v>
      </c>
      <c r="F73" s="539">
        <v>1.8099547511312219E-2</v>
      </c>
      <c r="G73" s="539">
        <v>2.4358974358974359E-2</v>
      </c>
      <c r="H73" s="539">
        <v>1.754385964912281E-2</v>
      </c>
      <c r="I73" s="539">
        <v>1.6605166051660521E-2</v>
      </c>
      <c r="J73" s="539">
        <v>2.8925619834710741E-2</v>
      </c>
    </row>
    <row r="74" spans="1:10">
      <c r="B74" s="537">
        <v>2023</v>
      </c>
      <c r="C74" s="538">
        <v>3.5393608598237897E-2</v>
      </c>
      <c r="D74" s="539">
        <v>2.1577380952380949E-2</v>
      </c>
      <c r="E74" s="539">
        <v>4.0178571428571432E-2</v>
      </c>
      <c r="F74" s="539">
        <v>1.5348288075560801E-2</v>
      </c>
      <c r="G74" s="539">
        <v>3.5897435897435888E-2</v>
      </c>
      <c r="H74" s="539">
        <v>3.2193158953722337E-2</v>
      </c>
      <c r="I74" s="539">
        <v>3.0188679245283019E-2</v>
      </c>
      <c r="J74" s="539">
        <v>3.4782608695652167E-2</v>
      </c>
    </row>
    <row r="75" spans="1:10" hidden="1">
      <c r="B75" s="92">
        <v>2024</v>
      </c>
      <c r="C75" s="118">
        <v>3.5393608598237897E-2</v>
      </c>
      <c r="D75" s="119">
        <v>2.2463768115942029E-2</v>
      </c>
      <c r="E75" s="119">
        <v>2.3016650342801179E-2</v>
      </c>
      <c r="F75" s="119">
        <v>2.014218009478673E-2</v>
      </c>
      <c r="G75" s="119">
        <v>1.804123711340206E-2</v>
      </c>
      <c r="H75" s="119">
        <v>2.6119402985074629E-2</v>
      </c>
      <c r="I75" s="119">
        <v>9.6899224806201549E-3</v>
      </c>
      <c r="J75" s="119">
        <v>3.4334763948497847E-2</v>
      </c>
    </row>
    <row r="79" spans="1:10">
      <c r="A79" s="92"/>
      <c r="B79" s="92"/>
    </row>
    <row r="80" spans="1:10">
      <c r="A80" s="92"/>
      <c r="B80" s="92"/>
    </row>
    <row r="81" spans="1:2">
      <c r="A81" s="92"/>
      <c r="B81" s="92"/>
    </row>
    <row r="82" spans="1:2">
      <c r="A82" s="92"/>
      <c r="B82" s="92"/>
    </row>
    <row r="83" spans="1:2">
      <c r="A83" s="92"/>
      <c r="B83" s="92"/>
    </row>
    <row r="84" spans="1:2">
      <c r="A84" s="92"/>
      <c r="B84" s="92"/>
    </row>
    <row r="85" spans="1:2">
      <c r="A85" s="92"/>
      <c r="B85" s="92"/>
    </row>
    <row r="86" spans="1:2">
      <c r="A86" s="92"/>
      <c r="B86" s="92"/>
    </row>
    <row r="87" spans="1:2">
      <c r="A87" s="92"/>
      <c r="B87" s="92"/>
    </row>
    <row r="88" spans="1:2">
      <c r="A88" s="92"/>
      <c r="B88" s="92"/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80DC-F88B-4E5B-977A-0A04434167BD}">
  <dimension ref="A1:Q195"/>
  <sheetViews>
    <sheetView workbookViewId="0">
      <selection activeCell="A5" sqref="A5:A32"/>
    </sheetView>
  </sheetViews>
  <sheetFormatPr defaultColWidth="9.296875" defaultRowHeight="14.4" outlineLevelRow="1"/>
  <cols>
    <col min="1" max="1" width="9" style="3" customWidth="1"/>
    <col min="2" max="2" width="2.296875" style="3" customWidth="1"/>
    <col min="3" max="3" width="16.09765625" style="4" customWidth="1"/>
    <col min="4" max="4" width="14.69921875" style="5" bestFit="1" customWidth="1"/>
    <col min="5" max="5" width="12.3984375" style="8" customWidth="1"/>
    <col min="6" max="6" width="13.296875" style="8" customWidth="1"/>
    <col min="7" max="7" width="10.296875" style="8" customWidth="1"/>
    <col min="8" max="12" width="8.69921875" style="8" customWidth="1"/>
    <col min="13" max="13" width="9.296875" style="3" customWidth="1"/>
    <col min="14" max="17" width="8.69921875" style="3" customWidth="1"/>
    <col min="18" max="16384" width="9.296875" style="3"/>
  </cols>
  <sheetData>
    <row r="1" spans="1:17">
      <c r="D1" s="7"/>
      <c r="M1" s="8"/>
      <c r="N1" s="8"/>
      <c r="O1" s="8"/>
      <c r="P1" s="8"/>
      <c r="Q1" s="8"/>
    </row>
    <row r="2" spans="1:17" ht="15.6">
      <c r="C2" s="583" t="s">
        <v>379</v>
      </c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" thickBot="1">
      <c r="D3" s="7"/>
      <c r="M3" s="8"/>
      <c r="N3" s="8"/>
      <c r="O3" s="8"/>
      <c r="P3" s="8"/>
      <c r="Q3" s="8"/>
    </row>
    <row r="4" spans="1:17" ht="45.75" customHeight="1" thickBot="1">
      <c r="C4" s="41" t="s">
        <v>99</v>
      </c>
      <c r="D4" s="10" t="s">
        <v>49</v>
      </c>
      <c r="E4" s="115" t="s">
        <v>55</v>
      </c>
      <c r="F4" s="115" t="s">
        <v>56</v>
      </c>
      <c r="G4" s="115" t="s">
        <v>57</v>
      </c>
      <c r="H4" s="115" t="s">
        <v>58</v>
      </c>
      <c r="I4" s="115" t="s">
        <v>59</v>
      </c>
      <c r="J4" s="115" t="s">
        <v>60</v>
      </c>
      <c r="K4" s="115" t="s">
        <v>61</v>
      </c>
      <c r="L4" s="115" t="s">
        <v>62</v>
      </c>
      <c r="M4" s="115" t="s">
        <v>63</v>
      </c>
      <c r="N4" s="115" t="s">
        <v>64</v>
      </c>
      <c r="O4" s="115" t="s">
        <v>65</v>
      </c>
      <c r="P4" s="115" t="s">
        <v>66</v>
      </c>
      <c r="Q4" s="115" t="s">
        <v>82</v>
      </c>
    </row>
    <row r="5" spans="1:17" s="17" customFormat="1" ht="19.2" customHeight="1">
      <c r="A5" s="3"/>
      <c r="B5" s="3"/>
      <c r="C5" s="579" t="s">
        <v>76</v>
      </c>
      <c r="D5" s="120" t="s">
        <v>114</v>
      </c>
      <c r="E5" s="14" t="s">
        <v>237</v>
      </c>
      <c r="F5" s="14">
        <v>1.018234468679443E-2</v>
      </c>
      <c r="G5" s="14">
        <v>3.525925041805756E-2</v>
      </c>
      <c r="H5" s="14">
        <v>2.5631412183517131E-2</v>
      </c>
      <c r="I5" s="14" t="s">
        <v>237</v>
      </c>
      <c r="J5" s="14">
        <v>1.6285110409249352E-2</v>
      </c>
      <c r="K5" s="14">
        <v>0</v>
      </c>
      <c r="L5" s="14">
        <v>2.706908490433917E-2</v>
      </c>
      <c r="M5" s="14" t="s">
        <v>237</v>
      </c>
      <c r="N5" s="14">
        <v>4.535255684838134E-2</v>
      </c>
      <c r="O5" s="14" t="s">
        <v>237</v>
      </c>
      <c r="P5" s="15">
        <v>4.3428757362511212E-3</v>
      </c>
      <c r="Q5" s="16">
        <v>4.9931401830502313E-2</v>
      </c>
    </row>
    <row r="6" spans="1:17" s="17" customFormat="1" ht="19.2" customHeight="1">
      <c r="A6" s="3"/>
      <c r="B6" s="3"/>
      <c r="C6" s="580"/>
      <c r="D6" s="121" t="s">
        <v>115</v>
      </c>
      <c r="E6" s="18" t="s">
        <v>237</v>
      </c>
      <c r="F6" s="18">
        <v>3.1847133757961783E-2</v>
      </c>
      <c r="G6" s="18">
        <v>5.6155507559395253E-2</v>
      </c>
      <c r="H6" s="18">
        <v>4.1884816753926697E-2</v>
      </c>
      <c r="I6" s="18" t="s">
        <v>237</v>
      </c>
      <c r="J6" s="18">
        <v>2.999210734017364E-2</v>
      </c>
      <c r="K6" s="18">
        <v>3.2258064516129031E-2</v>
      </c>
      <c r="L6" s="18">
        <v>5.3941908713692949E-2</v>
      </c>
      <c r="M6" s="18" t="s">
        <v>237</v>
      </c>
      <c r="N6" s="18">
        <v>6.6276803118908378E-2</v>
      </c>
      <c r="O6" s="18" t="s">
        <v>237</v>
      </c>
      <c r="P6" s="19">
        <v>1.157894736842105E-2</v>
      </c>
      <c r="Q6" s="20">
        <v>7.6923076923076927E-2</v>
      </c>
    </row>
    <row r="7" spans="1:17" s="17" customFormat="1" ht="19.2" customHeight="1" thickBot="1">
      <c r="A7" s="3"/>
      <c r="B7" s="3"/>
      <c r="C7" s="582"/>
      <c r="D7" s="122" t="s">
        <v>116</v>
      </c>
      <c r="E7" s="21" t="s">
        <v>237</v>
      </c>
      <c r="F7" s="21">
        <v>5.351192282912913E-2</v>
      </c>
      <c r="G7" s="21">
        <v>7.7051764700732939E-2</v>
      </c>
      <c r="H7" s="21">
        <v>5.813822132433627E-2</v>
      </c>
      <c r="I7" s="21" t="s">
        <v>237</v>
      </c>
      <c r="J7" s="21">
        <v>4.3699104271097917E-2</v>
      </c>
      <c r="K7" s="21">
        <v>7.0878442926545937E-2</v>
      </c>
      <c r="L7" s="21">
        <v>8.0814732523046717E-2</v>
      </c>
      <c r="M7" s="21" t="s">
        <v>237</v>
      </c>
      <c r="N7" s="21">
        <v>8.7201049389435417E-2</v>
      </c>
      <c r="O7" s="21" t="s">
        <v>237</v>
      </c>
      <c r="P7" s="22">
        <v>1.8815019000590981E-2</v>
      </c>
      <c r="Q7" s="23">
        <v>0.10391475201565149</v>
      </c>
    </row>
    <row r="8" spans="1:17" s="17" customFormat="1" ht="19.2" customHeight="1">
      <c r="A8" s="3"/>
      <c r="B8" s="3"/>
      <c r="C8" s="579" t="s">
        <v>77</v>
      </c>
      <c r="D8" s="123" t="s">
        <v>117</v>
      </c>
      <c r="E8" s="24" t="s">
        <v>237</v>
      </c>
      <c r="F8" s="24">
        <v>5.0088024320374489E-3</v>
      </c>
      <c r="G8" s="24">
        <v>3.6287771710695027E-2</v>
      </c>
      <c r="H8" s="24">
        <v>3.1602208176872343E-2</v>
      </c>
      <c r="I8" s="24">
        <v>1.594065193058165E-2</v>
      </c>
      <c r="J8" s="24">
        <v>8.0288836722340069E-3</v>
      </c>
      <c r="K8" s="24">
        <v>3.0193166149039809E-2</v>
      </c>
      <c r="L8" s="24">
        <v>2.6960798708368181E-2</v>
      </c>
      <c r="M8" s="24">
        <v>9.0864795246702046E-3</v>
      </c>
      <c r="N8" s="24">
        <v>2.6021684822478259E-2</v>
      </c>
      <c r="O8" s="24">
        <v>2.6271492944753019E-2</v>
      </c>
      <c r="P8" s="25">
        <v>2.978237350817366E-2</v>
      </c>
      <c r="Q8" s="26">
        <v>1.5484584074290561E-2</v>
      </c>
    </row>
    <row r="9" spans="1:17" s="17" customFormat="1" ht="19.2" customHeight="1">
      <c r="A9" s="3"/>
      <c r="B9" s="3"/>
      <c r="C9" s="580"/>
      <c r="D9" s="124" t="s">
        <v>115</v>
      </c>
      <c r="E9" s="27" t="s">
        <v>237</v>
      </c>
      <c r="F9" s="27">
        <v>1.7605633802816899E-2</v>
      </c>
      <c r="G9" s="27">
        <v>4.6579330422125177E-2</v>
      </c>
      <c r="H9" s="27">
        <v>4.4133476856835309E-2</v>
      </c>
      <c r="I9" s="27">
        <v>2.5590551181102358E-2</v>
      </c>
      <c r="J9" s="27">
        <v>1.1198720146268999E-2</v>
      </c>
      <c r="K9" s="27">
        <v>4.5146726862302478E-2</v>
      </c>
      <c r="L9" s="27">
        <v>3.6072144288577163E-2</v>
      </c>
      <c r="M9" s="27">
        <v>2.6548672566371681E-2</v>
      </c>
      <c r="N9" s="27">
        <v>3.5872235872235869E-2</v>
      </c>
      <c r="O9" s="27">
        <v>4.2735042735042743E-2</v>
      </c>
      <c r="P9" s="28">
        <v>4.2136498516320467E-2</v>
      </c>
      <c r="Q9" s="29">
        <v>2.9946524064171118E-2</v>
      </c>
    </row>
    <row r="10" spans="1:17" s="17" customFormat="1" ht="19.2" customHeight="1" thickBot="1">
      <c r="A10" s="3"/>
      <c r="B10" s="3"/>
      <c r="C10" s="582"/>
      <c r="D10" s="125" t="s">
        <v>116</v>
      </c>
      <c r="E10" s="30" t="s">
        <v>237</v>
      </c>
      <c r="F10" s="30">
        <v>3.0202465173596361E-2</v>
      </c>
      <c r="G10" s="30">
        <v>5.6870889133555327E-2</v>
      </c>
      <c r="H10" s="30">
        <v>5.6664745536798268E-2</v>
      </c>
      <c r="I10" s="30">
        <v>3.524045043162307E-2</v>
      </c>
      <c r="J10" s="30">
        <v>1.436855662030399E-2</v>
      </c>
      <c r="K10" s="30">
        <v>6.0100287575565153E-2</v>
      </c>
      <c r="L10" s="30">
        <v>4.5183489868786127E-2</v>
      </c>
      <c r="M10" s="30">
        <v>4.4010865608073158E-2</v>
      </c>
      <c r="N10" s="30">
        <v>4.5722786921993483E-2</v>
      </c>
      <c r="O10" s="30">
        <v>5.9198592525332452E-2</v>
      </c>
      <c r="P10" s="31">
        <v>5.4490623524467277E-2</v>
      </c>
      <c r="Q10" s="32">
        <v>4.4408464054051688E-2</v>
      </c>
    </row>
    <row r="11" spans="1:17" s="17" customFormat="1" ht="19.2" customHeight="1">
      <c r="A11" s="3"/>
      <c r="B11" s="3"/>
      <c r="C11" s="579" t="s">
        <v>78</v>
      </c>
      <c r="D11" s="120" t="s">
        <v>117</v>
      </c>
      <c r="E11" s="14" t="s">
        <v>237</v>
      </c>
      <c r="F11" s="14">
        <v>1.690630427618953E-2</v>
      </c>
      <c r="G11" s="14">
        <v>1.9404325357593299E-2</v>
      </c>
      <c r="H11" s="14">
        <v>2.9594292450228422E-2</v>
      </c>
      <c r="I11" s="14">
        <v>3.9432474602069459E-4</v>
      </c>
      <c r="J11" s="14">
        <v>1.29483543399464E-2</v>
      </c>
      <c r="K11" s="14">
        <v>2.482466905225501E-2</v>
      </c>
      <c r="L11" s="14">
        <v>1.4957001192807819E-2</v>
      </c>
      <c r="M11" s="14" t="s">
        <v>237</v>
      </c>
      <c r="N11" s="14">
        <v>1.9984627214264739E-2</v>
      </c>
      <c r="O11" s="14">
        <v>1.382266358999288E-2</v>
      </c>
      <c r="P11" s="15">
        <v>2.5624479558890221E-2</v>
      </c>
      <c r="Q11" s="16">
        <v>2.2572514057157229E-2</v>
      </c>
    </row>
    <row r="12" spans="1:17" s="17" customFormat="1" ht="19.2" customHeight="1">
      <c r="A12" s="3"/>
      <c r="B12" s="3"/>
      <c r="C12" s="580"/>
      <c r="D12" s="126" t="s">
        <v>118</v>
      </c>
      <c r="E12" s="18" t="s">
        <v>237</v>
      </c>
      <c r="F12" s="18">
        <v>3.3980582524271843E-2</v>
      </c>
      <c r="G12" s="18">
        <v>3.2978723404255318E-2</v>
      </c>
      <c r="H12" s="18">
        <v>4.2682926829268303E-2</v>
      </c>
      <c r="I12" s="18">
        <v>1.659751037344398E-2</v>
      </c>
      <c r="J12" s="18">
        <v>1.97327852004111E-2</v>
      </c>
      <c r="K12" s="18">
        <v>5.8479532163742687E-2</v>
      </c>
      <c r="L12" s="18">
        <v>2.4187452758881331E-2</v>
      </c>
      <c r="M12" s="18" t="s">
        <v>237</v>
      </c>
      <c r="N12" s="18">
        <v>3.5675675675675679E-2</v>
      </c>
      <c r="O12" s="18">
        <v>6.097560975609756E-2</v>
      </c>
      <c r="P12" s="19">
        <v>3.4760705289672553E-2</v>
      </c>
      <c r="Q12" s="20">
        <v>3.7790697674418602E-2</v>
      </c>
    </row>
    <row r="13" spans="1:17" s="17" customFormat="1" ht="19.2" customHeight="1" thickBot="1">
      <c r="A13" s="3"/>
      <c r="B13" s="3"/>
      <c r="C13" s="582"/>
      <c r="D13" s="122" t="s">
        <v>116</v>
      </c>
      <c r="E13" s="21" t="s">
        <v>237</v>
      </c>
      <c r="F13" s="21">
        <v>5.105486077235416E-2</v>
      </c>
      <c r="G13" s="21">
        <v>4.6553121450917327E-2</v>
      </c>
      <c r="H13" s="21">
        <v>5.5771561208308167E-2</v>
      </c>
      <c r="I13" s="21">
        <v>3.2800696000867269E-2</v>
      </c>
      <c r="J13" s="21">
        <v>2.6517216060875801E-2</v>
      </c>
      <c r="K13" s="21">
        <v>9.213439527523036E-2</v>
      </c>
      <c r="L13" s="21">
        <v>3.3417904324954839E-2</v>
      </c>
      <c r="M13" s="21" t="s">
        <v>237</v>
      </c>
      <c r="N13" s="21">
        <v>5.1366724137086622E-2</v>
      </c>
      <c r="O13" s="21">
        <v>0.1081285559222022</v>
      </c>
      <c r="P13" s="22">
        <v>4.3896931020454867E-2</v>
      </c>
      <c r="Q13" s="23">
        <v>5.300888129167998E-2</v>
      </c>
    </row>
    <row r="14" spans="1:17" s="17" customFormat="1" ht="19.2" customHeight="1">
      <c r="A14" s="3"/>
      <c r="B14" s="3"/>
      <c r="C14" s="579" t="s">
        <v>79</v>
      </c>
      <c r="D14" s="123" t="s">
        <v>117</v>
      </c>
      <c r="E14" s="24" t="s">
        <v>237</v>
      </c>
      <c r="F14" s="24" t="s">
        <v>237</v>
      </c>
      <c r="G14" s="24">
        <v>3.1524728225389619E-2</v>
      </c>
      <c r="H14" s="24">
        <v>1.6641464210704081E-2</v>
      </c>
      <c r="I14" s="24">
        <v>2.4998351474773941E-2</v>
      </c>
      <c r="J14" s="24">
        <v>2.4205691996690471E-2</v>
      </c>
      <c r="K14" s="24">
        <v>6.0607140474893614E-3</v>
      </c>
      <c r="L14" s="24">
        <v>3.5631552239047029E-2</v>
      </c>
      <c r="M14" s="24" t="s">
        <v>237</v>
      </c>
      <c r="N14" s="24">
        <v>2.7051770330290829E-2</v>
      </c>
      <c r="O14" s="24" t="s">
        <v>237</v>
      </c>
      <c r="P14" s="25">
        <v>2.791912455097992E-3</v>
      </c>
      <c r="Q14" s="26" t="s">
        <v>237</v>
      </c>
    </row>
    <row r="15" spans="1:17" s="17" customFormat="1" ht="19.2" customHeight="1">
      <c r="A15" s="3"/>
      <c r="B15" s="3"/>
      <c r="C15" s="580"/>
      <c r="D15" s="124" t="s">
        <v>115</v>
      </c>
      <c r="E15" s="27" t="s">
        <v>237</v>
      </c>
      <c r="F15" s="27" t="s">
        <v>237</v>
      </c>
      <c r="G15" s="27">
        <v>6.6390041493775934E-2</v>
      </c>
      <c r="H15" s="27">
        <v>4.7413793103448273E-2</v>
      </c>
      <c r="I15" s="27">
        <v>5.0632911392405063E-2</v>
      </c>
      <c r="J15" s="27">
        <v>3.8439472174411932E-2</v>
      </c>
      <c r="K15" s="27">
        <v>3.5971223021582732E-2</v>
      </c>
      <c r="L15" s="27">
        <v>6.7039106145251395E-2</v>
      </c>
      <c r="M15" s="27" t="s">
        <v>237</v>
      </c>
      <c r="N15" s="27">
        <v>0.04</v>
      </c>
      <c r="O15" s="27" t="s">
        <v>237</v>
      </c>
      <c r="P15" s="28">
        <v>4.9504950495049514E-3</v>
      </c>
      <c r="Q15" s="29" t="s">
        <v>237</v>
      </c>
    </row>
    <row r="16" spans="1:17" s="17" customFormat="1" ht="19.2" customHeight="1" thickBot="1">
      <c r="A16" s="3"/>
      <c r="B16" s="3"/>
      <c r="C16" s="582"/>
      <c r="D16" s="125" t="s">
        <v>116</v>
      </c>
      <c r="E16" s="30" t="s">
        <v>237</v>
      </c>
      <c r="F16" s="30" t="s">
        <v>237</v>
      </c>
      <c r="G16" s="30">
        <v>0.1012553547621622</v>
      </c>
      <c r="H16" s="30">
        <v>7.8186121996192459E-2</v>
      </c>
      <c r="I16" s="30">
        <v>7.6267471310036181E-2</v>
      </c>
      <c r="J16" s="30">
        <v>5.2673252352133389E-2</v>
      </c>
      <c r="K16" s="30">
        <v>6.5881731995676096E-2</v>
      </c>
      <c r="L16" s="30">
        <v>9.8446660051455762E-2</v>
      </c>
      <c r="M16" s="30" t="s">
        <v>237</v>
      </c>
      <c r="N16" s="30">
        <v>5.2948229669709183E-2</v>
      </c>
      <c r="O16" s="30" t="s">
        <v>237</v>
      </c>
      <c r="P16" s="31">
        <v>7.10907764391191E-3</v>
      </c>
      <c r="Q16" s="32" t="s">
        <v>237</v>
      </c>
    </row>
    <row r="17" spans="1:17" s="17" customFormat="1" ht="19.2" hidden="1" customHeight="1" outlineLevel="1">
      <c r="A17" s="3"/>
      <c r="B17" s="3"/>
      <c r="C17" s="579" t="s">
        <v>103</v>
      </c>
      <c r="D17" s="120" t="s">
        <v>117</v>
      </c>
      <c r="E17" s="14" t="s">
        <v>237</v>
      </c>
      <c r="F17" s="14" t="s">
        <v>237</v>
      </c>
      <c r="G17" s="14" t="s">
        <v>237</v>
      </c>
      <c r="H17" s="14" t="s">
        <v>237</v>
      </c>
      <c r="I17" s="14" t="s">
        <v>237</v>
      </c>
      <c r="J17" s="14" t="s">
        <v>237</v>
      </c>
      <c r="K17" s="14" t="s">
        <v>237</v>
      </c>
      <c r="L17" s="14" t="s">
        <v>237</v>
      </c>
      <c r="M17" s="14" t="s">
        <v>237</v>
      </c>
      <c r="N17" s="14" t="s">
        <v>237</v>
      </c>
      <c r="O17" s="14" t="s">
        <v>237</v>
      </c>
      <c r="P17" s="15" t="s">
        <v>237</v>
      </c>
      <c r="Q17" s="16" t="s">
        <v>237</v>
      </c>
    </row>
    <row r="18" spans="1:17" s="17" customFormat="1" ht="19.2" hidden="1" customHeight="1" outlineLevel="1">
      <c r="A18" s="3"/>
      <c r="B18" s="3"/>
      <c r="C18" s="580"/>
      <c r="D18" s="126" t="s">
        <v>118</v>
      </c>
      <c r="E18" s="33" t="s">
        <v>237</v>
      </c>
      <c r="F18" s="33" t="s">
        <v>237</v>
      </c>
      <c r="G18" s="33" t="s">
        <v>237</v>
      </c>
      <c r="H18" s="33" t="s">
        <v>237</v>
      </c>
      <c r="I18" s="33" t="s">
        <v>237</v>
      </c>
      <c r="J18" s="33" t="s">
        <v>237</v>
      </c>
      <c r="K18" s="33" t="s">
        <v>237</v>
      </c>
      <c r="L18" s="33" t="s">
        <v>237</v>
      </c>
      <c r="M18" s="33" t="s">
        <v>237</v>
      </c>
      <c r="N18" s="33" t="s">
        <v>237</v>
      </c>
      <c r="O18" s="33" t="s">
        <v>237</v>
      </c>
      <c r="P18" s="34" t="s">
        <v>237</v>
      </c>
      <c r="Q18" s="35" t="s">
        <v>237</v>
      </c>
    </row>
    <row r="19" spans="1:17" s="17" customFormat="1" ht="19.2" hidden="1" customHeight="1" outlineLevel="1" thickBot="1">
      <c r="A19" s="3"/>
      <c r="B19" s="3"/>
      <c r="C19" s="582"/>
      <c r="D19" s="122" t="s">
        <v>116</v>
      </c>
      <c r="E19" s="21" t="s">
        <v>237</v>
      </c>
      <c r="F19" s="21" t="s">
        <v>237</v>
      </c>
      <c r="G19" s="21" t="s">
        <v>237</v>
      </c>
      <c r="H19" s="21" t="s">
        <v>237</v>
      </c>
      <c r="I19" s="21" t="s">
        <v>237</v>
      </c>
      <c r="J19" s="21" t="s">
        <v>237</v>
      </c>
      <c r="K19" s="21" t="s">
        <v>237</v>
      </c>
      <c r="L19" s="21" t="s">
        <v>237</v>
      </c>
      <c r="M19" s="21" t="s">
        <v>237</v>
      </c>
      <c r="N19" s="21" t="s">
        <v>237</v>
      </c>
      <c r="O19" s="21" t="s">
        <v>237</v>
      </c>
      <c r="P19" s="22" t="s">
        <v>237</v>
      </c>
      <c r="Q19" s="23" t="s">
        <v>237</v>
      </c>
    </row>
    <row r="20" spans="1:17" s="17" customFormat="1" ht="19.2" customHeight="1" collapsed="1">
      <c r="A20" s="3"/>
      <c r="B20" s="3"/>
      <c r="C20" s="579" t="s">
        <v>80</v>
      </c>
      <c r="D20" s="120" t="s">
        <v>117</v>
      </c>
      <c r="E20" s="14" t="s">
        <v>237</v>
      </c>
      <c r="F20" s="14">
        <v>1.2499636003932779E-2</v>
      </c>
      <c r="G20" s="14">
        <v>3.6165526779920007E-2</v>
      </c>
      <c r="H20" s="14">
        <v>1.508132890750751E-2</v>
      </c>
      <c r="I20" s="14" t="s">
        <v>237</v>
      </c>
      <c r="J20" s="14">
        <v>1.4537095334611731E-2</v>
      </c>
      <c r="K20" s="14">
        <v>6.5033900415331844E-3</v>
      </c>
      <c r="L20" s="14">
        <v>1.4016604068189701E-2</v>
      </c>
      <c r="M20" s="14" t="s">
        <v>237</v>
      </c>
      <c r="N20" s="14">
        <v>1.35517408507083E-2</v>
      </c>
      <c r="O20" s="14" t="s">
        <v>237</v>
      </c>
      <c r="P20" s="15">
        <v>1.1513847173672849E-2</v>
      </c>
      <c r="Q20" s="16" t="s">
        <v>237</v>
      </c>
    </row>
    <row r="21" spans="1:17" s="17" customFormat="1" ht="19.2" customHeight="1">
      <c r="A21" s="3"/>
      <c r="B21" s="3"/>
      <c r="C21" s="580"/>
      <c r="D21" s="126" t="s">
        <v>115</v>
      </c>
      <c r="E21" s="18" t="s">
        <v>237</v>
      </c>
      <c r="F21" s="18">
        <v>3.8834951456310683E-2</v>
      </c>
      <c r="G21" s="18">
        <v>7.6411960132890366E-2</v>
      </c>
      <c r="H21" s="18">
        <v>3.017241379310345E-2</v>
      </c>
      <c r="I21" s="18" t="s">
        <v>237</v>
      </c>
      <c r="J21" s="18">
        <v>2.8202115158636899E-2</v>
      </c>
      <c r="K21" s="18">
        <v>5.2238805970149252E-2</v>
      </c>
      <c r="L21" s="18">
        <v>3.1872509960159362E-2</v>
      </c>
      <c r="M21" s="18" t="s">
        <v>237</v>
      </c>
      <c r="N21" s="18">
        <v>4.5238095238095237E-2</v>
      </c>
      <c r="O21" s="18" t="s">
        <v>237</v>
      </c>
      <c r="P21" s="19">
        <v>1.7470300489168419E-2</v>
      </c>
      <c r="Q21" s="20" t="s">
        <v>237</v>
      </c>
    </row>
    <row r="22" spans="1:17" s="17" customFormat="1" ht="19.2" customHeight="1" thickBot="1">
      <c r="A22" s="3"/>
      <c r="B22" s="3"/>
      <c r="C22" s="582"/>
      <c r="D22" s="122" t="s">
        <v>116</v>
      </c>
      <c r="E22" s="21" t="s">
        <v>237</v>
      </c>
      <c r="F22" s="21">
        <v>6.5170266908688573E-2</v>
      </c>
      <c r="G22" s="21">
        <v>0.1166583934858607</v>
      </c>
      <c r="H22" s="21">
        <v>4.5263498678699388E-2</v>
      </c>
      <c r="I22" s="21" t="s">
        <v>237</v>
      </c>
      <c r="J22" s="21">
        <v>4.1867134982662063E-2</v>
      </c>
      <c r="K22" s="21">
        <v>9.7974221898765312E-2</v>
      </c>
      <c r="L22" s="21">
        <v>4.9728415852129032E-2</v>
      </c>
      <c r="M22" s="21" t="s">
        <v>237</v>
      </c>
      <c r="N22" s="21">
        <v>7.6924449625482172E-2</v>
      </c>
      <c r="O22" s="21" t="s">
        <v>237</v>
      </c>
      <c r="P22" s="22">
        <v>2.3426753804663979E-2</v>
      </c>
      <c r="Q22" s="23" t="s">
        <v>237</v>
      </c>
    </row>
    <row r="23" spans="1:17" s="17" customFormat="1" ht="19.2" customHeight="1">
      <c r="A23" s="3"/>
      <c r="B23" s="3"/>
      <c r="C23" s="579" t="s">
        <v>81</v>
      </c>
      <c r="D23" s="123" t="s">
        <v>117</v>
      </c>
      <c r="E23" s="24" t="s">
        <v>237</v>
      </c>
      <c r="F23" s="24">
        <v>3.8222198885509352E-2</v>
      </c>
      <c r="G23" s="24">
        <v>8.8815353692691154E-2</v>
      </c>
      <c r="H23" s="24">
        <v>8.5028755299346184E-2</v>
      </c>
      <c r="I23" s="24">
        <v>3.083730769062178E-2</v>
      </c>
      <c r="J23" s="24">
        <v>3.3320944484224263E-2</v>
      </c>
      <c r="K23" s="24">
        <v>0.1149953911390597</v>
      </c>
      <c r="L23" s="24">
        <v>2.4661256156566471E-2</v>
      </c>
      <c r="M23" s="24" t="s">
        <v>237</v>
      </c>
      <c r="N23" s="24">
        <v>5.5252498311177262E-2</v>
      </c>
      <c r="O23" s="24">
        <v>4.8669465048647893E-2</v>
      </c>
      <c r="P23" s="25">
        <v>3.7059655494177307E-2</v>
      </c>
      <c r="Q23" s="26">
        <v>3.1798851344615339E-2</v>
      </c>
    </row>
    <row r="24" spans="1:17" s="17" customFormat="1" ht="19.2" customHeight="1">
      <c r="A24" s="3"/>
      <c r="B24" s="3"/>
      <c r="C24" s="580"/>
      <c r="D24" s="124" t="s">
        <v>115</v>
      </c>
      <c r="E24" s="27" t="s">
        <v>237</v>
      </c>
      <c r="F24" s="27">
        <v>6.4197530864197536E-2</v>
      </c>
      <c r="G24" s="27">
        <v>0.1106043329532497</v>
      </c>
      <c r="H24" s="27">
        <v>0.10272168568920111</v>
      </c>
      <c r="I24" s="27">
        <v>5.2380952380952382E-2</v>
      </c>
      <c r="J24" s="27">
        <v>3.9562080119432692E-2</v>
      </c>
      <c r="K24" s="27">
        <v>0.16560509554140129</v>
      </c>
      <c r="L24" s="27">
        <v>4.4843049327354258E-2</v>
      </c>
      <c r="M24" s="27" t="s">
        <v>237</v>
      </c>
      <c r="N24" s="27">
        <v>6.8357221609702312E-2</v>
      </c>
      <c r="O24" s="27">
        <v>6.8750000000000006E-2</v>
      </c>
      <c r="P24" s="28">
        <v>4.6353101567825503E-2</v>
      </c>
      <c r="Q24" s="29">
        <v>5.6737588652482268E-2</v>
      </c>
    </row>
    <row r="25" spans="1:17" s="17" customFormat="1" ht="19.2" customHeight="1" thickBot="1">
      <c r="A25" s="3"/>
      <c r="B25" s="3"/>
      <c r="C25" s="582"/>
      <c r="D25" s="125" t="s">
        <v>116</v>
      </c>
      <c r="E25" s="30" t="s">
        <v>237</v>
      </c>
      <c r="F25" s="30">
        <v>9.0172862842885726E-2</v>
      </c>
      <c r="G25" s="30">
        <v>0.13239331221380829</v>
      </c>
      <c r="H25" s="30">
        <v>0.1204146160790559</v>
      </c>
      <c r="I25" s="30">
        <v>7.3924597071282988E-2</v>
      </c>
      <c r="J25" s="30">
        <v>4.5803215754641122E-2</v>
      </c>
      <c r="K25" s="30">
        <v>0.21621479994374279</v>
      </c>
      <c r="L25" s="30">
        <v>6.5024842498142041E-2</v>
      </c>
      <c r="M25" s="30" t="s">
        <v>237</v>
      </c>
      <c r="N25" s="30">
        <v>8.1461944908227363E-2</v>
      </c>
      <c r="O25" s="30">
        <v>8.8830534951352125E-2</v>
      </c>
      <c r="P25" s="31">
        <v>5.5646547641473677E-2</v>
      </c>
      <c r="Q25" s="32">
        <v>8.1676325960349197E-2</v>
      </c>
    </row>
    <row r="26" spans="1:17" s="17" customFormat="1" ht="19.2" hidden="1" customHeight="1" outlineLevel="1">
      <c r="A26" s="3"/>
      <c r="B26" s="3"/>
      <c r="C26" s="579" t="s">
        <v>104</v>
      </c>
      <c r="D26" s="120" t="s">
        <v>117</v>
      </c>
      <c r="E26" s="14" t="s">
        <v>237</v>
      </c>
      <c r="F26" s="14" t="s">
        <v>237</v>
      </c>
      <c r="G26" s="14">
        <v>0</v>
      </c>
      <c r="H26" s="14">
        <v>2.9455994374536642E-4</v>
      </c>
      <c r="I26" s="14" t="s">
        <v>237</v>
      </c>
      <c r="J26" s="14">
        <v>1.05072389438666E-2</v>
      </c>
      <c r="K26" s="14" t="s">
        <v>237</v>
      </c>
      <c r="L26" s="14" t="s">
        <v>237</v>
      </c>
      <c r="M26" s="14" t="s">
        <v>237</v>
      </c>
      <c r="N26" s="14" t="s">
        <v>237</v>
      </c>
      <c r="O26" s="14" t="s">
        <v>237</v>
      </c>
      <c r="P26" s="15">
        <v>1.118854360703189E-2</v>
      </c>
      <c r="Q26" s="16">
        <v>1.209902968115467E-2</v>
      </c>
    </row>
    <row r="27" spans="1:17" s="17" customFormat="1" ht="19.2" hidden="1" customHeight="1" outlineLevel="1">
      <c r="A27" s="3"/>
      <c r="B27" s="3"/>
      <c r="C27" s="580"/>
      <c r="D27" s="126" t="s">
        <v>118</v>
      </c>
      <c r="E27" s="18" t="s">
        <v>237</v>
      </c>
      <c r="F27" s="18" t="s">
        <v>237</v>
      </c>
      <c r="G27" s="18">
        <v>7.4074074074074077E-3</v>
      </c>
      <c r="H27" s="18">
        <v>2.7397260273972601E-2</v>
      </c>
      <c r="I27" s="18" t="s">
        <v>237</v>
      </c>
      <c r="J27" s="18">
        <v>2.0057306590257881E-2</v>
      </c>
      <c r="K27" s="18" t="s">
        <v>237</v>
      </c>
      <c r="L27" s="18" t="s">
        <v>237</v>
      </c>
      <c r="M27" s="18" t="s">
        <v>237</v>
      </c>
      <c r="N27" s="18" t="s">
        <v>237</v>
      </c>
      <c r="O27" s="18" t="s">
        <v>237</v>
      </c>
      <c r="P27" s="19">
        <v>5.7142857142857141E-2</v>
      </c>
      <c r="Q27" s="20">
        <v>4.5801526717557252E-2</v>
      </c>
    </row>
    <row r="28" spans="1:17" s="17" customFormat="1" ht="19.2" hidden="1" customHeight="1" outlineLevel="1">
      <c r="A28" s="3"/>
      <c r="B28" s="3"/>
      <c r="C28" s="581"/>
      <c r="D28" s="479" t="s">
        <v>116</v>
      </c>
      <c r="E28" s="480" t="s">
        <v>237</v>
      </c>
      <c r="F28" s="480" t="s">
        <v>237</v>
      </c>
      <c r="G28" s="480">
        <v>2.115415026778112E-2</v>
      </c>
      <c r="H28" s="480">
        <v>5.4499960604199843E-2</v>
      </c>
      <c r="I28" s="480" t="s">
        <v>237</v>
      </c>
      <c r="J28" s="480">
        <v>2.9607374236649161E-2</v>
      </c>
      <c r="K28" s="480" t="s">
        <v>237</v>
      </c>
      <c r="L28" s="480" t="s">
        <v>237</v>
      </c>
      <c r="M28" s="480" t="s">
        <v>237</v>
      </c>
      <c r="N28" s="480" t="s">
        <v>237</v>
      </c>
      <c r="O28" s="480" t="s">
        <v>237</v>
      </c>
      <c r="P28" s="481">
        <v>0.1030971706786824</v>
      </c>
      <c r="Q28" s="482">
        <v>7.9504023753959832E-2</v>
      </c>
    </row>
    <row r="29" spans="1:17" collapsed="1">
      <c r="C29" s="483"/>
      <c r="D29" s="484" t="s">
        <v>119</v>
      </c>
      <c r="E29" s="473"/>
      <c r="F29" s="473"/>
      <c r="G29" s="473"/>
      <c r="H29" s="473"/>
      <c r="I29" s="473"/>
      <c r="J29" s="473"/>
      <c r="K29" s="473"/>
      <c r="L29" s="473"/>
      <c r="M29" s="466"/>
      <c r="N29" s="466"/>
      <c r="O29" s="466"/>
      <c r="P29" s="466"/>
      <c r="Q29" s="466"/>
    </row>
    <row r="30" spans="1:17">
      <c r="C30" s="5"/>
      <c r="D30" s="8"/>
      <c r="E30" s="6"/>
      <c r="F30" s="3"/>
      <c r="G30" s="3"/>
    </row>
    <row r="31" spans="1:17">
      <c r="C31" s="5"/>
      <c r="D31" s="8"/>
      <c r="F31" s="3"/>
      <c r="G31" s="3"/>
    </row>
    <row r="32" spans="1:17">
      <c r="C32" s="5"/>
      <c r="D32" s="8"/>
      <c r="F32" s="3"/>
      <c r="G32" s="3"/>
    </row>
    <row r="33" spans="3:7">
      <c r="C33" s="5"/>
      <c r="D33" s="8"/>
      <c r="F33" s="3"/>
      <c r="G33" s="3"/>
    </row>
    <row r="34" spans="3:7">
      <c r="C34" s="5"/>
      <c r="D34" s="8"/>
      <c r="F34" s="3"/>
      <c r="G34" s="3"/>
    </row>
    <row r="35" spans="3:7">
      <c r="C35" s="5"/>
      <c r="D35" s="8"/>
      <c r="F35" s="3"/>
      <c r="G35" s="3"/>
    </row>
    <row r="36" spans="3:7">
      <c r="C36" s="5"/>
      <c r="D36" s="8"/>
      <c r="F36" s="3"/>
      <c r="G36" s="3"/>
    </row>
    <row r="37" spans="3:7">
      <c r="C37" s="5"/>
      <c r="D37" s="8"/>
      <c r="F37" s="3"/>
      <c r="G37" s="3"/>
    </row>
    <row r="38" spans="3:7">
      <c r="C38" s="5"/>
      <c r="D38" s="8"/>
      <c r="F38" s="3"/>
      <c r="G38" s="3"/>
    </row>
    <row r="39" spans="3:7">
      <c r="C39" s="5"/>
      <c r="D39" s="8"/>
      <c r="F39" s="3"/>
      <c r="G39" s="3"/>
    </row>
    <row r="40" spans="3:7">
      <c r="C40" s="5"/>
      <c r="D40" s="8"/>
      <c r="F40" s="3"/>
      <c r="G40" s="3"/>
    </row>
    <row r="41" spans="3:7">
      <c r="C41" s="5"/>
      <c r="D41" s="8"/>
      <c r="F41" s="3"/>
      <c r="G41" s="3"/>
    </row>
    <row r="42" spans="3:7">
      <c r="C42" s="5"/>
      <c r="D42" s="8"/>
      <c r="F42" s="3"/>
      <c r="G42" s="3"/>
    </row>
    <row r="43" spans="3:7">
      <c r="C43" s="5"/>
      <c r="D43" s="8"/>
      <c r="F43" s="3"/>
      <c r="G43" s="3"/>
    </row>
    <row r="44" spans="3:7">
      <c r="C44" s="5"/>
      <c r="D44" s="8"/>
      <c r="F44" s="3"/>
      <c r="G44" s="3"/>
    </row>
    <row r="45" spans="3:7">
      <c r="C45" s="5"/>
      <c r="D45" s="8"/>
      <c r="F45" s="3"/>
      <c r="G45" s="3"/>
    </row>
    <row r="46" spans="3:7">
      <c r="C46" s="5"/>
      <c r="D46" s="8"/>
      <c r="F46" s="3"/>
      <c r="G46" s="3"/>
    </row>
    <row r="47" spans="3:7">
      <c r="C47" s="5"/>
      <c r="D47" s="8"/>
      <c r="F47" s="3"/>
      <c r="G47" s="3"/>
    </row>
    <row r="48" spans="3:7">
      <c r="C48" s="5"/>
      <c r="D48" s="8"/>
      <c r="F48" s="3"/>
      <c r="G48" s="3"/>
    </row>
    <row r="49" spans="3:7">
      <c r="C49" s="5"/>
      <c r="D49" s="8"/>
      <c r="F49" s="3"/>
      <c r="G49" s="3"/>
    </row>
    <row r="50" spans="3:7">
      <c r="C50" s="5"/>
      <c r="D50" s="8"/>
      <c r="F50" s="3"/>
      <c r="G50" s="3"/>
    </row>
    <row r="51" spans="3:7">
      <c r="C51" s="5"/>
      <c r="D51" s="8"/>
      <c r="F51" s="3"/>
      <c r="G51" s="3"/>
    </row>
    <row r="52" spans="3:7">
      <c r="C52" s="5"/>
      <c r="D52" s="8"/>
      <c r="F52" s="3"/>
      <c r="G52" s="3"/>
    </row>
    <row r="53" spans="3:7">
      <c r="C53" s="5"/>
      <c r="D53" s="8"/>
      <c r="F53" s="3"/>
      <c r="G53" s="3"/>
    </row>
    <row r="54" spans="3:7">
      <c r="C54" s="5"/>
      <c r="D54" s="8"/>
      <c r="F54" s="3"/>
      <c r="G54" s="3"/>
    </row>
    <row r="55" spans="3:7">
      <c r="C55" s="5"/>
      <c r="D55" s="8"/>
      <c r="F55" s="3"/>
      <c r="G55" s="3"/>
    </row>
    <row r="56" spans="3:7">
      <c r="C56" s="5"/>
      <c r="D56" s="8"/>
      <c r="F56" s="3"/>
      <c r="G56" s="3"/>
    </row>
    <row r="57" spans="3:7">
      <c r="C57" s="5"/>
      <c r="D57" s="8"/>
      <c r="F57" s="3"/>
      <c r="G57" s="3"/>
    </row>
    <row r="58" spans="3:7">
      <c r="C58" s="5"/>
      <c r="D58" s="8"/>
      <c r="F58" s="3"/>
      <c r="G58" s="3"/>
    </row>
    <row r="59" spans="3:7">
      <c r="C59" s="5"/>
      <c r="D59" s="8"/>
      <c r="F59" s="3"/>
      <c r="G59" s="3"/>
    </row>
    <row r="60" spans="3:7">
      <c r="C60" s="5"/>
      <c r="D60" s="8"/>
      <c r="F60" s="3"/>
      <c r="G60" s="3"/>
    </row>
    <row r="61" spans="3:7">
      <c r="C61" s="5"/>
      <c r="D61" s="8"/>
      <c r="F61" s="3"/>
      <c r="G61" s="3"/>
    </row>
    <row r="62" spans="3:7">
      <c r="C62" s="5"/>
      <c r="D62" s="8"/>
      <c r="F62" s="3"/>
      <c r="G62" s="3"/>
    </row>
    <row r="63" spans="3:7">
      <c r="C63" s="5"/>
      <c r="D63" s="8"/>
      <c r="F63" s="3"/>
      <c r="G63" s="3"/>
    </row>
    <row r="64" spans="3:7">
      <c r="C64" s="5"/>
      <c r="D64" s="8"/>
      <c r="F64" s="3"/>
      <c r="G64" s="3"/>
    </row>
    <row r="65" spans="3:7">
      <c r="C65" s="5"/>
      <c r="D65" s="8"/>
      <c r="F65" s="3"/>
      <c r="G65" s="3"/>
    </row>
    <row r="66" spans="3:7">
      <c r="C66" s="5"/>
      <c r="D66" s="8"/>
      <c r="F66" s="3"/>
      <c r="G66" s="3"/>
    </row>
    <row r="67" spans="3:7">
      <c r="C67" s="5"/>
      <c r="D67" s="8"/>
      <c r="F67" s="3"/>
      <c r="G67" s="3"/>
    </row>
    <row r="68" spans="3:7">
      <c r="C68" s="5"/>
      <c r="D68" s="8"/>
      <c r="F68" s="3"/>
      <c r="G68" s="3"/>
    </row>
    <row r="69" spans="3:7">
      <c r="C69" s="5"/>
      <c r="D69" s="8"/>
      <c r="F69" s="3"/>
      <c r="G69" s="3"/>
    </row>
    <row r="70" spans="3:7">
      <c r="C70" s="5"/>
      <c r="D70" s="8"/>
      <c r="F70" s="3"/>
      <c r="G70" s="3"/>
    </row>
    <row r="71" spans="3:7">
      <c r="C71" s="5"/>
      <c r="D71" s="8"/>
      <c r="F71" s="3"/>
      <c r="G71" s="3"/>
    </row>
    <row r="72" spans="3:7">
      <c r="C72" s="5"/>
      <c r="D72" s="8"/>
      <c r="F72" s="3"/>
      <c r="G72" s="3"/>
    </row>
    <row r="73" spans="3:7">
      <c r="C73" s="5"/>
      <c r="D73" s="8"/>
      <c r="F73" s="3"/>
      <c r="G73" s="3"/>
    </row>
    <row r="74" spans="3:7">
      <c r="C74" s="5"/>
      <c r="D74" s="8"/>
      <c r="F74" s="3"/>
      <c r="G74" s="3"/>
    </row>
    <row r="75" spans="3:7">
      <c r="C75" s="5"/>
      <c r="D75" s="8"/>
      <c r="F75" s="3"/>
      <c r="G75" s="3"/>
    </row>
    <row r="76" spans="3:7">
      <c r="C76" s="5"/>
      <c r="D76" s="8"/>
      <c r="F76" s="3"/>
      <c r="G76" s="3"/>
    </row>
    <row r="77" spans="3:7">
      <c r="C77" s="5"/>
      <c r="D77" s="8"/>
      <c r="F77" s="3"/>
      <c r="G77" s="3"/>
    </row>
    <row r="78" spans="3:7">
      <c r="C78" s="5"/>
      <c r="D78" s="8"/>
      <c r="F78" s="3"/>
      <c r="G78" s="3"/>
    </row>
    <row r="79" spans="3:7">
      <c r="C79" s="5"/>
      <c r="D79" s="8"/>
      <c r="F79" s="3"/>
      <c r="G79" s="3"/>
    </row>
    <row r="80" spans="3:7">
      <c r="C80" s="5"/>
      <c r="D80" s="8"/>
      <c r="F80" s="3"/>
      <c r="G80" s="3"/>
    </row>
    <row r="81" spans="3:7">
      <c r="C81" s="5"/>
      <c r="D81" s="8"/>
      <c r="F81" s="3"/>
      <c r="G81" s="3"/>
    </row>
    <row r="82" spans="3:7">
      <c r="C82" s="5"/>
      <c r="D82" s="8"/>
      <c r="F82" s="3"/>
      <c r="G82" s="3"/>
    </row>
    <row r="83" spans="3:7">
      <c r="C83" s="5"/>
      <c r="D83" s="8"/>
      <c r="F83" s="3"/>
      <c r="G83" s="3"/>
    </row>
    <row r="84" spans="3:7">
      <c r="C84" s="5"/>
      <c r="D84" s="8"/>
      <c r="F84" s="3"/>
      <c r="G84" s="3"/>
    </row>
    <row r="85" spans="3:7">
      <c r="C85" s="5"/>
      <c r="D85" s="8"/>
      <c r="F85" s="3"/>
      <c r="G85" s="3"/>
    </row>
    <row r="86" spans="3:7">
      <c r="C86" s="5"/>
      <c r="D86" s="8"/>
      <c r="F86" s="3"/>
      <c r="G86" s="3"/>
    </row>
    <row r="87" spans="3:7">
      <c r="C87" s="5"/>
      <c r="D87" s="8"/>
      <c r="F87" s="3"/>
      <c r="G87" s="3"/>
    </row>
    <row r="88" spans="3:7">
      <c r="C88" s="5"/>
      <c r="D88" s="8"/>
      <c r="F88" s="3"/>
      <c r="G88" s="3"/>
    </row>
    <row r="89" spans="3:7">
      <c r="C89" s="5"/>
      <c r="D89" s="8"/>
      <c r="F89" s="3"/>
      <c r="G89" s="3"/>
    </row>
    <row r="90" spans="3:7">
      <c r="C90" s="5"/>
      <c r="D90" s="8"/>
      <c r="F90" s="3"/>
      <c r="G90" s="3"/>
    </row>
    <row r="91" spans="3:7">
      <c r="C91" s="5"/>
      <c r="D91" s="8"/>
      <c r="F91" s="3"/>
      <c r="G91" s="3"/>
    </row>
    <row r="92" spans="3:7">
      <c r="C92" s="5"/>
      <c r="D92" s="8"/>
      <c r="F92" s="3"/>
      <c r="G92" s="3"/>
    </row>
    <row r="93" spans="3:7">
      <c r="C93" s="5"/>
      <c r="D93" s="8"/>
      <c r="F93" s="3"/>
      <c r="G93" s="3"/>
    </row>
    <row r="94" spans="3:7">
      <c r="C94" s="5"/>
      <c r="D94" s="8"/>
      <c r="F94" s="3"/>
      <c r="G94" s="3"/>
    </row>
    <row r="95" spans="3:7">
      <c r="C95" s="5"/>
      <c r="D95" s="8"/>
      <c r="F95" s="3"/>
      <c r="G95" s="3"/>
    </row>
    <row r="96" spans="3:7">
      <c r="C96" s="5"/>
      <c r="D96" s="8"/>
      <c r="F96" s="3"/>
      <c r="G96" s="3"/>
    </row>
    <row r="97" spans="3:7">
      <c r="C97" s="5"/>
      <c r="D97" s="8"/>
      <c r="F97" s="3"/>
      <c r="G97" s="3"/>
    </row>
    <row r="98" spans="3:7">
      <c r="C98" s="5"/>
      <c r="D98" s="8"/>
      <c r="F98" s="3"/>
      <c r="G98" s="3"/>
    </row>
    <row r="99" spans="3:7">
      <c r="C99" s="5"/>
      <c r="D99" s="8"/>
      <c r="F99" s="3"/>
      <c r="G99" s="3"/>
    </row>
    <row r="100" spans="3:7">
      <c r="C100" s="5"/>
      <c r="D100" s="8"/>
      <c r="F100" s="3"/>
      <c r="G100" s="3"/>
    </row>
    <row r="101" spans="3:7">
      <c r="C101" s="5"/>
      <c r="D101" s="8"/>
      <c r="F101" s="3"/>
      <c r="G101" s="3"/>
    </row>
    <row r="102" spans="3:7">
      <c r="C102" s="5"/>
      <c r="D102" s="8"/>
      <c r="F102" s="3"/>
      <c r="G102" s="3"/>
    </row>
    <row r="103" spans="3:7">
      <c r="C103" s="5"/>
      <c r="D103" s="8"/>
      <c r="F103" s="3"/>
      <c r="G103" s="3"/>
    </row>
    <row r="104" spans="3:7">
      <c r="C104" s="5"/>
      <c r="D104" s="8"/>
      <c r="F104" s="3"/>
      <c r="G104" s="3"/>
    </row>
    <row r="105" spans="3:7">
      <c r="C105" s="5"/>
      <c r="D105" s="8"/>
      <c r="F105" s="3"/>
      <c r="G105" s="3"/>
    </row>
    <row r="106" spans="3:7">
      <c r="C106" s="5"/>
      <c r="D106" s="8"/>
      <c r="F106" s="3"/>
      <c r="G106" s="3"/>
    </row>
    <row r="107" spans="3:7">
      <c r="C107" s="5"/>
      <c r="D107" s="8"/>
      <c r="F107" s="3"/>
      <c r="G107" s="3"/>
    </row>
    <row r="108" spans="3:7">
      <c r="C108" s="5"/>
      <c r="D108" s="8"/>
      <c r="F108" s="3"/>
      <c r="G108" s="3"/>
    </row>
    <row r="109" spans="3:7">
      <c r="C109" s="5"/>
      <c r="D109" s="8"/>
      <c r="F109" s="3"/>
      <c r="G109" s="3"/>
    </row>
    <row r="110" spans="3:7">
      <c r="C110" s="5"/>
      <c r="D110" s="8"/>
      <c r="F110" s="3"/>
      <c r="G110" s="3"/>
    </row>
    <row r="111" spans="3:7">
      <c r="C111" s="5"/>
      <c r="D111" s="8"/>
      <c r="F111" s="3"/>
      <c r="G111" s="3"/>
    </row>
    <row r="112" spans="3:7">
      <c r="C112" s="5"/>
      <c r="D112" s="8"/>
      <c r="F112" s="3"/>
      <c r="G112" s="3"/>
    </row>
    <row r="113" spans="3:7">
      <c r="C113" s="5"/>
      <c r="D113" s="8"/>
      <c r="F113" s="3"/>
      <c r="G113" s="3"/>
    </row>
    <row r="114" spans="3:7">
      <c r="C114" s="5"/>
      <c r="D114" s="8"/>
      <c r="F114" s="3"/>
      <c r="G114" s="3"/>
    </row>
    <row r="115" spans="3:7">
      <c r="C115" s="5"/>
      <c r="D115" s="8"/>
      <c r="F115" s="3"/>
      <c r="G115" s="3"/>
    </row>
    <row r="116" spans="3:7">
      <c r="C116" s="5"/>
      <c r="D116" s="8"/>
      <c r="F116" s="3"/>
      <c r="G116" s="3"/>
    </row>
    <row r="117" spans="3:7">
      <c r="C117" s="5"/>
      <c r="D117" s="8"/>
      <c r="F117" s="3"/>
      <c r="G117" s="3"/>
    </row>
    <row r="118" spans="3:7">
      <c r="C118" s="5"/>
      <c r="D118" s="8"/>
      <c r="F118" s="3"/>
      <c r="G118" s="3"/>
    </row>
    <row r="119" spans="3:7">
      <c r="C119" s="5"/>
      <c r="D119" s="8"/>
      <c r="F119" s="3"/>
      <c r="G119" s="3"/>
    </row>
    <row r="120" spans="3:7">
      <c r="C120" s="5"/>
      <c r="D120" s="8"/>
      <c r="F120" s="3"/>
      <c r="G120" s="3"/>
    </row>
    <row r="121" spans="3:7">
      <c r="C121" s="5"/>
      <c r="D121" s="8"/>
      <c r="F121" s="3"/>
      <c r="G121" s="3"/>
    </row>
    <row r="122" spans="3:7">
      <c r="C122" s="5"/>
      <c r="D122" s="8"/>
      <c r="F122" s="3"/>
      <c r="G122" s="3"/>
    </row>
    <row r="123" spans="3:7">
      <c r="C123" s="5"/>
      <c r="D123" s="8"/>
      <c r="F123" s="3"/>
      <c r="G123" s="3"/>
    </row>
    <row r="124" spans="3:7">
      <c r="C124" s="5"/>
      <c r="D124" s="8"/>
      <c r="F124" s="3"/>
      <c r="G124" s="3"/>
    </row>
    <row r="125" spans="3:7">
      <c r="C125" s="5"/>
      <c r="D125" s="8"/>
      <c r="F125" s="3"/>
      <c r="G125" s="3"/>
    </row>
    <row r="126" spans="3:7">
      <c r="C126" s="5"/>
      <c r="D126" s="8"/>
      <c r="F126" s="3"/>
      <c r="G126" s="3"/>
    </row>
    <row r="127" spans="3:7">
      <c r="C127" s="5"/>
      <c r="D127" s="8"/>
      <c r="F127" s="3"/>
      <c r="G127" s="3"/>
    </row>
    <row r="128" spans="3:7">
      <c r="C128" s="5"/>
      <c r="D128" s="8"/>
      <c r="F128" s="3"/>
      <c r="G128" s="3"/>
    </row>
    <row r="129" spans="3:7">
      <c r="C129" s="5"/>
      <c r="D129" s="8"/>
      <c r="F129" s="3"/>
      <c r="G129" s="3"/>
    </row>
    <row r="130" spans="3:7">
      <c r="C130" s="5"/>
      <c r="D130" s="8"/>
      <c r="F130" s="3"/>
      <c r="G130" s="3"/>
    </row>
    <row r="131" spans="3:7">
      <c r="C131" s="5"/>
      <c r="D131" s="8"/>
      <c r="F131" s="3"/>
      <c r="G131" s="3"/>
    </row>
    <row r="132" spans="3:7">
      <c r="C132" s="5"/>
      <c r="D132" s="8"/>
      <c r="F132" s="3"/>
      <c r="G132" s="3"/>
    </row>
    <row r="133" spans="3:7">
      <c r="C133" s="5"/>
      <c r="D133" s="8"/>
      <c r="F133" s="3"/>
      <c r="G133" s="3"/>
    </row>
    <row r="134" spans="3:7">
      <c r="C134" s="5"/>
      <c r="D134" s="8"/>
      <c r="F134" s="3"/>
      <c r="G134" s="3"/>
    </row>
    <row r="135" spans="3:7">
      <c r="C135" s="5"/>
      <c r="D135" s="8"/>
      <c r="F135" s="3"/>
      <c r="G135" s="3"/>
    </row>
    <row r="136" spans="3:7">
      <c r="C136" s="5"/>
      <c r="D136" s="8"/>
      <c r="F136" s="3"/>
      <c r="G136" s="3"/>
    </row>
    <row r="137" spans="3:7">
      <c r="C137" s="5"/>
      <c r="D137" s="8"/>
      <c r="F137" s="3"/>
      <c r="G137" s="3"/>
    </row>
    <row r="138" spans="3:7">
      <c r="C138" s="5"/>
      <c r="D138" s="8"/>
      <c r="F138" s="3"/>
      <c r="G138" s="3"/>
    </row>
    <row r="139" spans="3:7">
      <c r="C139" s="5"/>
      <c r="D139" s="8"/>
      <c r="F139" s="3"/>
      <c r="G139" s="3"/>
    </row>
    <row r="140" spans="3:7">
      <c r="C140" s="5"/>
      <c r="D140" s="8"/>
      <c r="F140" s="3"/>
      <c r="G140" s="3"/>
    </row>
    <row r="141" spans="3:7">
      <c r="C141" s="5"/>
      <c r="D141" s="8"/>
      <c r="F141" s="3"/>
      <c r="G141" s="3"/>
    </row>
    <row r="142" spans="3:7">
      <c r="C142" s="5"/>
      <c r="D142" s="8"/>
      <c r="F142" s="3"/>
      <c r="G142" s="3"/>
    </row>
    <row r="143" spans="3:7">
      <c r="C143" s="5"/>
      <c r="D143" s="8"/>
      <c r="F143" s="3"/>
      <c r="G143" s="3"/>
    </row>
    <row r="144" spans="3:7">
      <c r="C144" s="5"/>
      <c r="D144" s="8"/>
      <c r="F144" s="3"/>
      <c r="G144" s="3"/>
    </row>
    <row r="145" spans="3:7">
      <c r="C145" s="5"/>
      <c r="D145" s="8"/>
      <c r="F145" s="3"/>
      <c r="G145" s="3"/>
    </row>
    <row r="146" spans="3:7">
      <c r="C146" s="5"/>
      <c r="D146" s="8"/>
      <c r="F146" s="3"/>
      <c r="G146" s="3"/>
    </row>
    <row r="147" spans="3:7">
      <c r="C147" s="5"/>
      <c r="D147" s="8"/>
      <c r="F147" s="3"/>
      <c r="G147" s="3"/>
    </row>
    <row r="148" spans="3:7">
      <c r="C148" s="5"/>
      <c r="D148" s="8"/>
      <c r="F148" s="3"/>
      <c r="G148" s="3"/>
    </row>
    <row r="149" spans="3:7">
      <c r="C149" s="5"/>
      <c r="D149" s="8"/>
      <c r="F149" s="3"/>
      <c r="G149" s="3"/>
    </row>
    <row r="150" spans="3:7">
      <c r="C150" s="5"/>
      <c r="D150" s="8"/>
      <c r="F150" s="3"/>
      <c r="G150" s="3"/>
    </row>
    <row r="151" spans="3:7">
      <c r="C151" s="5"/>
      <c r="D151" s="8"/>
      <c r="F151" s="3"/>
      <c r="G151" s="3"/>
    </row>
    <row r="152" spans="3:7">
      <c r="C152" s="5"/>
      <c r="D152" s="8"/>
      <c r="F152" s="3"/>
      <c r="G152" s="3"/>
    </row>
    <row r="153" spans="3:7">
      <c r="C153" s="5"/>
      <c r="D153" s="8"/>
      <c r="F153" s="3"/>
      <c r="G153" s="3"/>
    </row>
    <row r="154" spans="3:7">
      <c r="C154" s="5"/>
      <c r="D154" s="8"/>
      <c r="F154" s="3"/>
      <c r="G154" s="3"/>
    </row>
    <row r="155" spans="3:7">
      <c r="C155" s="5"/>
      <c r="D155" s="8"/>
      <c r="F155" s="3"/>
      <c r="G155" s="3"/>
    </row>
    <row r="156" spans="3:7">
      <c r="C156" s="5"/>
      <c r="D156" s="8"/>
      <c r="F156" s="3"/>
      <c r="G156" s="3"/>
    </row>
    <row r="157" spans="3:7">
      <c r="C157" s="5"/>
      <c r="D157" s="8"/>
      <c r="F157" s="3"/>
      <c r="G157" s="3"/>
    </row>
    <row r="158" spans="3:7">
      <c r="C158" s="5"/>
      <c r="D158" s="8"/>
      <c r="F158" s="3"/>
      <c r="G158" s="3"/>
    </row>
    <row r="159" spans="3:7">
      <c r="C159" s="5"/>
      <c r="D159" s="8"/>
      <c r="F159" s="3"/>
      <c r="G159" s="3"/>
    </row>
    <row r="160" spans="3:7">
      <c r="C160" s="5"/>
      <c r="D160" s="8"/>
      <c r="F160" s="3"/>
      <c r="G160" s="3"/>
    </row>
    <row r="161" spans="3:12">
      <c r="C161" s="5"/>
      <c r="D161" s="8"/>
      <c r="F161" s="3"/>
      <c r="G161" s="3"/>
    </row>
    <row r="162" spans="3:12">
      <c r="C162" s="5"/>
      <c r="D162" s="8"/>
      <c r="F162" s="3"/>
      <c r="G162" s="3"/>
    </row>
    <row r="163" spans="3:12">
      <c r="C163" s="5"/>
      <c r="D163" s="8"/>
      <c r="F163" s="3"/>
      <c r="G163" s="3"/>
    </row>
    <row r="164" spans="3:12">
      <c r="C164" s="5"/>
      <c r="D164" s="8"/>
      <c r="F164" s="3"/>
      <c r="G164" s="3"/>
    </row>
    <row r="165" spans="3:12">
      <c r="C165" s="5"/>
      <c r="D165" s="8"/>
      <c r="F165" s="3"/>
      <c r="G165" s="3"/>
    </row>
    <row r="166" spans="3:12">
      <c r="C166" s="5"/>
      <c r="D166" s="8"/>
      <c r="F166" s="3"/>
      <c r="G166" s="3"/>
    </row>
    <row r="167" spans="3:12">
      <c r="C167" s="5"/>
      <c r="D167" s="8"/>
      <c r="F167" s="3"/>
      <c r="G167" s="3"/>
    </row>
    <row r="168" spans="3:12">
      <c r="C168" s="5"/>
      <c r="D168" s="8"/>
      <c r="F168" s="3"/>
      <c r="G168" s="3"/>
    </row>
    <row r="169" spans="3:12">
      <c r="C169" s="5"/>
      <c r="D169" s="8"/>
      <c r="F169" s="3"/>
      <c r="G169" s="3"/>
    </row>
    <row r="170" spans="3:12">
      <c r="C170" s="5"/>
      <c r="D170" s="8"/>
      <c r="F170" s="3"/>
      <c r="G170" s="3"/>
    </row>
    <row r="171" spans="3:12">
      <c r="C171" s="5"/>
      <c r="D171" s="8"/>
      <c r="F171" s="3"/>
      <c r="G171" s="3"/>
    </row>
    <row r="172" spans="3:12">
      <c r="C172" s="5"/>
      <c r="D172" s="8"/>
      <c r="F172" s="3"/>
      <c r="G172" s="3"/>
    </row>
    <row r="173" spans="3:12">
      <c r="C173" s="5"/>
      <c r="D173" s="8"/>
      <c r="F173" s="3"/>
      <c r="G173" s="3"/>
    </row>
    <row r="174" spans="3:12">
      <c r="C174" s="5"/>
      <c r="D174" s="8"/>
      <c r="F174" s="3"/>
      <c r="G174" s="3"/>
    </row>
    <row r="175" spans="3:12">
      <c r="C175" s="5"/>
      <c r="D175" s="8"/>
      <c r="F175" s="3"/>
      <c r="G175" s="3"/>
    </row>
    <row r="176" spans="3:12">
      <c r="C176" s="5"/>
      <c r="D176" s="8"/>
      <c r="L176" s="3"/>
    </row>
    <row r="177" spans="3:12">
      <c r="C177" s="5"/>
      <c r="D177" s="8"/>
      <c r="L177" s="3"/>
    </row>
    <row r="178" spans="3:12">
      <c r="C178" s="5"/>
      <c r="D178" s="8"/>
      <c r="L178" s="3"/>
    </row>
    <row r="179" spans="3:12">
      <c r="C179" s="5"/>
      <c r="D179" s="8"/>
      <c r="L179" s="3"/>
    </row>
    <row r="180" spans="3:12">
      <c r="C180" s="5"/>
      <c r="D180" s="8"/>
      <c r="L180" s="3"/>
    </row>
    <row r="181" spans="3:12">
      <c r="C181" s="5"/>
      <c r="D181" s="8"/>
      <c r="L181" s="3"/>
    </row>
    <row r="182" spans="3:12">
      <c r="C182" s="5"/>
      <c r="D182" s="8"/>
      <c r="L182" s="3"/>
    </row>
    <row r="183" spans="3:12">
      <c r="C183" s="5"/>
      <c r="D183" s="8"/>
      <c r="L183" s="3"/>
    </row>
    <row r="184" spans="3:12">
      <c r="C184" s="5"/>
      <c r="D184" s="8"/>
      <c r="L184" s="3"/>
    </row>
    <row r="185" spans="3:12">
      <c r="C185" s="5"/>
      <c r="D185" s="8"/>
      <c r="L185" s="3"/>
    </row>
    <row r="186" spans="3:12">
      <c r="C186" s="5"/>
      <c r="D186" s="8"/>
      <c r="L186" s="3"/>
    </row>
    <row r="187" spans="3:12">
      <c r="C187" s="5"/>
      <c r="D187" s="8"/>
    </row>
    <row r="188" spans="3:12">
      <c r="C188" s="5"/>
      <c r="D188" s="8"/>
    </row>
    <row r="189" spans="3:12">
      <c r="C189" s="5"/>
      <c r="D189" s="8"/>
    </row>
    <row r="190" spans="3:12">
      <c r="C190" s="5"/>
      <c r="D190" s="8"/>
    </row>
    <row r="191" spans="3:12">
      <c r="C191" s="5"/>
      <c r="D191" s="8"/>
    </row>
    <row r="192" spans="3:12">
      <c r="C192" s="5"/>
      <c r="D192" s="8"/>
    </row>
    <row r="193" spans="3:4">
      <c r="C193" s="5"/>
      <c r="D193" s="8"/>
    </row>
    <row r="194" spans="3:4">
      <c r="C194" s="5"/>
      <c r="D194" s="8"/>
    </row>
    <row r="195" spans="3:4">
      <c r="C195" s="5"/>
      <c r="D195" s="8"/>
    </row>
  </sheetData>
  <mergeCells count="9">
    <mergeCell ref="C26:C28"/>
    <mergeCell ref="C5:C7"/>
    <mergeCell ref="C8:C10"/>
    <mergeCell ref="C2:Q2"/>
    <mergeCell ref="C17:C19"/>
    <mergeCell ref="C20:C22"/>
    <mergeCell ref="C11:C13"/>
    <mergeCell ref="C14:C16"/>
    <mergeCell ref="C23:C25"/>
  </mergeCells>
  <conditionalFormatting sqref="E5:Q28">
    <cfRule type="expression" dxfId="32" priority="1">
      <formula>ISERROR(E5)=TRUE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6FCF-75E6-4EF7-A2B4-212E2FBF22BC}">
  <dimension ref="A1:M221"/>
  <sheetViews>
    <sheetView workbookViewId="0"/>
  </sheetViews>
  <sheetFormatPr defaultColWidth="9.296875" defaultRowHeight="14.4" outlineLevelRow="1"/>
  <cols>
    <col min="1" max="1" width="9" style="3" customWidth="1"/>
    <col min="2" max="2" width="2.296875" style="3" customWidth="1"/>
    <col min="3" max="3" width="17" style="4" customWidth="1"/>
    <col min="4" max="4" width="16.59765625" style="5" bestFit="1" customWidth="1"/>
    <col min="5" max="7" width="12.69921875" style="8" customWidth="1"/>
    <col min="8" max="8" width="13.59765625" style="8" customWidth="1"/>
    <col min="9" max="10" width="12.69921875" style="8" customWidth="1"/>
    <col min="11" max="11" width="12.69921875" style="3" customWidth="1"/>
    <col min="12" max="16384" width="9.296875" style="3"/>
  </cols>
  <sheetData>
    <row r="1" spans="1:11">
      <c r="D1" s="7"/>
      <c r="K1" s="8"/>
    </row>
    <row r="2" spans="1:11" ht="15.6">
      <c r="C2" s="583" t="s">
        <v>380</v>
      </c>
      <c r="D2" s="583"/>
      <c r="E2" s="583"/>
      <c r="F2" s="583"/>
      <c r="G2" s="583"/>
      <c r="H2" s="583"/>
      <c r="I2" s="583"/>
      <c r="J2" s="583"/>
      <c r="K2" s="583"/>
    </row>
    <row r="3" spans="1:11">
      <c r="D3" s="7"/>
      <c r="K3" s="8"/>
    </row>
    <row r="4" spans="1:11" ht="45.75" customHeight="1">
      <c r="C4" s="52" t="s">
        <v>99</v>
      </c>
      <c r="D4" s="413" t="s">
        <v>49</v>
      </c>
      <c r="E4" s="52" t="s">
        <v>85</v>
      </c>
      <c r="F4" s="52" t="s">
        <v>86</v>
      </c>
      <c r="G4" s="52" t="s">
        <v>87</v>
      </c>
      <c r="H4" s="52" t="s">
        <v>88</v>
      </c>
      <c r="I4" s="52" t="s">
        <v>89</v>
      </c>
      <c r="J4" s="52" t="s">
        <v>90</v>
      </c>
      <c r="K4" s="52" t="s">
        <v>91</v>
      </c>
    </row>
    <row r="5" spans="1:11" s="17" customFormat="1" ht="19.2" customHeight="1">
      <c r="A5" s="3"/>
      <c r="B5" s="3"/>
      <c r="C5" s="584" t="s">
        <v>76</v>
      </c>
      <c r="D5" s="415" t="s">
        <v>114</v>
      </c>
      <c r="E5" s="318">
        <v>1.6285110409249352E-2</v>
      </c>
      <c r="F5" s="318">
        <v>3.2265552132468768E-2</v>
      </c>
      <c r="G5" s="318">
        <v>6.2847065400832049E-3</v>
      </c>
      <c r="H5" s="318">
        <v>1.526968715985285E-2</v>
      </c>
      <c r="I5" s="318">
        <v>1.6953202950925249E-2</v>
      </c>
      <c r="J5" s="318">
        <v>0</v>
      </c>
      <c r="K5" s="318">
        <v>2.8724205354613081E-2</v>
      </c>
    </row>
    <row r="6" spans="1:11" s="17" customFormat="1" ht="19.2" customHeight="1">
      <c r="A6" s="3"/>
      <c r="B6" s="3"/>
      <c r="C6" s="584"/>
      <c r="D6" s="416" t="s">
        <v>115</v>
      </c>
      <c r="E6" s="330">
        <v>2.999210734017364E-2</v>
      </c>
      <c r="F6" s="330">
        <v>4.2135642135642137E-2</v>
      </c>
      <c r="G6" s="330">
        <v>2.8423772609819119E-2</v>
      </c>
      <c r="H6" s="330">
        <v>2.6666666666666668E-2</v>
      </c>
      <c r="I6" s="330">
        <v>3.2454361054766727E-2</v>
      </c>
      <c r="J6" s="330">
        <v>5.7471264367816091E-3</v>
      </c>
      <c r="K6" s="330">
        <v>4.6439628482972138E-2</v>
      </c>
    </row>
    <row r="7" spans="1:11" s="17" customFormat="1" ht="19.2" customHeight="1">
      <c r="A7" s="3"/>
      <c r="B7" s="3"/>
      <c r="C7" s="584"/>
      <c r="D7" s="415" t="s">
        <v>116</v>
      </c>
      <c r="E7" s="318">
        <v>4.3699104271097917E-2</v>
      </c>
      <c r="F7" s="318">
        <v>5.20057321388155E-2</v>
      </c>
      <c r="G7" s="318">
        <v>5.0562838679555043E-2</v>
      </c>
      <c r="H7" s="318">
        <v>3.8063646173480493E-2</v>
      </c>
      <c r="I7" s="318">
        <v>4.7955519158608233E-2</v>
      </c>
      <c r="J7" s="318">
        <v>1.235722870854692E-2</v>
      </c>
      <c r="K7" s="318">
        <v>6.4155051611331199E-2</v>
      </c>
    </row>
    <row r="8" spans="1:11" s="17" customFormat="1" ht="19.2" customHeight="1">
      <c r="A8" s="3"/>
      <c r="B8" s="3"/>
      <c r="C8" s="584" t="s">
        <v>77</v>
      </c>
      <c r="D8" s="417" t="s">
        <v>117</v>
      </c>
      <c r="E8" s="316">
        <v>8.0288836722340069E-3</v>
      </c>
      <c r="F8" s="316">
        <v>3.2168552068627627E-2</v>
      </c>
      <c r="G8" s="316">
        <v>7.7900940057368459E-3</v>
      </c>
      <c r="H8" s="316">
        <v>2.8553383228610379E-2</v>
      </c>
      <c r="I8" s="316">
        <v>2.542710227059394E-3</v>
      </c>
      <c r="J8" s="316">
        <v>4.1748780630771191E-2</v>
      </c>
      <c r="K8" s="316">
        <v>1.6447190321663051E-2</v>
      </c>
    </row>
    <row r="9" spans="1:11" s="17" customFormat="1" ht="19.2" customHeight="1">
      <c r="A9" s="3"/>
      <c r="B9" s="3"/>
      <c r="C9" s="584"/>
      <c r="D9" s="418" t="s">
        <v>115</v>
      </c>
      <c r="E9" s="419">
        <v>1.1198720146268999E-2</v>
      </c>
      <c r="F9" s="419">
        <v>3.9136524676608719E-2</v>
      </c>
      <c r="G9" s="419">
        <v>1.0474016382435881E-2</v>
      </c>
      <c r="H9" s="419">
        <v>3.9223153084539233E-2</v>
      </c>
      <c r="I9" s="419">
        <v>1.5337423312883441E-2</v>
      </c>
      <c r="J9" s="419">
        <v>5.9498956158663893E-2</v>
      </c>
      <c r="K9" s="419">
        <v>2.4564994882292732E-2</v>
      </c>
    </row>
    <row r="10" spans="1:11" s="17" customFormat="1" ht="19.2" customHeight="1">
      <c r="A10" s="3"/>
      <c r="B10" s="3"/>
      <c r="C10" s="584"/>
      <c r="D10" s="417" t="s">
        <v>116</v>
      </c>
      <c r="E10" s="316">
        <v>1.436855662030399E-2</v>
      </c>
      <c r="F10" s="316">
        <v>4.6104497284589811E-2</v>
      </c>
      <c r="G10" s="316">
        <v>1.3157938759134921E-2</v>
      </c>
      <c r="H10" s="316">
        <v>4.9892922940468078E-2</v>
      </c>
      <c r="I10" s="316">
        <v>2.8132136398707479E-2</v>
      </c>
      <c r="J10" s="316">
        <v>7.7249131686556588E-2</v>
      </c>
      <c r="K10" s="316">
        <v>3.2682799442922419E-2</v>
      </c>
    </row>
    <row r="11" spans="1:11" s="17" customFormat="1" ht="19.2" customHeight="1">
      <c r="A11" s="3"/>
      <c r="B11" s="3"/>
      <c r="C11" s="584" t="s">
        <v>78</v>
      </c>
      <c r="D11" s="415" t="s">
        <v>117</v>
      </c>
      <c r="E11" s="318">
        <v>1.29483543399464E-2</v>
      </c>
      <c r="F11" s="318">
        <v>2.7565964036339399E-2</v>
      </c>
      <c r="G11" s="318">
        <v>5.8650876993255226E-3</v>
      </c>
      <c r="H11" s="318">
        <v>2.720053166349239E-2</v>
      </c>
      <c r="I11" s="318">
        <v>2.430222180122454E-2</v>
      </c>
      <c r="J11" s="318">
        <v>2.548850032918356E-2</v>
      </c>
      <c r="K11" s="318">
        <v>2.3093028602204049E-2</v>
      </c>
    </row>
    <row r="12" spans="1:11" s="17" customFormat="1" ht="19.2" customHeight="1">
      <c r="A12" s="3"/>
      <c r="B12" s="3"/>
      <c r="C12" s="584"/>
      <c r="D12" s="416" t="s">
        <v>115</v>
      </c>
      <c r="E12" s="330">
        <v>1.97327852004111E-2</v>
      </c>
      <c r="F12" s="330">
        <v>3.4910194788768022E-2</v>
      </c>
      <c r="G12" s="330">
        <v>1.28992628992629E-2</v>
      </c>
      <c r="H12" s="330">
        <v>3.6417688591601632E-2</v>
      </c>
      <c r="I12" s="330">
        <v>3.3561218147917959E-2</v>
      </c>
      <c r="J12" s="330">
        <v>3.5398230088495568E-2</v>
      </c>
      <c r="K12" s="330">
        <v>3.0085022890778291E-2</v>
      </c>
    </row>
    <row r="13" spans="1:11" s="17" customFormat="1" ht="19.2" customHeight="1">
      <c r="A13" s="3"/>
      <c r="B13" s="3"/>
      <c r="C13" s="584"/>
      <c r="D13" s="415" t="s">
        <v>116</v>
      </c>
      <c r="E13" s="318">
        <v>2.6517216060875801E-2</v>
      </c>
      <c r="F13" s="318">
        <v>4.2254425541196648E-2</v>
      </c>
      <c r="G13" s="318">
        <v>1.9933438099200271E-2</v>
      </c>
      <c r="H13" s="318">
        <v>4.5634845519710872E-2</v>
      </c>
      <c r="I13" s="318">
        <v>4.2820214494611368E-2</v>
      </c>
      <c r="J13" s="318">
        <v>4.530795984780759E-2</v>
      </c>
      <c r="K13" s="318">
        <v>3.707701717935253E-2</v>
      </c>
    </row>
    <row r="14" spans="1:11" s="17" customFormat="1" ht="19.2" customHeight="1">
      <c r="A14" s="3"/>
      <c r="B14" s="3"/>
      <c r="C14" s="584" t="s">
        <v>79</v>
      </c>
      <c r="D14" s="417" t="s">
        <v>117</v>
      </c>
      <c r="E14" s="316">
        <v>2.4205691996690471E-2</v>
      </c>
      <c r="F14" s="316">
        <v>2.1326241355184579E-2</v>
      </c>
      <c r="G14" s="316">
        <v>1.9932786222498999E-2</v>
      </c>
      <c r="H14" s="316">
        <v>8.0554394632300907E-3</v>
      </c>
      <c r="I14" s="316">
        <v>2.4330765183181269E-2</v>
      </c>
      <c r="J14" s="316">
        <v>0</v>
      </c>
      <c r="K14" s="316">
        <v>2.5356928231033481E-2</v>
      </c>
    </row>
    <row r="15" spans="1:11" s="17" customFormat="1" ht="19.2" customHeight="1">
      <c r="A15" s="3"/>
      <c r="B15" s="3"/>
      <c r="C15" s="584"/>
      <c r="D15" s="418" t="s">
        <v>115</v>
      </c>
      <c r="E15" s="419">
        <v>3.8439472174411932E-2</v>
      </c>
      <c r="F15" s="419">
        <v>3.0939648586707409E-2</v>
      </c>
      <c r="G15" s="419">
        <v>3.7307380373073802E-2</v>
      </c>
      <c r="H15" s="419">
        <v>1.299826689774697E-2</v>
      </c>
      <c r="I15" s="419">
        <v>4.1176470588235287E-2</v>
      </c>
      <c r="J15" s="419">
        <v>1.270648030495553E-3</v>
      </c>
      <c r="K15" s="419">
        <v>4.5454545454545463E-2</v>
      </c>
    </row>
    <row r="16" spans="1:11" s="17" customFormat="1" ht="19.2" customHeight="1">
      <c r="A16" s="3"/>
      <c r="B16" s="3"/>
      <c r="C16" s="584"/>
      <c r="D16" s="417" t="s">
        <v>116</v>
      </c>
      <c r="E16" s="316">
        <v>5.2673252352133389E-2</v>
      </c>
      <c r="F16" s="316">
        <v>4.0553055818230252E-2</v>
      </c>
      <c r="G16" s="316">
        <v>5.4681974523648598E-2</v>
      </c>
      <c r="H16" s="316">
        <v>1.7941094332263839E-2</v>
      </c>
      <c r="I16" s="316">
        <v>5.8022175993289307E-2</v>
      </c>
      <c r="J16" s="316">
        <v>2.8259212215225372E-3</v>
      </c>
      <c r="K16" s="316">
        <v>6.5552162678057427E-2</v>
      </c>
    </row>
    <row r="17" spans="1:13" s="17" customFormat="1" ht="19.2" hidden="1" customHeight="1" outlineLevel="1">
      <c r="A17" s="3"/>
      <c r="B17" s="3"/>
      <c r="C17" s="584" t="s">
        <v>103</v>
      </c>
      <c r="D17" s="415" t="s">
        <v>117</v>
      </c>
      <c r="E17" s="318" t="s">
        <v>237</v>
      </c>
      <c r="F17" s="318" t="s">
        <v>237</v>
      </c>
      <c r="G17" s="318" t="s">
        <v>237</v>
      </c>
      <c r="H17" s="318" t="s">
        <v>237</v>
      </c>
      <c r="I17" s="318" t="s">
        <v>237</v>
      </c>
      <c r="J17" s="318" t="s">
        <v>237</v>
      </c>
      <c r="K17" s="318" t="s">
        <v>237</v>
      </c>
    </row>
    <row r="18" spans="1:13" s="17" customFormat="1" ht="19.2" hidden="1" customHeight="1" outlineLevel="1">
      <c r="A18" s="3"/>
      <c r="B18" s="3"/>
      <c r="C18" s="584"/>
      <c r="D18" s="415" t="s">
        <v>120</v>
      </c>
      <c r="E18" s="318" t="s">
        <v>237</v>
      </c>
      <c r="F18" s="318" t="s">
        <v>237</v>
      </c>
      <c r="G18" s="318" t="s">
        <v>237</v>
      </c>
      <c r="H18" s="318" t="s">
        <v>237</v>
      </c>
      <c r="I18" s="318" t="s">
        <v>237</v>
      </c>
      <c r="J18" s="318" t="s">
        <v>237</v>
      </c>
      <c r="K18" s="318" t="s">
        <v>237</v>
      </c>
    </row>
    <row r="19" spans="1:13" s="17" customFormat="1" ht="19.2" hidden="1" customHeight="1" outlineLevel="1">
      <c r="A19" s="3"/>
      <c r="B19" s="3"/>
      <c r="C19" s="584"/>
      <c r="D19" s="415" t="s">
        <v>116</v>
      </c>
      <c r="E19" s="318" t="s">
        <v>237</v>
      </c>
      <c r="F19" s="318" t="s">
        <v>237</v>
      </c>
      <c r="G19" s="318" t="s">
        <v>237</v>
      </c>
      <c r="H19" s="318" t="s">
        <v>237</v>
      </c>
      <c r="I19" s="318" t="s">
        <v>237</v>
      </c>
      <c r="J19" s="318" t="s">
        <v>237</v>
      </c>
      <c r="K19" s="318" t="s">
        <v>237</v>
      </c>
    </row>
    <row r="20" spans="1:13" s="17" customFormat="1" ht="19.2" customHeight="1" collapsed="1">
      <c r="A20" s="3"/>
      <c r="B20" s="3"/>
      <c r="C20" s="584" t="s">
        <v>80</v>
      </c>
      <c r="D20" s="415" t="s">
        <v>117</v>
      </c>
      <c r="E20" s="318">
        <v>1.4537095334611731E-2</v>
      </c>
      <c r="F20" s="318">
        <v>2.1803845389946629E-2</v>
      </c>
      <c r="G20" s="318">
        <v>1.565690265639819E-2</v>
      </c>
      <c r="H20" s="318">
        <v>1.2518156898742109E-2</v>
      </c>
      <c r="I20" s="318" t="s">
        <v>237</v>
      </c>
      <c r="J20" s="318" t="s">
        <v>237</v>
      </c>
      <c r="K20" s="318" t="s">
        <v>237</v>
      </c>
    </row>
    <row r="21" spans="1:13" s="17" customFormat="1" ht="19.2" customHeight="1">
      <c r="A21" s="3"/>
      <c r="B21" s="3"/>
      <c r="C21" s="584"/>
      <c r="D21" s="416" t="s">
        <v>115</v>
      </c>
      <c r="E21" s="330">
        <v>2.8202115158636899E-2</v>
      </c>
      <c r="F21" s="330">
        <v>3.5245113745594359E-2</v>
      </c>
      <c r="G21" s="330">
        <v>3.4371643394199777E-2</v>
      </c>
      <c r="H21" s="330">
        <v>2.1364009860312241E-2</v>
      </c>
      <c r="I21" s="330" t="s">
        <v>237</v>
      </c>
      <c r="J21" s="330" t="s">
        <v>237</v>
      </c>
      <c r="K21" s="330" t="s">
        <v>237</v>
      </c>
    </row>
    <row r="22" spans="1:13" s="17" customFormat="1" ht="19.2" customHeight="1">
      <c r="A22" s="3"/>
      <c r="B22" s="3"/>
      <c r="C22" s="584"/>
      <c r="D22" s="415" t="s">
        <v>116</v>
      </c>
      <c r="E22" s="318">
        <v>4.1867134982662063E-2</v>
      </c>
      <c r="F22" s="318">
        <v>4.8686382101242091E-2</v>
      </c>
      <c r="G22" s="318">
        <v>5.3086384132001382E-2</v>
      </c>
      <c r="H22" s="318">
        <v>3.0209862821882379E-2</v>
      </c>
      <c r="I22" s="318" t="s">
        <v>237</v>
      </c>
      <c r="J22" s="318" t="s">
        <v>237</v>
      </c>
      <c r="K22" s="318" t="s">
        <v>237</v>
      </c>
    </row>
    <row r="23" spans="1:13" s="17" customFormat="1" ht="19.2" customHeight="1">
      <c r="A23" s="3"/>
      <c r="B23" s="3"/>
      <c r="C23" s="584" t="s">
        <v>81</v>
      </c>
      <c r="D23" s="417" t="s">
        <v>117</v>
      </c>
      <c r="E23" s="316">
        <v>3.3320944484224263E-2</v>
      </c>
      <c r="F23" s="316">
        <v>6.6661120573743293E-2</v>
      </c>
      <c r="G23" s="316" t="s">
        <v>237</v>
      </c>
      <c r="H23" s="316" t="s">
        <v>237</v>
      </c>
      <c r="I23" s="316" t="s">
        <v>237</v>
      </c>
      <c r="J23" s="316" t="s">
        <v>237</v>
      </c>
      <c r="K23" s="316" t="s">
        <v>237</v>
      </c>
    </row>
    <row r="24" spans="1:13" s="17" customFormat="1" ht="19.2" customHeight="1">
      <c r="A24" s="3"/>
      <c r="B24" s="3"/>
      <c r="C24" s="584"/>
      <c r="D24" s="418" t="s">
        <v>115</v>
      </c>
      <c r="E24" s="419">
        <v>3.9562080119432692E-2</v>
      </c>
      <c r="F24" s="419">
        <v>7.3787328171907099E-2</v>
      </c>
      <c r="G24" s="419" t="s">
        <v>237</v>
      </c>
      <c r="H24" s="419" t="s">
        <v>237</v>
      </c>
      <c r="I24" s="419" t="s">
        <v>237</v>
      </c>
      <c r="J24" s="419" t="s">
        <v>237</v>
      </c>
      <c r="K24" s="419" t="s">
        <v>237</v>
      </c>
    </row>
    <row r="25" spans="1:13" s="17" customFormat="1" ht="19.2" customHeight="1">
      <c r="A25" s="3"/>
      <c r="B25" s="3"/>
      <c r="C25" s="584"/>
      <c r="D25" s="417" t="s">
        <v>116</v>
      </c>
      <c r="E25" s="316">
        <v>4.5803215754641122E-2</v>
      </c>
      <c r="F25" s="316">
        <v>8.0913535770070905E-2</v>
      </c>
      <c r="G25" s="316" t="s">
        <v>237</v>
      </c>
      <c r="H25" s="316" t="s">
        <v>237</v>
      </c>
      <c r="I25" s="316" t="s">
        <v>237</v>
      </c>
      <c r="J25" s="316" t="s">
        <v>237</v>
      </c>
      <c r="K25" s="316" t="s">
        <v>237</v>
      </c>
    </row>
    <row r="26" spans="1:13" s="17" customFormat="1" ht="19.2" hidden="1" customHeight="1" outlineLevel="1">
      <c r="A26" s="3"/>
      <c r="B26" s="3"/>
      <c r="C26" s="585" t="s">
        <v>104</v>
      </c>
      <c r="D26" s="410" t="s">
        <v>117</v>
      </c>
      <c r="E26" s="326">
        <v>1.05072389438666E-2</v>
      </c>
      <c r="F26" s="411">
        <v>2.132912976577073E-2</v>
      </c>
      <c r="G26" s="412">
        <v>4.4709946919496866E-3</v>
      </c>
      <c r="H26" s="326">
        <v>2.111652899076882E-2</v>
      </c>
      <c r="I26" s="326">
        <v>2.6312394014349478E-3</v>
      </c>
      <c r="J26" s="326" t="s">
        <v>237</v>
      </c>
      <c r="K26" s="327">
        <v>4.9309817917505619E-3</v>
      </c>
      <c r="M26" s="17" t="s">
        <v>82</v>
      </c>
    </row>
    <row r="27" spans="1:13" s="17" customFormat="1" ht="19.2" hidden="1" customHeight="1" outlineLevel="1">
      <c r="A27" s="3"/>
      <c r="B27" s="3"/>
      <c r="C27" s="580"/>
      <c r="D27" s="126" t="s">
        <v>118</v>
      </c>
      <c r="E27" s="18">
        <v>2.0057306590257881E-2</v>
      </c>
      <c r="F27" s="19">
        <v>3.5135135135135137E-2</v>
      </c>
      <c r="G27" s="284">
        <v>1.8404907975460121E-2</v>
      </c>
      <c r="H27" s="18">
        <v>5.0724637681159417E-2</v>
      </c>
      <c r="I27" s="18">
        <v>2.150537634408602E-2</v>
      </c>
      <c r="J27" s="18" t="s">
        <v>237</v>
      </c>
      <c r="K27" s="20">
        <v>3.8626609442060089E-2</v>
      </c>
    </row>
    <row r="28" spans="1:13" s="17" customFormat="1" ht="19.2" hidden="1" customHeight="1" outlineLevel="1">
      <c r="A28" s="3"/>
      <c r="B28" s="3"/>
      <c r="C28" s="581"/>
      <c r="D28" s="479" t="s">
        <v>116</v>
      </c>
      <c r="E28" s="480">
        <v>2.9607374236649161E-2</v>
      </c>
      <c r="F28" s="481">
        <v>4.8941140504499547E-2</v>
      </c>
      <c r="G28" s="501">
        <v>3.2338821258970557E-2</v>
      </c>
      <c r="H28" s="480">
        <v>8.0332746371550023E-2</v>
      </c>
      <c r="I28" s="480">
        <v>4.0379513286737098E-2</v>
      </c>
      <c r="J28" s="480" t="s">
        <v>237</v>
      </c>
      <c r="K28" s="482">
        <v>7.2322237092369623E-2</v>
      </c>
    </row>
    <row r="29" spans="1:13" collapsed="1">
      <c r="C29" s="483"/>
      <c r="D29" s="484" t="s">
        <v>119</v>
      </c>
      <c r="E29" s="473"/>
      <c r="F29" s="473"/>
      <c r="G29" s="473"/>
      <c r="H29" s="473"/>
      <c r="I29" s="473"/>
      <c r="J29" s="473"/>
      <c r="K29" s="466"/>
    </row>
    <row r="30" spans="1:13">
      <c r="C30" s="5"/>
      <c r="D30" s="8"/>
      <c r="F30" s="3"/>
      <c r="G30" s="3"/>
      <c r="J30" s="3"/>
    </row>
    <row r="31" spans="1:13">
      <c r="C31" s="5"/>
      <c r="D31" s="8"/>
      <c r="F31" s="3"/>
      <c r="G31" s="3"/>
      <c r="J31" s="3"/>
    </row>
    <row r="32" spans="1:13">
      <c r="C32" s="5"/>
      <c r="D32" s="8"/>
      <c r="F32" s="3"/>
      <c r="G32" s="3"/>
      <c r="J32" s="3"/>
    </row>
    <row r="33" spans="3:10">
      <c r="C33" s="5"/>
      <c r="D33" s="8"/>
      <c r="F33" s="3"/>
      <c r="G33" s="3"/>
      <c r="J33" s="3"/>
    </row>
    <row r="34" spans="3:10">
      <c r="C34" s="5"/>
      <c r="D34" s="8"/>
      <c r="F34" s="3"/>
      <c r="G34" s="3"/>
      <c r="J34" s="3"/>
    </row>
    <row r="35" spans="3:10">
      <c r="C35" s="5"/>
      <c r="D35" s="8"/>
      <c r="F35" s="3"/>
      <c r="G35" s="3"/>
      <c r="J35" s="3"/>
    </row>
    <row r="36" spans="3:10">
      <c r="C36" s="5"/>
      <c r="D36" s="8"/>
      <c r="F36" s="3"/>
      <c r="G36" s="3"/>
      <c r="J36" s="3"/>
    </row>
    <row r="37" spans="3:10">
      <c r="C37" s="5"/>
      <c r="D37" s="8"/>
      <c r="F37" s="3"/>
      <c r="G37" s="3"/>
      <c r="J37" s="3"/>
    </row>
    <row r="38" spans="3:10">
      <c r="C38" s="5"/>
      <c r="D38" s="8"/>
      <c r="F38" s="3"/>
      <c r="G38" s="3"/>
      <c r="J38" s="3"/>
    </row>
    <row r="39" spans="3:10">
      <c r="C39" s="5"/>
      <c r="D39" s="8"/>
      <c r="F39" s="3"/>
      <c r="G39" s="3"/>
      <c r="J39" s="3"/>
    </row>
    <row r="40" spans="3:10">
      <c r="C40" s="5"/>
      <c r="D40" s="8"/>
      <c r="F40" s="3"/>
      <c r="G40" s="3"/>
      <c r="J40" s="3"/>
    </row>
    <row r="41" spans="3:10">
      <c r="C41" s="5"/>
      <c r="D41" s="8"/>
      <c r="F41" s="3"/>
      <c r="G41" s="3"/>
      <c r="J41" s="3"/>
    </row>
    <row r="42" spans="3:10">
      <c r="C42" s="5"/>
      <c r="D42" s="8"/>
      <c r="F42" s="3"/>
      <c r="G42" s="3"/>
      <c r="J42" s="3"/>
    </row>
    <row r="43" spans="3:10">
      <c r="C43" s="5"/>
      <c r="D43" s="8"/>
      <c r="F43" s="3"/>
      <c r="G43" s="3"/>
      <c r="J43" s="3"/>
    </row>
    <row r="44" spans="3:10">
      <c r="C44" s="5"/>
      <c r="D44" s="8"/>
      <c r="F44" s="3"/>
      <c r="G44" s="3"/>
      <c r="J44" s="3"/>
    </row>
    <row r="45" spans="3:10">
      <c r="C45" s="5"/>
      <c r="D45" s="8"/>
      <c r="F45" s="3"/>
      <c r="G45" s="3"/>
      <c r="J45" s="3"/>
    </row>
    <row r="46" spans="3:10">
      <c r="C46" s="5"/>
      <c r="D46" s="8"/>
      <c r="F46" s="3"/>
      <c r="G46" s="3"/>
      <c r="J46" s="3"/>
    </row>
    <row r="47" spans="3:10">
      <c r="C47" s="5"/>
      <c r="D47" s="8"/>
      <c r="J47" s="3"/>
    </row>
    <row r="48" spans="3:10">
      <c r="C48" s="5"/>
      <c r="D48" s="8"/>
      <c r="J48" s="3"/>
    </row>
    <row r="49" spans="3:10">
      <c r="C49" s="5"/>
      <c r="D49" s="8"/>
      <c r="J49" s="3"/>
    </row>
    <row r="50" spans="3:10">
      <c r="C50" s="5"/>
      <c r="D50" s="8"/>
      <c r="J50" s="3"/>
    </row>
    <row r="51" spans="3:10">
      <c r="C51" s="5"/>
      <c r="D51" s="8"/>
      <c r="J51" s="3"/>
    </row>
    <row r="52" spans="3:10">
      <c r="C52" s="5"/>
      <c r="D52" s="8"/>
      <c r="J52" s="3"/>
    </row>
    <row r="53" spans="3:10">
      <c r="C53" s="5"/>
      <c r="D53" s="8"/>
      <c r="J53" s="3"/>
    </row>
    <row r="54" spans="3:10">
      <c r="C54" s="5"/>
      <c r="D54" s="8"/>
      <c r="J54" s="3"/>
    </row>
    <row r="55" spans="3:10">
      <c r="C55" s="5"/>
      <c r="D55" s="8"/>
      <c r="J55" s="3"/>
    </row>
    <row r="56" spans="3:10">
      <c r="C56" s="5"/>
      <c r="D56" s="8"/>
      <c r="J56" s="3"/>
    </row>
    <row r="57" spans="3:10">
      <c r="C57" s="5"/>
      <c r="D57" s="8"/>
      <c r="J57" s="3"/>
    </row>
    <row r="58" spans="3:10">
      <c r="C58" s="5"/>
      <c r="D58" s="8"/>
      <c r="J58" s="3"/>
    </row>
    <row r="59" spans="3:10">
      <c r="C59" s="5"/>
      <c r="D59" s="8"/>
      <c r="J59" s="3"/>
    </row>
    <row r="60" spans="3:10">
      <c r="C60" s="5"/>
      <c r="D60" s="8"/>
      <c r="J60" s="3"/>
    </row>
    <row r="61" spans="3:10">
      <c r="C61" s="5"/>
      <c r="D61" s="8"/>
      <c r="J61" s="3"/>
    </row>
    <row r="62" spans="3:10">
      <c r="C62" s="5"/>
      <c r="D62" s="8"/>
      <c r="J62" s="3"/>
    </row>
    <row r="63" spans="3:10">
      <c r="C63" s="5"/>
      <c r="D63" s="8"/>
      <c r="J63" s="3"/>
    </row>
    <row r="64" spans="3:10">
      <c r="C64" s="5"/>
      <c r="D64" s="8"/>
      <c r="J64" s="3"/>
    </row>
    <row r="65" spans="3:10">
      <c r="C65" s="5"/>
      <c r="D65" s="8"/>
      <c r="J65" s="3"/>
    </row>
    <row r="66" spans="3:10">
      <c r="C66" s="5"/>
      <c r="D66" s="8"/>
      <c r="J66" s="3"/>
    </row>
    <row r="67" spans="3:10">
      <c r="C67" s="5"/>
      <c r="D67" s="8"/>
      <c r="J67" s="3"/>
    </row>
    <row r="68" spans="3:10">
      <c r="C68" s="5"/>
      <c r="D68" s="8"/>
      <c r="J68" s="3"/>
    </row>
    <row r="69" spans="3:10">
      <c r="C69" s="5"/>
      <c r="D69" s="8"/>
      <c r="J69" s="3"/>
    </row>
    <row r="70" spans="3:10">
      <c r="C70" s="5"/>
      <c r="D70" s="8"/>
      <c r="J70" s="3"/>
    </row>
    <row r="71" spans="3:10">
      <c r="C71" s="5"/>
      <c r="D71" s="8"/>
      <c r="J71" s="3"/>
    </row>
    <row r="72" spans="3:10">
      <c r="C72" s="5"/>
      <c r="D72" s="8"/>
      <c r="J72" s="3"/>
    </row>
    <row r="73" spans="3:10">
      <c r="C73" s="5"/>
      <c r="D73" s="8"/>
      <c r="J73" s="3"/>
    </row>
    <row r="74" spans="3:10">
      <c r="C74" s="5"/>
      <c r="D74" s="8"/>
      <c r="F74" s="3"/>
      <c r="G74" s="3"/>
      <c r="J74" s="3"/>
    </row>
    <row r="75" spans="3:10">
      <c r="C75" s="5"/>
      <c r="D75" s="8"/>
      <c r="F75" s="3"/>
      <c r="G75" s="3"/>
      <c r="J75" s="3"/>
    </row>
    <row r="76" spans="3:10">
      <c r="C76" s="5"/>
      <c r="D76" s="8"/>
      <c r="F76" s="3"/>
      <c r="G76" s="3"/>
      <c r="J76" s="3"/>
    </row>
    <row r="77" spans="3:10">
      <c r="C77" s="5"/>
      <c r="D77" s="8"/>
      <c r="F77" s="3"/>
      <c r="G77" s="3"/>
      <c r="J77" s="3"/>
    </row>
    <row r="78" spans="3:10">
      <c r="C78" s="5"/>
      <c r="D78" s="8"/>
      <c r="F78" s="3"/>
      <c r="G78" s="3"/>
      <c r="J78" s="3"/>
    </row>
    <row r="79" spans="3:10">
      <c r="C79" s="5"/>
      <c r="D79" s="8"/>
      <c r="F79" s="3"/>
      <c r="G79" s="3"/>
      <c r="J79" s="3"/>
    </row>
    <row r="80" spans="3:10">
      <c r="C80" s="5"/>
      <c r="D80" s="8"/>
      <c r="F80" s="3"/>
      <c r="G80" s="3"/>
      <c r="J80" s="3"/>
    </row>
    <row r="81" spans="1:10">
      <c r="C81" s="5"/>
      <c r="D81" s="8"/>
      <c r="F81" s="3"/>
      <c r="G81" s="3"/>
      <c r="J81" s="3"/>
    </row>
    <row r="82" spans="1:10">
      <c r="C82" s="5"/>
      <c r="D82" s="8"/>
      <c r="F82" s="3"/>
      <c r="G82" s="3"/>
      <c r="J82" s="3"/>
    </row>
    <row r="83" spans="1:10">
      <c r="C83" s="5"/>
      <c r="D83" s="8"/>
      <c r="F83" s="3"/>
      <c r="G83" s="3"/>
      <c r="J83" s="3"/>
    </row>
    <row r="84" spans="1:10">
      <c r="C84" s="5"/>
      <c r="D84" s="8"/>
      <c r="F84" s="3"/>
      <c r="G84" s="3"/>
      <c r="J84" s="3"/>
    </row>
    <row r="85" spans="1:10">
      <c r="C85" s="5"/>
      <c r="D85" s="8"/>
      <c r="F85" s="3"/>
      <c r="G85" s="3"/>
      <c r="J85" s="3"/>
    </row>
    <row r="86" spans="1:10">
      <c r="C86" s="5"/>
      <c r="D86" s="8"/>
      <c r="F86" s="3"/>
      <c r="G86" s="3"/>
      <c r="J86" s="3"/>
    </row>
    <row r="87" spans="1:10">
      <c r="C87" s="5"/>
      <c r="D87" s="8"/>
      <c r="F87" s="3"/>
      <c r="G87" s="3"/>
      <c r="J87" s="3"/>
    </row>
    <row r="88" spans="1:10">
      <c r="C88" s="5"/>
      <c r="D88" s="8"/>
      <c r="F88" s="3"/>
      <c r="G88" s="3"/>
      <c r="J88" s="3"/>
    </row>
    <row r="89" spans="1:10">
      <c r="A89" s="3" t="s">
        <v>237</v>
      </c>
      <c r="C89" s="5"/>
      <c r="D89" s="8"/>
      <c r="F89" s="3"/>
      <c r="G89" s="3"/>
      <c r="J89" s="3"/>
    </row>
    <row r="90" spans="1:10">
      <c r="A90" s="3" t="s">
        <v>237</v>
      </c>
      <c r="C90" s="5"/>
      <c r="D90" s="8"/>
      <c r="F90" s="3"/>
      <c r="G90" s="3"/>
      <c r="J90" s="3"/>
    </row>
    <row r="91" spans="1:10">
      <c r="A91" s="3" t="s">
        <v>237</v>
      </c>
      <c r="C91" s="5"/>
      <c r="D91" s="8"/>
      <c r="F91" s="3"/>
      <c r="G91" s="3"/>
      <c r="J91" s="3"/>
    </row>
    <row r="92" spans="1:10">
      <c r="A92" s="3" t="s">
        <v>237</v>
      </c>
      <c r="C92" s="5"/>
      <c r="D92" s="8"/>
      <c r="F92" s="3"/>
      <c r="G92" s="3"/>
      <c r="J92" s="3"/>
    </row>
    <row r="93" spans="1:10">
      <c r="A93" s="3" t="s">
        <v>237</v>
      </c>
      <c r="C93" s="5"/>
      <c r="D93" s="8"/>
      <c r="F93" s="3"/>
      <c r="G93" s="3"/>
      <c r="J93" s="3"/>
    </row>
    <row r="94" spans="1:10">
      <c r="A94" s="3" t="s">
        <v>237</v>
      </c>
      <c r="C94" s="5"/>
      <c r="D94" s="8"/>
      <c r="F94" s="3"/>
      <c r="G94" s="3"/>
      <c r="J94" s="3"/>
    </row>
    <row r="95" spans="1:10">
      <c r="A95" s="3" t="s">
        <v>237</v>
      </c>
      <c r="C95" s="5"/>
      <c r="D95" s="8"/>
      <c r="F95" s="3"/>
      <c r="G95" s="3"/>
      <c r="J95" s="3"/>
    </row>
    <row r="96" spans="1:10">
      <c r="A96" s="3" t="s">
        <v>237</v>
      </c>
      <c r="C96" s="5"/>
      <c r="D96" s="8"/>
      <c r="F96" s="3"/>
      <c r="G96" s="3"/>
      <c r="J96" s="3"/>
    </row>
    <row r="97" spans="1:10">
      <c r="A97" s="3" t="s">
        <v>237</v>
      </c>
      <c r="C97" s="5"/>
      <c r="D97" s="8"/>
      <c r="F97" s="3"/>
      <c r="G97" s="3"/>
      <c r="J97" s="3"/>
    </row>
    <row r="98" spans="1:10">
      <c r="A98" s="3" t="s">
        <v>237</v>
      </c>
      <c r="C98" s="5"/>
      <c r="D98" s="8"/>
      <c r="F98" s="3"/>
      <c r="G98" s="3"/>
      <c r="J98" s="3"/>
    </row>
    <row r="99" spans="1:10">
      <c r="A99" s="3" t="s">
        <v>237</v>
      </c>
      <c r="C99" s="5"/>
      <c r="D99" s="8"/>
      <c r="F99" s="3"/>
      <c r="G99" s="3"/>
      <c r="J99" s="3"/>
    </row>
    <row r="100" spans="1:10">
      <c r="A100" s="3" t="s">
        <v>237</v>
      </c>
      <c r="C100" s="5"/>
      <c r="D100" s="8"/>
      <c r="F100" s="3"/>
      <c r="G100" s="3"/>
      <c r="J100" s="3"/>
    </row>
    <row r="101" spans="1:10">
      <c r="A101" s="3" t="s">
        <v>237</v>
      </c>
      <c r="C101" s="5"/>
      <c r="D101" s="8"/>
      <c r="F101" s="3"/>
      <c r="G101" s="3"/>
      <c r="J101" s="3"/>
    </row>
    <row r="102" spans="1:10">
      <c r="A102" s="3" t="s">
        <v>237</v>
      </c>
      <c r="C102" s="5"/>
      <c r="D102" s="8"/>
      <c r="F102" s="3"/>
      <c r="G102" s="3"/>
      <c r="J102" s="3"/>
    </row>
    <row r="103" spans="1:10">
      <c r="A103" s="3" t="s">
        <v>237</v>
      </c>
      <c r="C103" s="5"/>
      <c r="D103" s="8"/>
      <c r="F103" s="3"/>
      <c r="G103" s="3"/>
      <c r="J103" s="3"/>
    </row>
    <row r="104" spans="1:10">
      <c r="A104" s="3" t="s">
        <v>237</v>
      </c>
      <c r="C104" s="5"/>
      <c r="D104" s="8"/>
      <c r="F104" s="3"/>
      <c r="G104" s="3"/>
      <c r="J104" s="3"/>
    </row>
    <row r="105" spans="1:10">
      <c r="A105" s="3" t="s">
        <v>237</v>
      </c>
      <c r="C105" s="5"/>
      <c r="D105" s="8"/>
      <c r="F105" s="3"/>
      <c r="G105" s="3"/>
      <c r="J105" s="3"/>
    </row>
    <row r="106" spans="1:10">
      <c r="A106" s="3" t="s">
        <v>237</v>
      </c>
      <c r="C106" s="5"/>
      <c r="D106" s="8"/>
      <c r="F106" s="3"/>
      <c r="G106" s="3"/>
      <c r="J106" s="3"/>
    </row>
    <row r="107" spans="1:10">
      <c r="A107" s="3" t="s">
        <v>237</v>
      </c>
      <c r="C107" s="5"/>
      <c r="D107" s="8"/>
      <c r="F107" s="3"/>
      <c r="G107" s="3"/>
      <c r="J107" s="3"/>
    </row>
    <row r="108" spans="1:10">
      <c r="A108" s="3" t="s">
        <v>237</v>
      </c>
      <c r="C108" s="5"/>
      <c r="D108" s="8"/>
      <c r="F108" s="3"/>
      <c r="G108" s="3"/>
      <c r="J108" s="3"/>
    </row>
    <row r="109" spans="1:10">
      <c r="A109" s="3" t="s">
        <v>237</v>
      </c>
      <c r="C109" s="5"/>
      <c r="D109" s="8"/>
      <c r="F109" s="3"/>
      <c r="G109" s="3"/>
      <c r="J109" s="3"/>
    </row>
    <row r="110" spans="1:10">
      <c r="A110" s="3" t="s">
        <v>237</v>
      </c>
      <c r="C110" s="5"/>
      <c r="D110" s="8"/>
      <c r="F110" s="3"/>
      <c r="G110" s="3"/>
      <c r="J110" s="3"/>
    </row>
    <row r="111" spans="1:10">
      <c r="A111" s="3" t="s">
        <v>237</v>
      </c>
      <c r="C111" s="5"/>
      <c r="D111" s="8"/>
      <c r="F111" s="3"/>
      <c r="G111" s="3"/>
      <c r="J111" s="3"/>
    </row>
    <row r="112" spans="1:10">
      <c r="A112" s="3" t="s">
        <v>237</v>
      </c>
      <c r="C112" s="5"/>
      <c r="D112" s="8"/>
      <c r="F112" s="3"/>
      <c r="G112" s="3"/>
      <c r="J112" s="3"/>
    </row>
    <row r="113" spans="1:10">
      <c r="A113" s="3" t="s">
        <v>237</v>
      </c>
      <c r="C113" s="5"/>
      <c r="D113" s="8"/>
      <c r="F113" s="3"/>
      <c r="G113" s="3"/>
      <c r="J113" s="3"/>
    </row>
    <row r="114" spans="1:10">
      <c r="A114" s="3" t="s">
        <v>237</v>
      </c>
      <c r="C114" s="5"/>
      <c r="D114" s="8"/>
      <c r="F114" s="3"/>
      <c r="G114" s="3"/>
      <c r="J114" s="3"/>
    </row>
    <row r="115" spans="1:10">
      <c r="A115" s="3" t="s">
        <v>237</v>
      </c>
      <c r="C115" s="5"/>
      <c r="D115" s="8"/>
      <c r="F115" s="3"/>
      <c r="G115" s="3"/>
      <c r="J115" s="3"/>
    </row>
    <row r="116" spans="1:10">
      <c r="A116" s="3" t="s">
        <v>237</v>
      </c>
      <c r="C116" s="5"/>
      <c r="D116" s="8"/>
      <c r="F116" s="3"/>
      <c r="G116" s="3"/>
      <c r="J116" s="3"/>
    </row>
    <row r="117" spans="1:10">
      <c r="A117" s="3" t="s">
        <v>237</v>
      </c>
      <c r="C117" s="5"/>
      <c r="D117" s="8"/>
      <c r="F117" s="3"/>
      <c r="G117" s="3"/>
      <c r="J117" s="3"/>
    </row>
    <row r="118" spans="1:10">
      <c r="A118" s="3" t="s">
        <v>237</v>
      </c>
      <c r="C118" s="5"/>
      <c r="D118" s="8"/>
      <c r="F118" s="3"/>
      <c r="G118" s="3"/>
      <c r="J118" s="3"/>
    </row>
    <row r="119" spans="1:10">
      <c r="A119" s="3" t="s">
        <v>237</v>
      </c>
      <c r="C119" s="5"/>
      <c r="D119" s="8"/>
      <c r="F119" s="3"/>
      <c r="G119" s="3"/>
      <c r="J119" s="3"/>
    </row>
    <row r="120" spans="1:10">
      <c r="A120" s="3" t="s">
        <v>237</v>
      </c>
      <c r="C120" s="5"/>
      <c r="D120" s="8"/>
      <c r="F120" s="3"/>
      <c r="G120" s="3"/>
      <c r="J120" s="3"/>
    </row>
    <row r="121" spans="1:10">
      <c r="A121" s="3" t="s">
        <v>237</v>
      </c>
      <c r="C121" s="5"/>
      <c r="D121" s="8"/>
      <c r="F121" s="3"/>
      <c r="G121" s="3"/>
      <c r="J121" s="3"/>
    </row>
    <row r="122" spans="1:10">
      <c r="A122" s="3" t="s">
        <v>237</v>
      </c>
      <c r="C122" s="5"/>
      <c r="D122" s="8"/>
      <c r="F122" s="3"/>
      <c r="G122" s="3"/>
      <c r="J122" s="3"/>
    </row>
    <row r="123" spans="1:10">
      <c r="A123" s="3" t="s">
        <v>237</v>
      </c>
      <c r="C123" s="5"/>
      <c r="D123" s="8"/>
      <c r="F123" s="3"/>
      <c r="G123" s="3"/>
      <c r="J123" s="3"/>
    </row>
    <row r="124" spans="1:10">
      <c r="A124" s="3" t="s">
        <v>237</v>
      </c>
      <c r="C124" s="5"/>
      <c r="D124" s="8"/>
      <c r="F124" s="3"/>
      <c r="G124" s="3"/>
      <c r="J124" s="3"/>
    </row>
    <row r="125" spans="1:10">
      <c r="A125" s="3" t="s">
        <v>237</v>
      </c>
      <c r="C125" s="5"/>
      <c r="D125" s="8"/>
      <c r="F125" s="3"/>
      <c r="G125" s="3"/>
      <c r="J125" s="3"/>
    </row>
    <row r="126" spans="1:10">
      <c r="A126" s="3" t="s">
        <v>237</v>
      </c>
      <c r="C126" s="5"/>
      <c r="D126" s="8"/>
      <c r="F126" s="3"/>
      <c r="G126" s="3"/>
      <c r="J126" s="3"/>
    </row>
    <row r="127" spans="1:10">
      <c r="A127" s="3" t="s">
        <v>237</v>
      </c>
      <c r="C127" s="5"/>
      <c r="D127" s="8"/>
      <c r="F127" s="3"/>
      <c r="G127" s="3"/>
      <c r="J127" s="3"/>
    </row>
    <row r="128" spans="1:10">
      <c r="A128" s="3" t="s">
        <v>237</v>
      </c>
      <c r="C128" s="5"/>
      <c r="D128" s="8"/>
      <c r="F128" s="3"/>
      <c r="G128" s="3"/>
      <c r="J128" s="3"/>
    </row>
    <row r="129" spans="1:10">
      <c r="A129" s="3" t="s">
        <v>237</v>
      </c>
      <c r="C129" s="5"/>
      <c r="D129" s="8"/>
      <c r="F129" s="3"/>
      <c r="G129" s="3"/>
      <c r="J129" s="3"/>
    </row>
    <row r="130" spans="1:10">
      <c r="A130" s="3" t="s">
        <v>237</v>
      </c>
      <c r="C130" s="5"/>
      <c r="D130" s="8"/>
      <c r="F130" s="3"/>
      <c r="G130" s="3"/>
      <c r="J130" s="3"/>
    </row>
    <row r="131" spans="1:10">
      <c r="A131" s="3" t="s">
        <v>237</v>
      </c>
      <c r="C131" s="5"/>
      <c r="D131" s="8"/>
      <c r="F131" s="3"/>
      <c r="G131" s="3"/>
      <c r="J131" s="3"/>
    </row>
    <row r="132" spans="1:10">
      <c r="A132" s="3" t="s">
        <v>237</v>
      </c>
      <c r="C132" s="5"/>
      <c r="D132" s="8"/>
      <c r="F132" s="3"/>
      <c r="G132" s="3"/>
      <c r="J132" s="3"/>
    </row>
    <row r="133" spans="1:10">
      <c r="A133" s="3" t="s">
        <v>237</v>
      </c>
      <c r="C133" s="5"/>
      <c r="D133" s="8"/>
      <c r="F133" s="3"/>
      <c r="G133" s="3"/>
      <c r="J133" s="3"/>
    </row>
    <row r="134" spans="1:10">
      <c r="A134" s="3" t="s">
        <v>237</v>
      </c>
      <c r="C134" s="5"/>
      <c r="D134" s="8"/>
      <c r="F134" s="3"/>
      <c r="G134" s="3"/>
      <c r="J134" s="3"/>
    </row>
    <row r="135" spans="1:10">
      <c r="A135" s="3" t="s">
        <v>237</v>
      </c>
      <c r="C135" s="5"/>
      <c r="D135" s="8"/>
      <c r="F135" s="3"/>
      <c r="G135" s="3"/>
      <c r="J135" s="3"/>
    </row>
    <row r="136" spans="1:10">
      <c r="A136" s="3" t="s">
        <v>237</v>
      </c>
      <c r="C136" s="5"/>
      <c r="D136" s="8"/>
      <c r="F136" s="3"/>
      <c r="G136" s="3"/>
      <c r="J136" s="3"/>
    </row>
    <row r="137" spans="1:10">
      <c r="A137" s="3" t="s">
        <v>237</v>
      </c>
      <c r="C137" s="5"/>
      <c r="D137" s="8"/>
      <c r="F137" s="3"/>
      <c r="G137" s="3"/>
      <c r="J137" s="3"/>
    </row>
    <row r="138" spans="1:10">
      <c r="A138" s="3" t="s">
        <v>237</v>
      </c>
      <c r="C138" s="5"/>
      <c r="D138" s="8"/>
      <c r="F138" s="3"/>
      <c r="G138" s="3"/>
      <c r="J138" s="3"/>
    </row>
    <row r="139" spans="1:10">
      <c r="A139" s="3" t="s">
        <v>237</v>
      </c>
      <c r="C139" s="5"/>
      <c r="D139" s="8"/>
      <c r="F139" s="3"/>
      <c r="G139" s="3"/>
      <c r="J139" s="3"/>
    </row>
    <row r="140" spans="1:10">
      <c r="A140" s="3" t="s">
        <v>237</v>
      </c>
      <c r="C140" s="5"/>
      <c r="D140" s="8"/>
      <c r="F140" s="3"/>
      <c r="G140" s="3"/>
      <c r="J140" s="3"/>
    </row>
    <row r="141" spans="1:10">
      <c r="A141" s="3" t="s">
        <v>237</v>
      </c>
      <c r="C141" s="5"/>
      <c r="D141" s="8"/>
      <c r="F141" s="3"/>
      <c r="G141" s="3"/>
      <c r="J141" s="3"/>
    </row>
    <row r="142" spans="1:10">
      <c r="A142" s="3" t="s">
        <v>237</v>
      </c>
      <c r="C142" s="5"/>
      <c r="D142" s="8"/>
      <c r="F142" s="3"/>
      <c r="G142" s="3"/>
      <c r="J142" s="3"/>
    </row>
    <row r="143" spans="1:10">
      <c r="A143" s="3" t="s">
        <v>237</v>
      </c>
      <c r="C143" s="5"/>
      <c r="D143" s="8"/>
      <c r="F143" s="3"/>
      <c r="G143" s="3"/>
      <c r="J143" s="3"/>
    </row>
    <row r="144" spans="1:10">
      <c r="A144" s="3" t="s">
        <v>237</v>
      </c>
      <c r="C144" s="5"/>
      <c r="D144" s="8"/>
      <c r="F144" s="3"/>
      <c r="G144" s="3"/>
      <c r="J144" s="3"/>
    </row>
    <row r="145" spans="1:10">
      <c r="A145" s="3" t="s">
        <v>237</v>
      </c>
      <c r="C145" s="5"/>
      <c r="D145" s="8"/>
      <c r="F145" s="3"/>
      <c r="G145" s="3"/>
      <c r="J145" s="3"/>
    </row>
    <row r="146" spans="1:10">
      <c r="A146" s="3" t="s">
        <v>237</v>
      </c>
      <c r="C146" s="5"/>
      <c r="D146" s="8"/>
      <c r="F146" s="3"/>
      <c r="G146" s="3"/>
      <c r="J146" s="3"/>
    </row>
    <row r="147" spans="1:10">
      <c r="A147" s="3" t="s">
        <v>237</v>
      </c>
      <c r="C147" s="5"/>
      <c r="D147" s="8"/>
      <c r="F147" s="3"/>
      <c r="G147" s="3"/>
      <c r="J147" s="3"/>
    </row>
    <row r="148" spans="1:10">
      <c r="A148" s="3" t="s">
        <v>237</v>
      </c>
      <c r="C148" s="5"/>
      <c r="D148" s="8"/>
      <c r="F148" s="3"/>
      <c r="G148" s="3"/>
      <c r="J148" s="3"/>
    </row>
    <row r="149" spans="1:10">
      <c r="A149" s="3" t="s">
        <v>237</v>
      </c>
      <c r="C149" s="5"/>
      <c r="D149" s="8"/>
      <c r="F149" s="3"/>
      <c r="G149" s="3"/>
      <c r="J149" s="3"/>
    </row>
    <row r="150" spans="1:10">
      <c r="A150" s="3" t="s">
        <v>237</v>
      </c>
      <c r="C150" s="5"/>
      <c r="D150" s="8"/>
      <c r="F150" s="3"/>
      <c r="G150" s="3"/>
      <c r="J150" s="3"/>
    </row>
    <row r="151" spans="1:10">
      <c r="A151" s="3" t="s">
        <v>237</v>
      </c>
      <c r="C151" s="5"/>
      <c r="D151" s="8"/>
      <c r="F151" s="3"/>
      <c r="G151" s="3"/>
      <c r="J151" s="3"/>
    </row>
    <row r="152" spans="1:10">
      <c r="A152" s="3" t="s">
        <v>237</v>
      </c>
      <c r="C152" s="5"/>
      <c r="D152" s="8"/>
      <c r="F152" s="3"/>
      <c r="G152" s="3"/>
      <c r="J152" s="3"/>
    </row>
    <row r="153" spans="1:10">
      <c r="A153" s="3" t="s">
        <v>237</v>
      </c>
      <c r="C153" s="5"/>
      <c r="D153" s="8"/>
      <c r="F153" s="3"/>
      <c r="G153" s="3"/>
      <c r="J153" s="3"/>
    </row>
    <row r="154" spans="1:10">
      <c r="A154" s="3" t="s">
        <v>237</v>
      </c>
      <c r="C154" s="5"/>
      <c r="D154" s="8"/>
      <c r="F154" s="3"/>
      <c r="G154" s="3"/>
      <c r="J154" s="3"/>
    </row>
    <row r="155" spans="1:10">
      <c r="A155" s="3" t="s">
        <v>237</v>
      </c>
      <c r="C155" s="5"/>
      <c r="D155" s="8"/>
      <c r="F155" s="3"/>
      <c r="G155" s="3"/>
      <c r="J155" s="3"/>
    </row>
    <row r="156" spans="1:10">
      <c r="A156" s="3" t="s">
        <v>237</v>
      </c>
      <c r="C156" s="5"/>
      <c r="D156" s="8"/>
      <c r="F156" s="3"/>
      <c r="G156" s="3"/>
      <c r="J156" s="3"/>
    </row>
    <row r="157" spans="1:10">
      <c r="A157" s="3" t="s">
        <v>237</v>
      </c>
      <c r="C157" s="5"/>
      <c r="D157" s="8"/>
      <c r="F157" s="3"/>
      <c r="G157" s="3"/>
      <c r="J157" s="3"/>
    </row>
    <row r="158" spans="1:10">
      <c r="A158" s="3" t="s">
        <v>237</v>
      </c>
      <c r="C158" s="5"/>
      <c r="D158" s="8"/>
      <c r="F158" s="3"/>
      <c r="G158" s="3"/>
      <c r="J158" s="3"/>
    </row>
    <row r="159" spans="1:10">
      <c r="A159" s="3" t="s">
        <v>237</v>
      </c>
      <c r="C159" s="5"/>
      <c r="D159" s="8"/>
      <c r="F159" s="3"/>
      <c r="G159" s="3"/>
      <c r="J159" s="3"/>
    </row>
    <row r="160" spans="1:10">
      <c r="A160" s="3" t="s">
        <v>237</v>
      </c>
      <c r="C160" s="5"/>
      <c r="D160" s="8"/>
      <c r="F160" s="3"/>
      <c r="G160" s="3"/>
      <c r="J160" s="3"/>
    </row>
    <row r="161" spans="1:10">
      <c r="A161" s="3" t="s">
        <v>237</v>
      </c>
      <c r="C161" s="5"/>
      <c r="D161" s="8"/>
      <c r="F161" s="3"/>
      <c r="G161" s="3"/>
      <c r="J161" s="3"/>
    </row>
    <row r="162" spans="1:10">
      <c r="A162" s="3" t="s">
        <v>237</v>
      </c>
      <c r="C162" s="5"/>
      <c r="D162" s="8"/>
      <c r="F162" s="3"/>
      <c r="G162" s="3"/>
      <c r="J162" s="3"/>
    </row>
    <row r="163" spans="1:10">
      <c r="A163" s="3" t="s">
        <v>237</v>
      </c>
      <c r="C163" s="5"/>
      <c r="D163" s="8"/>
      <c r="F163" s="3"/>
      <c r="G163" s="3"/>
      <c r="J163" s="3"/>
    </row>
    <row r="164" spans="1:10">
      <c r="A164" s="3" t="s">
        <v>237</v>
      </c>
      <c r="C164" s="5"/>
      <c r="D164" s="8"/>
      <c r="F164" s="3"/>
      <c r="G164" s="3"/>
      <c r="J164" s="3"/>
    </row>
    <row r="165" spans="1:10">
      <c r="A165" s="3" t="s">
        <v>237</v>
      </c>
      <c r="C165" s="5"/>
      <c r="D165" s="8"/>
      <c r="F165" s="3"/>
      <c r="G165" s="3"/>
      <c r="J165" s="3"/>
    </row>
    <row r="166" spans="1:10">
      <c r="A166" s="3" t="s">
        <v>237</v>
      </c>
      <c r="C166" s="5"/>
      <c r="D166" s="8"/>
      <c r="F166" s="3"/>
      <c r="G166" s="3"/>
      <c r="J166" s="3"/>
    </row>
    <row r="167" spans="1:10">
      <c r="A167" s="3" t="s">
        <v>237</v>
      </c>
      <c r="C167" s="5"/>
      <c r="D167" s="8"/>
      <c r="F167" s="3"/>
      <c r="G167" s="3"/>
      <c r="J167" s="3"/>
    </row>
    <row r="168" spans="1:10">
      <c r="A168" s="3" t="s">
        <v>237</v>
      </c>
      <c r="C168" s="5"/>
      <c r="D168" s="8"/>
      <c r="F168" s="3"/>
      <c r="G168" s="3"/>
      <c r="J168" s="3"/>
    </row>
    <row r="169" spans="1:10">
      <c r="A169" s="3" t="s">
        <v>237</v>
      </c>
      <c r="C169" s="5"/>
      <c r="D169" s="8"/>
      <c r="F169" s="3"/>
      <c r="G169" s="3"/>
      <c r="J169" s="3"/>
    </row>
    <row r="170" spans="1:10">
      <c r="A170" s="3" t="s">
        <v>237</v>
      </c>
      <c r="C170" s="5"/>
      <c r="D170" s="8"/>
      <c r="F170" s="3"/>
      <c r="G170" s="3"/>
      <c r="J170" s="3"/>
    </row>
    <row r="171" spans="1:10">
      <c r="A171" s="3" t="s">
        <v>237</v>
      </c>
      <c r="C171" s="5"/>
      <c r="D171" s="8"/>
      <c r="F171" s="3"/>
      <c r="G171" s="3"/>
      <c r="J171" s="3"/>
    </row>
    <row r="172" spans="1:10">
      <c r="A172" s="3" t="s">
        <v>237</v>
      </c>
      <c r="C172" s="5"/>
      <c r="D172" s="8"/>
      <c r="F172" s="3"/>
      <c r="G172" s="3"/>
      <c r="J172" s="3"/>
    </row>
    <row r="173" spans="1:10">
      <c r="A173" s="3" t="s">
        <v>237</v>
      </c>
      <c r="C173" s="5"/>
      <c r="D173" s="8"/>
      <c r="F173" s="3"/>
      <c r="G173" s="3"/>
      <c r="J173" s="3"/>
    </row>
    <row r="174" spans="1:10">
      <c r="A174" s="3" t="s">
        <v>237</v>
      </c>
      <c r="C174" s="5"/>
      <c r="D174" s="8"/>
      <c r="F174" s="3"/>
      <c r="G174" s="3"/>
      <c r="J174" s="3"/>
    </row>
    <row r="175" spans="1:10">
      <c r="A175" s="3" t="s">
        <v>237</v>
      </c>
      <c r="C175" s="5"/>
      <c r="D175" s="8"/>
      <c r="F175" s="3"/>
      <c r="G175" s="3"/>
      <c r="J175" s="3"/>
    </row>
    <row r="176" spans="1:10">
      <c r="C176" s="5"/>
      <c r="D176" s="8"/>
      <c r="F176" s="3"/>
      <c r="G176" s="3"/>
      <c r="J176" s="3"/>
    </row>
    <row r="177" spans="3:10">
      <c r="C177" s="5"/>
      <c r="D177" s="8"/>
      <c r="F177" s="3"/>
      <c r="G177" s="3"/>
      <c r="J177" s="3"/>
    </row>
    <row r="178" spans="3:10">
      <c r="C178" s="5"/>
      <c r="D178" s="8"/>
      <c r="F178" s="3"/>
      <c r="G178" s="3"/>
      <c r="J178" s="3"/>
    </row>
    <row r="179" spans="3:10">
      <c r="C179" s="5"/>
      <c r="D179" s="8"/>
      <c r="F179" s="3"/>
      <c r="G179" s="3"/>
      <c r="J179" s="3"/>
    </row>
    <row r="180" spans="3:10">
      <c r="C180" s="5"/>
      <c r="D180" s="8"/>
      <c r="F180" s="3"/>
      <c r="G180" s="3"/>
      <c r="J180" s="3"/>
    </row>
    <row r="181" spans="3:10">
      <c r="C181" s="5"/>
      <c r="D181" s="8"/>
      <c r="F181" s="3"/>
      <c r="G181" s="3"/>
      <c r="J181" s="3"/>
    </row>
    <row r="182" spans="3:10">
      <c r="C182" s="5"/>
      <c r="D182" s="8"/>
      <c r="F182" s="3"/>
      <c r="G182" s="3"/>
      <c r="J182" s="3"/>
    </row>
    <row r="183" spans="3:10">
      <c r="C183" s="5"/>
      <c r="D183" s="8"/>
      <c r="F183" s="3"/>
      <c r="G183" s="3"/>
      <c r="J183" s="3"/>
    </row>
    <row r="184" spans="3:10">
      <c r="C184" s="5"/>
      <c r="D184" s="8"/>
      <c r="F184" s="3"/>
      <c r="G184" s="3"/>
      <c r="J184" s="3"/>
    </row>
    <row r="185" spans="3:10">
      <c r="C185" s="5"/>
      <c r="D185" s="8"/>
      <c r="F185" s="3"/>
      <c r="G185" s="3"/>
      <c r="J185" s="3"/>
    </row>
    <row r="186" spans="3:10">
      <c r="C186" s="5"/>
      <c r="D186" s="8"/>
      <c r="F186" s="3"/>
      <c r="G186" s="3"/>
      <c r="J186" s="3"/>
    </row>
    <row r="187" spans="3:10">
      <c r="C187" s="5"/>
      <c r="D187" s="8"/>
      <c r="F187" s="3"/>
      <c r="G187" s="3"/>
      <c r="J187" s="3"/>
    </row>
    <row r="188" spans="3:10">
      <c r="C188" s="5"/>
      <c r="D188" s="8"/>
      <c r="F188" s="3"/>
      <c r="G188" s="3"/>
      <c r="J188" s="3"/>
    </row>
    <row r="189" spans="3:10">
      <c r="C189" s="5"/>
      <c r="D189" s="8"/>
      <c r="F189" s="3"/>
      <c r="G189" s="3"/>
      <c r="J189" s="3"/>
    </row>
    <row r="190" spans="3:10">
      <c r="C190" s="5"/>
      <c r="D190" s="8"/>
      <c r="F190" s="3"/>
      <c r="G190" s="3"/>
      <c r="J190" s="3"/>
    </row>
    <row r="191" spans="3:10">
      <c r="C191" s="5"/>
      <c r="D191" s="8"/>
      <c r="F191" s="3"/>
      <c r="G191" s="3"/>
      <c r="J191" s="3"/>
    </row>
    <row r="192" spans="3:10">
      <c r="C192" s="5"/>
      <c r="D192" s="8"/>
      <c r="F192" s="3"/>
      <c r="G192" s="3"/>
      <c r="J192" s="3"/>
    </row>
    <row r="193" spans="3:10">
      <c r="C193" s="5"/>
      <c r="D193" s="8"/>
      <c r="H193" s="3"/>
      <c r="I193" s="3"/>
      <c r="J193" s="3"/>
    </row>
    <row r="194" spans="3:10">
      <c r="C194" s="5"/>
      <c r="D194" s="8"/>
      <c r="H194" s="3"/>
      <c r="I194" s="3"/>
      <c r="J194" s="3"/>
    </row>
    <row r="195" spans="3:10">
      <c r="C195" s="5"/>
      <c r="D195" s="8"/>
      <c r="H195" s="3"/>
      <c r="I195" s="3"/>
      <c r="J195" s="3"/>
    </row>
    <row r="196" spans="3:10">
      <c r="H196" s="3"/>
      <c r="I196" s="3"/>
      <c r="J196" s="3"/>
    </row>
    <row r="197" spans="3:10">
      <c r="H197" s="3"/>
      <c r="I197" s="3"/>
      <c r="J197" s="3"/>
    </row>
    <row r="198" spans="3:10">
      <c r="H198" s="3"/>
      <c r="I198" s="3"/>
      <c r="J198" s="3"/>
    </row>
    <row r="199" spans="3:10">
      <c r="H199" s="3"/>
      <c r="I199" s="3"/>
      <c r="J199" s="3"/>
    </row>
    <row r="200" spans="3:10">
      <c r="H200" s="3"/>
      <c r="I200" s="3"/>
      <c r="J200" s="3"/>
    </row>
    <row r="201" spans="3:10">
      <c r="H201" s="3"/>
      <c r="I201" s="3"/>
      <c r="J201" s="3"/>
    </row>
    <row r="202" spans="3:10">
      <c r="H202" s="3"/>
      <c r="I202" s="3"/>
      <c r="J202" s="3"/>
    </row>
    <row r="203" spans="3:10">
      <c r="H203" s="3"/>
      <c r="I203" s="3"/>
      <c r="J203" s="3"/>
    </row>
    <row r="204" spans="3:10">
      <c r="H204" s="3"/>
      <c r="I204" s="3"/>
      <c r="J204" s="3"/>
    </row>
    <row r="205" spans="3:10">
      <c r="H205" s="3"/>
      <c r="I205" s="3"/>
      <c r="J205" s="3"/>
    </row>
    <row r="206" spans="3:10">
      <c r="H206" s="3"/>
      <c r="I206" s="3"/>
      <c r="J206" s="3"/>
    </row>
    <row r="207" spans="3:10">
      <c r="H207" s="3"/>
      <c r="I207" s="3"/>
      <c r="J207" s="3"/>
    </row>
    <row r="208" spans="3:10">
      <c r="H208" s="3"/>
      <c r="I208" s="3"/>
      <c r="J208" s="3"/>
    </row>
    <row r="209" spans="8:10">
      <c r="H209" s="3"/>
      <c r="I209" s="3"/>
      <c r="J209" s="3"/>
    </row>
    <row r="210" spans="8:10">
      <c r="H210" s="3"/>
      <c r="I210" s="3"/>
      <c r="J210" s="3"/>
    </row>
    <row r="211" spans="8:10">
      <c r="H211" s="3"/>
      <c r="I211" s="3"/>
      <c r="J211" s="3"/>
    </row>
    <row r="212" spans="8:10">
      <c r="H212" s="3"/>
      <c r="I212" s="3"/>
      <c r="J212" s="3"/>
    </row>
    <row r="213" spans="8:10">
      <c r="H213" s="3"/>
      <c r="I213" s="3"/>
      <c r="J213" s="3"/>
    </row>
    <row r="214" spans="8:10">
      <c r="H214" s="3"/>
      <c r="I214" s="3"/>
      <c r="J214" s="3"/>
    </row>
    <row r="215" spans="8:10">
      <c r="H215" s="3"/>
      <c r="I215" s="3"/>
      <c r="J215" s="3"/>
    </row>
    <row r="216" spans="8:10">
      <c r="H216" s="3"/>
      <c r="I216" s="3"/>
      <c r="J216" s="3"/>
    </row>
    <row r="217" spans="8:10">
      <c r="H217" s="3"/>
      <c r="I217" s="3"/>
      <c r="J217" s="3"/>
    </row>
    <row r="218" spans="8:10">
      <c r="H218" s="3"/>
      <c r="I218" s="3"/>
      <c r="J218" s="3"/>
    </row>
    <row r="219" spans="8:10">
      <c r="H219" s="3"/>
      <c r="I219" s="3"/>
      <c r="J219" s="3"/>
    </row>
    <row r="220" spans="8:10">
      <c r="H220" s="3"/>
      <c r="I220" s="3"/>
      <c r="J220" s="3"/>
    </row>
    <row r="221" spans="8:10">
      <c r="H221" s="3"/>
      <c r="I221" s="3"/>
      <c r="J221" s="3"/>
    </row>
  </sheetData>
  <mergeCells count="9">
    <mergeCell ref="C20:C22"/>
    <mergeCell ref="C23:C25"/>
    <mergeCell ref="C26:C28"/>
    <mergeCell ref="C2:K2"/>
    <mergeCell ref="C5:C7"/>
    <mergeCell ref="C8:C10"/>
    <mergeCell ref="C11:C13"/>
    <mergeCell ref="C14:C16"/>
    <mergeCell ref="C17:C19"/>
  </mergeCells>
  <conditionalFormatting sqref="E5:K28">
    <cfRule type="expression" dxfId="31" priority="1">
      <formula>ISERROR(E5)=TRUE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855E-F8D8-4D83-B9E8-414C43D1D459}">
  <dimension ref="A2:N248"/>
  <sheetViews>
    <sheetView workbookViewId="0">
      <selection activeCell="B1" sqref="B1"/>
    </sheetView>
  </sheetViews>
  <sheetFormatPr defaultColWidth="9.296875" defaultRowHeight="14.4" outlineLevelRow="1"/>
  <cols>
    <col min="1" max="1" width="3.296875" style="3" customWidth="1"/>
    <col min="2" max="2" width="40.69921875" style="3" customWidth="1"/>
    <col min="3" max="5" width="11.59765625" style="3" customWidth="1"/>
    <col min="6" max="6" width="13.69921875" style="3" customWidth="1"/>
    <col min="7" max="7" width="11.59765625" style="3" customWidth="1"/>
    <col min="8" max="8" width="14.09765625" style="53" customWidth="1"/>
    <col min="9" max="9" width="12.69921875" style="53" customWidth="1"/>
    <col min="10" max="10" width="14.69921875" style="53" customWidth="1"/>
    <col min="11" max="16" width="13.59765625" style="3" customWidth="1"/>
    <col min="17" max="16384" width="9.296875" style="3"/>
  </cols>
  <sheetData>
    <row r="2" spans="2:10" ht="15.6">
      <c r="B2" s="583" t="s">
        <v>381</v>
      </c>
      <c r="C2" s="583"/>
      <c r="D2" s="583"/>
      <c r="E2" s="583"/>
      <c r="F2" s="583"/>
      <c r="G2" s="583"/>
      <c r="H2" s="583"/>
      <c r="I2" s="583"/>
      <c r="J2" s="583"/>
    </row>
    <row r="4" spans="2:10" s="43" customFormat="1" ht="51" customHeight="1">
      <c r="B4" s="420" t="s">
        <v>121</v>
      </c>
      <c r="C4" s="380" t="s">
        <v>0</v>
      </c>
      <c r="D4" s="380" t="s">
        <v>1</v>
      </c>
      <c r="E4" s="380" t="s">
        <v>2</v>
      </c>
      <c r="F4" s="380" t="s">
        <v>3</v>
      </c>
      <c r="G4" s="380" t="s">
        <v>4</v>
      </c>
      <c r="H4" s="380" t="s">
        <v>234</v>
      </c>
      <c r="I4" s="380" t="s">
        <v>14</v>
      </c>
      <c r="J4" s="380" t="s">
        <v>235</v>
      </c>
    </row>
    <row r="5" spans="2:10" ht="15.6">
      <c r="B5" s="381" t="s">
        <v>432</v>
      </c>
      <c r="C5" s="395">
        <v>57</v>
      </c>
      <c r="D5" s="395">
        <v>31</v>
      </c>
      <c r="E5" s="395">
        <v>18</v>
      </c>
      <c r="F5" s="395">
        <v>297</v>
      </c>
      <c r="G5" s="395">
        <v>911.95601988287842</v>
      </c>
      <c r="H5" s="396">
        <v>3.8564144864856778E-2</v>
      </c>
      <c r="I5" s="397">
        <v>6.0606060606060608E-2</v>
      </c>
      <c r="J5" s="396">
        <v>8.2647976347264437E-2</v>
      </c>
    </row>
    <row r="6" spans="2:10" ht="15.6">
      <c r="B6" s="383" t="s">
        <v>433</v>
      </c>
      <c r="C6" s="398">
        <v>123</v>
      </c>
      <c r="D6" s="398">
        <v>24</v>
      </c>
      <c r="E6" s="398">
        <v>11</v>
      </c>
      <c r="F6" s="398">
        <v>788</v>
      </c>
      <c r="G6" s="398">
        <v>2477.7848142312487</v>
      </c>
      <c r="H6" s="399">
        <v>8.0191733419644751E-3</v>
      </c>
      <c r="I6" s="400">
        <v>1.3959390862944159E-2</v>
      </c>
      <c r="J6" s="399">
        <v>1.989960838392385E-2</v>
      </c>
    </row>
    <row r="7" spans="2:10" ht="15.6">
      <c r="B7" s="381" t="s">
        <v>434</v>
      </c>
      <c r="C7" s="395">
        <v>227</v>
      </c>
      <c r="D7" s="395">
        <v>31</v>
      </c>
      <c r="E7" s="395">
        <v>56</v>
      </c>
      <c r="F7" s="395">
        <v>1290</v>
      </c>
      <c r="G7" s="395">
        <v>6935.5222673562894</v>
      </c>
      <c r="H7" s="396">
        <v>2.1497824101260551E-2</v>
      </c>
      <c r="I7" s="397">
        <v>4.3410852713178287E-2</v>
      </c>
      <c r="J7" s="396">
        <v>6.5323881325096034E-2</v>
      </c>
    </row>
    <row r="8" spans="2:10" ht="15.6">
      <c r="B8" s="383" t="s">
        <v>435</v>
      </c>
      <c r="C8" s="398">
        <v>137</v>
      </c>
      <c r="D8" s="398">
        <v>27</v>
      </c>
      <c r="E8" s="398">
        <v>32</v>
      </c>
      <c r="F8" s="398">
        <v>756</v>
      </c>
      <c r="G8" s="398">
        <v>2784.0568389741115</v>
      </c>
      <c r="H8" s="399">
        <v>2.6204163516337212E-2</v>
      </c>
      <c r="I8" s="400">
        <v>4.2328042328042333E-2</v>
      </c>
      <c r="J8" s="399">
        <v>5.845192113974744E-2</v>
      </c>
    </row>
    <row r="9" spans="2:10" ht="15.6">
      <c r="B9" s="381" t="s">
        <v>436</v>
      </c>
      <c r="C9" s="395">
        <v>85</v>
      </c>
      <c r="D9" s="395">
        <v>27</v>
      </c>
      <c r="E9" s="395">
        <v>15</v>
      </c>
      <c r="F9" s="395">
        <v>640</v>
      </c>
      <c r="G9" s="395">
        <v>2006.3715954056354</v>
      </c>
      <c r="H9" s="396">
        <v>6.9606376268004366E-3</v>
      </c>
      <c r="I9" s="397">
        <v>2.34375E-2</v>
      </c>
      <c r="J9" s="396">
        <v>3.9914362373199563E-2</v>
      </c>
    </row>
    <row r="10" spans="2:10" ht="15.6">
      <c r="B10" s="383" t="s">
        <v>437</v>
      </c>
      <c r="C10" s="398">
        <v>104</v>
      </c>
      <c r="D10" s="398">
        <v>29</v>
      </c>
      <c r="E10" s="398">
        <v>11</v>
      </c>
      <c r="F10" s="398">
        <v>573</v>
      </c>
      <c r="G10" s="398">
        <v>3404.5661419419785</v>
      </c>
      <c r="H10" s="399">
        <v>2.610360296745932E-3</v>
      </c>
      <c r="I10" s="400">
        <v>1.9197207678883069E-2</v>
      </c>
      <c r="J10" s="399">
        <v>3.5784055061020212E-2</v>
      </c>
    </row>
    <row r="11" spans="2:10" ht="15.6">
      <c r="B11" s="381" t="s">
        <v>438</v>
      </c>
      <c r="C11" s="395">
        <v>49</v>
      </c>
      <c r="D11" s="395">
        <v>31</v>
      </c>
      <c r="E11" s="395">
        <v>23</v>
      </c>
      <c r="F11" s="395">
        <v>264</v>
      </c>
      <c r="G11" s="395">
        <v>440.85805165148037</v>
      </c>
      <c r="H11" s="396">
        <v>6.0455863560290118E-2</v>
      </c>
      <c r="I11" s="397">
        <v>8.7121212121212127E-2</v>
      </c>
      <c r="J11" s="396">
        <v>0.11378656068213409</v>
      </c>
    </row>
    <row r="12" spans="2:10" ht="15.6">
      <c r="B12" s="383" t="s">
        <v>439</v>
      </c>
      <c r="C12" s="398">
        <v>116</v>
      </c>
      <c r="D12" s="398">
        <v>28</v>
      </c>
      <c r="E12" s="398">
        <v>22</v>
      </c>
      <c r="F12" s="398">
        <v>826</v>
      </c>
      <c r="G12" s="398">
        <v>3595.0708499442217</v>
      </c>
      <c r="H12" s="399">
        <v>1.1787414107732239E-2</v>
      </c>
      <c r="I12" s="400">
        <v>2.663438256658596E-2</v>
      </c>
      <c r="J12" s="399">
        <v>4.1481351025439671E-2</v>
      </c>
    </row>
    <row r="13" spans="2:10" ht="15.6">
      <c r="B13" s="381" t="s">
        <v>440</v>
      </c>
      <c r="C13" s="395">
        <v>31</v>
      </c>
      <c r="D13" s="395">
        <v>31</v>
      </c>
      <c r="E13" s="395">
        <v>23</v>
      </c>
      <c r="F13" s="395">
        <v>227</v>
      </c>
      <c r="G13" s="395">
        <v>260.30561750018626</v>
      </c>
      <c r="H13" s="396">
        <v>6.8909243407261844E-2</v>
      </c>
      <c r="I13" s="397">
        <v>0.1013215859030837</v>
      </c>
      <c r="J13" s="396">
        <v>0.13373392839890549</v>
      </c>
    </row>
    <row r="14" spans="2:10" ht="15.6">
      <c r="B14" s="383" t="s">
        <v>441</v>
      </c>
      <c r="C14" s="398">
        <v>36</v>
      </c>
      <c r="D14" s="398">
        <v>31</v>
      </c>
      <c r="E14" s="398">
        <v>11</v>
      </c>
      <c r="F14" s="398">
        <v>220</v>
      </c>
      <c r="G14" s="398">
        <v>488.41937229450298</v>
      </c>
      <c r="H14" s="399">
        <v>2.5157786499078939E-2</v>
      </c>
      <c r="I14" s="400">
        <v>0.05</v>
      </c>
      <c r="J14" s="399">
        <v>7.4842213500921059E-2</v>
      </c>
    </row>
    <row r="15" spans="2:10" ht="15.6">
      <c r="B15" s="381" t="s">
        <v>442</v>
      </c>
      <c r="C15" s="395">
        <v>324</v>
      </c>
      <c r="D15" s="395">
        <v>31</v>
      </c>
      <c r="E15" s="395">
        <v>38</v>
      </c>
      <c r="F15" s="395">
        <v>1774</v>
      </c>
      <c r="G15" s="395">
        <v>21909.83678692266</v>
      </c>
      <c r="H15" s="396">
        <v>1.4215256227207681E-2</v>
      </c>
      <c r="I15" s="397">
        <v>2.1420518602029311E-2</v>
      </c>
      <c r="J15" s="396">
        <v>2.862578097685094E-2</v>
      </c>
    </row>
    <row r="16" spans="2:10" ht="15.6">
      <c r="B16" s="383" t="s">
        <v>443</v>
      </c>
      <c r="C16" s="398">
        <v>20</v>
      </c>
      <c r="D16" s="398">
        <v>25</v>
      </c>
      <c r="E16" s="398">
        <v>7</v>
      </c>
      <c r="F16" s="398">
        <v>94</v>
      </c>
      <c r="G16" s="398">
        <v>324.39657258238918</v>
      </c>
      <c r="H16" s="399">
        <v>2.9483761062087031E-2</v>
      </c>
      <c r="I16" s="400">
        <v>7.4468085106382975E-2</v>
      </c>
      <c r="J16" s="399">
        <v>0.1194524091506789</v>
      </c>
    </row>
    <row r="17" spans="2:10" ht="15.6">
      <c r="B17" s="381" t="s">
        <v>444</v>
      </c>
      <c r="C17" s="395">
        <v>58</v>
      </c>
      <c r="D17" s="395">
        <v>21</v>
      </c>
      <c r="E17" s="395">
        <v>14</v>
      </c>
      <c r="F17" s="395">
        <v>315</v>
      </c>
      <c r="G17" s="395">
        <v>1269.6856373072142</v>
      </c>
      <c r="H17" s="396">
        <v>1.418419206813956E-2</v>
      </c>
      <c r="I17" s="397">
        <v>4.4444444444444453E-2</v>
      </c>
      <c r="J17" s="396">
        <v>7.4704696820749331E-2</v>
      </c>
    </row>
    <row r="18" spans="2:10" ht="15.6">
      <c r="B18" s="383" t="s">
        <v>227</v>
      </c>
      <c r="C18" s="398">
        <v>31</v>
      </c>
      <c r="D18" s="398">
        <v>27</v>
      </c>
      <c r="E18" s="398">
        <v>6</v>
      </c>
      <c r="F18" s="398">
        <v>141</v>
      </c>
      <c r="G18" s="398">
        <v>612.3039912597626</v>
      </c>
      <c r="H18" s="399">
        <v>2.239072973428665E-2</v>
      </c>
      <c r="I18" s="400">
        <v>4.2553191489361701E-2</v>
      </c>
      <c r="J18" s="399">
        <v>6.2715653244436745E-2</v>
      </c>
    </row>
    <row r="19" spans="2:10" ht="15.6">
      <c r="B19" s="381" t="s">
        <v>226</v>
      </c>
      <c r="C19" s="395">
        <v>113</v>
      </c>
      <c r="D19" s="395">
        <v>31</v>
      </c>
      <c r="E19" s="395">
        <v>60</v>
      </c>
      <c r="F19" s="395">
        <v>677</v>
      </c>
      <c r="G19" s="395">
        <v>2750.0998772947237</v>
      </c>
      <c r="H19" s="396">
        <v>7.3328765162639004E-2</v>
      </c>
      <c r="I19" s="397">
        <v>8.8626292466765136E-2</v>
      </c>
      <c r="J19" s="396">
        <v>0.1039238197708913</v>
      </c>
    </row>
    <row r="20" spans="2:10" ht="15.6">
      <c r="B20" s="383" t="s">
        <v>445</v>
      </c>
      <c r="C20" s="398">
        <v>96</v>
      </c>
      <c r="D20" s="398">
        <v>31</v>
      </c>
      <c r="E20" s="398">
        <v>23</v>
      </c>
      <c r="F20" s="398">
        <v>459</v>
      </c>
      <c r="G20" s="398">
        <v>6036.1619404784615</v>
      </c>
      <c r="H20" s="399">
        <v>3.2100019936228297E-2</v>
      </c>
      <c r="I20" s="400">
        <v>5.0108932461873638E-2</v>
      </c>
      <c r="J20" s="399">
        <v>6.811784498751898E-2</v>
      </c>
    </row>
    <row r="21" spans="2:10" ht="15.6">
      <c r="B21" s="381" t="s">
        <v>446</v>
      </c>
      <c r="C21" s="395">
        <v>59</v>
      </c>
      <c r="D21" s="395">
        <v>31</v>
      </c>
      <c r="E21" s="395">
        <v>23</v>
      </c>
      <c r="F21" s="395">
        <v>407</v>
      </c>
      <c r="G21" s="395">
        <v>1360.9183808247544</v>
      </c>
      <c r="H21" s="396">
        <v>3.3557922692554143E-2</v>
      </c>
      <c r="I21" s="397">
        <v>5.6511056511056507E-2</v>
      </c>
      <c r="J21" s="396">
        <v>7.9464190329558898E-2</v>
      </c>
    </row>
    <row r="22" spans="2:10" ht="15.6">
      <c r="B22" s="383" t="s">
        <v>447</v>
      </c>
      <c r="C22" s="398">
        <v>247</v>
      </c>
      <c r="D22" s="398">
        <v>31</v>
      </c>
      <c r="E22" s="398">
        <v>37</v>
      </c>
      <c r="F22" s="398">
        <v>1227</v>
      </c>
      <c r="G22" s="398">
        <v>11615.135008296855</v>
      </c>
      <c r="H22" s="399">
        <v>2.041387938748947E-2</v>
      </c>
      <c r="I22" s="400">
        <v>3.0154849225753871E-2</v>
      </c>
      <c r="J22" s="399">
        <v>3.9895819064018269E-2</v>
      </c>
    </row>
    <row r="23" spans="2:10" ht="15.6">
      <c r="B23" s="381" t="s">
        <v>448</v>
      </c>
      <c r="C23" s="395">
        <v>146</v>
      </c>
      <c r="D23" s="395">
        <v>31</v>
      </c>
      <c r="E23" s="395">
        <v>19</v>
      </c>
      <c r="F23" s="395">
        <v>690</v>
      </c>
      <c r="G23" s="395">
        <v>8008.5455948983708</v>
      </c>
      <c r="H23" s="396">
        <v>1.666064921292985E-2</v>
      </c>
      <c r="I23" s="397">
        <v>2.753623188405797E-2</v>
      </c>
      <c r="J23" s="396">
        <v>3.8411814555186087E-2</v>
      </c>
    </row>
    <row r="24" spans="2:10" ht="15.6">
      <c r="B24" s="383" t="s">
        <v>449</v>
      </c>
      <c r="C24" s="398">
        <v>110</v>
      </c>
      <c r="D24" s="398">
        <v>31</v>
      </c>
      <c r="E24" s="398">
        <v>10</v>
      </c>
      <c r="F24" s="398">
        <v>709</v>
      </c>
      <c r="G24" s="398">
        <v>2537.4583865074123</v>
      </c>
      <c r="H24" s="399">
        <v>4.9974306125209512E-3</v>
      </c>
      <c r="I24" s="400">
        <v>1.4104372355430181E-2</v>
      </c>
      <c r="J24" s="399">
        <v>2.321131409833942E-2</v>
      </c>
    </row>
    <row r="25" spans="2:10" ht="15.6">
      <c r="B25" s="381" t="s">
        <v>450</v>
      </c>
      <c r="C25" s="395">
        <v>35</v>
      </c>
      <c r="D25" s="395">
        <v>31</v>
      </c>
      <c r="E25" s="395">
        <v>3</v>
      </c>
      <c r="F25" s="395">
        <v>208</v>
      </c>
      <c r="G25" s="395">
        <v>1983.8576576964585</v>
      </c>
      <c r="H25" s="396">
        <v>2.6827776388169099E-3</v>
      </c>
      <c r="I25" s="397">
        <v>1.442307692307692E-2</v>
      </c>
      <c r="J25" s="396">
        <v>2.6163376207336941E-2</v>
      </c>
    </row>
    <row r="26" spans="2:10" ht="15.6">
      <c r="B26" s="383" t="s">
        <v>451</v>
      </c>
      <c r="C26" s="398">
        <v>61</v>
      </c>
      <c r="D26" s="398">
        <v>31</v>
      </c>
      <c r="E26" s="398">
        <v>11</v>
      </c>
      <c r="F26" s="398">
        <v>431</v>
      </c>
      <c r="G26" s="398">
        <v>1653.8808174268238</v>
      </c>
      <c r="H26" s="399">
        <v>7.6360220134732877E-3</v>
      </c>
      <c r="I26" s="400">
        <v>2.552204176334107E-2</v>
      </c>
      <c r="J26" s="399">
        <v>4.3408061513208848E-2</v>
      </c>
    </row>
    <row r="27" spans="2:10" ht="15.6">
      <c r="B27" s="381" t="s">
        <v>452</v>
      </c>
      <c r="C27" s="395">
        <v>93</v>
      </c>
      <c r="D27" s="395">
        <v>31</v>
      </c>
      <c r="E27" s="395">
        <v>5</v>
      </c>
      <c r="F27" s="395">
        <v>467</v>
      </c>
      <c r="G27" s="395">
        <v>4709.2933671900091</v>
      </c>
      <c r="H27" s="396">
        <v>0</v>
      </c>
      <c r="I27" s="397">
        <v>1.0706638115631689E-2</v>
      </c>
      <c r="J27" s="396">
        <v>2.466832897662273E-2</v>
      </c>
    </row>
    <row r="28" spans="2:10" ht="15.6">
      <c r="B28" s="383" t="s">
        <v>453</v>
      </c>
      <c r="C28" s="398">
        <v>208</v>
      </c>
      <c r="D28" s="398">
        <v>31</v>
      </c>
      <c r="E28" s="398">
        <v>28</v>
      </c>
      <c r="F28" s="398">
        <v>1169</v>
      </c>
      <c r="G28" s="398">
        <v>8159.2708088051504</v>
      </c>
      <c r="H28" s="399">
        <v>1.475498568021669E-2</v>
      </c>
      <c r="I28" s="400">
        <v>2.3952095808383232E-2</v>
      </c>
      <c r="J28" s="399">
        <v>3.3149205936549783E-2</v>
      </c>
    </row>
    <row r="29" spans="2:10" ht="15.6">
      <c r="B29" s="381" t="s">
        <v>454</v>
      </c>
      <c r="C29" s="395">
        <v>27</v>
      </c>
      <c r="D29" s="395">
        <v>28</v>
      </c>
      <c r="E29" s="395">
        <v>6</v>
      </c>
      <c r="F29" s="395">
        <v>95</v>
      </c>
      <c r="G29" s="395">
        <v>1014.0260183981845</v>
      </c>
      <c r="H29" s="396">
        <v>2.188543138301826E-2</v>
      </c>
      <c r="I29" s="397">
        <v>6.3157894736842107E-2</v>
      </c>
      <c r="J29" s="396">
        <v>0.10443035809066591</v>
      </c>
    </row>
    <row r="30" spans="2:10" ht="15.6">
      <c r="B30" s="383" t="s">
        <v>455</v>
      </c>
      <c r="C30" s="398">
        <v>196</v>
      </c>
      <c r="D30" s="398">
        <v>27</v>
      </c>
      <c r="E30" s="398">
        <v>31</v>
      </c>
      <c r="F30" s="398">
        <v>1120</v>
      </c>
      <c r="G30" s="398">
        <v>5863.3880690642245</v>
      </c>
      <c r="H30" s="399">
        <v>1.6473658376136499E-2</v>
      </c>
      <c r="I30" s="400">
        <v>2.7678571428571431E-2</v>
      </c>
      <c r="J30" s="399">
        <v>3.8883484481006363E-2</v>
      </c>
    </row>
    <row r="31" spans="2:10" ht="15.6">
      <c r="B31" s="381" t="s">
        <v>456</v>
      </c>
      <c r="C31" s="395">
        <v>97</v>
      </c>
      <c r="D31" s="395">
        <v>31</v>
      </c>
      <c r="E31" s="395">
        <v>36</v>
      </c>
      <c r="F31" s="395">
        <v>587</v>
      </c>
      <c r="G31" s="395">
        <v>3226.1113514323092</v>
      </c>
      <c r="H31" s="396">
        <v>4.8043163227517449E-2</v>
      </c>
      <c r="I31" s="397">
        <v>6.1328790459965928E-2</v>
      </c>
      <c r="J31" s="396">
        <v>7.4614417692414406E-2</v>
      </c>
    </row>
    <row r="32" spans="2:10" ht="15.6">
      <c r="B32" s="383" t="s">
        <v>457</v>
      </c>
      <c r="C32" s="398">
        <v>20</v>
      </c>
      <c r="D32" s="398">
        <v>31</v>
      </c>
      <c r="E32" s="398">
        <v>9</v>
      </c>
      <c r="F32" s="398">
        <v>112</v>
      </c>
      <c r="G32" s="398">
        <v>832.20140283697401</v>
      </c>
      <c r="H32" s="399">
        <v>2.7637736194535949E-2</v>
      </c>
      <c r="I32" s="400">
        <v>8.0357142857142863E-2</v>
      </c>
      <c r="J32" s="399">
        <v>0.13307654951974979</v>
      </c>
    </row>
    <row r="33" spans="2:10" ht="15.6">
      <c r="B33" s="381" t="s">
        <v>458</v>
      </c>
      <c r="C33" s="395">
        <v>79</v>
      </c>
      <c r="D33" s="395">
        <v>31</v>
      </c>
      <c r="E33" s="395">
        <v>8</v>
      </c>
      <c r="F33" s="395">
        <v>438</v>
      </c>
      <c r="G33" s="395">
        <v>3046.5155494257938</v>
      </c>
      <c r="H33" s="396">
        <v>1.004661964711033E-2</v>
      </c>
      <c r="I33" s="397">
        <v>1.8264840182648401E-2</v>
      </c>
      <c r="J33" s="396">
        <v>2.6483060718186471E-2</v>
      </c>
    </row>
    <row r="34" spans="2:10" ht="15.6">
      <c r="B34" s="383" t="s">
        <v>459</v>
      </c>
      <c r="C34" s="398">
        <v>82</v>
      </c>
      <c r="D34" s="398">
        <v>30</v>
      </c>
      <c r="E34" s="398">
        <v>11</v>
      </c>
      <c r="F34" s="398">
        <v>504</v>
      </c>
      <c r="G34" s="398">
        <v>1995.534030659971</v>
      </c>
      <c r="H34" s="399">
        <v>1.032610058858982E-2</v>
      </c>
      <c r="I34" s="400">
        <v>2.1825396825396821E-2</v>
      </c>
      <c r="J34" s="399">
        <v>3.3324693062203828E-2</v>
      </c>
    </row>
    <row r="35" spans="2:10" ht="15.6">
      <c r="B35" s="381" t="s">
        <v>460</v>
      </c>
      <c r="C35" s="395">
        <v>68</v>
      </c>
      <c r="D35" s="395">
        <v>29</v>
      </c>
      <c r="E35" s="395">
        <v>10</v>
      </c>
      <c r="F35" s="395">
        <v>449</v>
      </c>
      <c r="G35" s="395">
        <v>2668.7976800689707</v>
      </c>
      <c r="H35" s="396">
        <v>9.6009251311942358E-3</v>
      </c>
      <c r="I35" s="397">
        <v>2.2271714922049001E-2</v>
      </c>
      <c r="J35" s="396">
        <v>3.4942504712903763E-2</v>
      </c>
    </row>
    <row r="36" spans="2:10" ht="15.6">
      <c r="B36" s="383" t="s">
        <v>461</v>
      </c>
      <c r="C36" s="398">
        <v>26</v>
      </c>
      <c r="D36" s="398">
        <v>27</v>
      </c>
      <c r="E36" s="398">
        <v>13</v>
      </c>
      <c r="F36" s="398">
        <v>143</v>
      </c>
      <c r="G36" s="398">
        <v>205.48166252336705</v>
      </c>
      <c r="H36" s="399">
        <v>4.8848510073754382E-2</v>
      </c>
      <c r="I36" s="400">
        <v>9.0909090909090912E-2</v>
      </c>
      <c r="J36" s="399">
        <v>0.13296967174442739</v>
      </c>
    </row>
    <row r="37" spans="2:10" ht="15.6">
      <c r="B37" s="381" t="s">
        <v>462</v>
      </c>
      <c r="C37" s="395">
        <v>58</v>
      </c>
      <c r="D37" s="395">
        <v>31</v>
      </c>
      <c r="E37" s="395">
        <v>6</v>
      </c>
      <c r="F37" s="395">
        <v>309</v>
      </c>
      <c r="G37" s="395">
        <v>1572.3533948121615</v>
      </c>
      <c r="H37" s="396">
        <v>7.1479635757184367E-3</v>
      </c>
      <c r="I37" s="397">
        <v>1.9417475728155342E-2</v>
      </c>
      <c r="J37" s="396">
        <v>3.1686987880592238E-2</v>
      </c>
    </row>
    <row r="38" spans="2:10" ht="15.6">
      <c r="B38" s="383" t="s">
        <v>463</v>
      </c>
      <c r="C38" s="398">
        <v>135</v>
      </c>
      <c r="D38" s="398">
        <v>31</v>
      </c>
      <c r="E38" s="398">
        <v>31</v>
      </c>
      <c r="F38" s="398">
        <v>700</v>
      </c>
      <c r="G38" s="398">
        <v>6723.7087018529619</v>
      </c>
      <c r="H38" s="399">
        <v>1.8432922753325719E-2</v>
      </c>
      <c r="I38" s="400">
        <v>4.4285714285714282E-2</v>
      </c>
      <c r="J38" s="399">
        <v>7.0138505818102853E-2</v>
      </c>
    </row>
    <row r="39" spans="2:10" ht="15.6">
      <c r="B39" s="381" t="s">
        <v>464</v>
      </c>
      <c r="C39" s="395">
        <v>538</v>
      </c>
      <c r="D39" s="395">
        <v>31</v>
      </c>
      <c r="E39" s="395">
        <v>71</v>
      </c>
      <c r="F39" s="395">
        <v>2694</v>
      </c>
      <c r="G39" s="395">
        <v>23372.738619555774</v>
      </c>
      <c r="H39" s="396">
        <v>1.8146972461343829E-2</v>
      </c>
      <c r="I39" s="397">
        <v>2.635486265775798E-2</v>
      </c>
      <c r="J39" s="396">
        <v>3.4562752854172138E-2</v>
      </c>
    </row>
    <row r="40" spans="2:10" ht="15.6">
      <c r="B40" s="383" t="s">
        <v>465</v>
      </c>
      <c r="C40" s="398">
        <v>41</v>
      </c>
      <c r="D40" s="398">
        <v>31</v>
      </c>
      <c r="E40" s="398">
        <v>6</v>
      </c>
      <c r="F40" s="398">
        <v>273</v>
      </c>
      <c r="G40" s="398">
        <v>994.16287599816053</v>
      </c>
      <c r="H40" s="399">
        <v>5.7851120154123539E-4</v>
      </c>
      <c r="I40" s="400">
        <v>2.197802197802198E-2</v>
      </c>
      <c r="J40" s="399">
        <v>4.3377532754502721E-2</v>
      </c>
    </row>
    <row r="41" spans="2:10" ht="15.6">
      <c r="B41" s="381" t="s">
        <v>466</v>
      </c>
      <c r="C41" s="395">
        <v>117</v>
      </c>
      <c r="D41" s="395">
        <v>31</v>
      </c>
      <c r="E41" s="395">
        <v>13</v>
      </c>
      <c r="F41" s="395">
        <v>770</v>
      </c>
      <c r="G41" s="395">
        <v>3700.9524267599372</v>
      </c>
      <c r="H41" s="396">
        <v>3.7107842262913398E-3</v>
      </c>
      <c r="I41" s="397">
        <v>1.6883116883116878E-2</v>
      </c>
      <c r="J41" s="396">
        <v>3.0055449539942419E-2</v>
      </c>
    </row>
    <row r="42" spans="2:10" ht="15.6">
      <c r="B42" s="383" t="s">
        <v>467</v>
      </c>
      <c r="C42" s="398">
        <v>155</v>
      </c>
      <c r="D42" s="398">
        <v>31</v>
      </c>
      <c r="E42" s="398">
        <v>32</v>
      </c>
      <c r="F42" s="398">
        <v>825</v>
      </c>
      <c r="G42" s="398">
        <v>4694.0181283892025</v>
      </c>
      <c r="H42" s="399">
        <v>2.7925173836672569E-2</v>
      </c>
      <c r="I42" s="400">
        <v>3.8787878787878788E-2</v>
      </c>
      <c r="J42" s="399">
        <v>4.9650583739085007E-2</v>
      </c>
    </row>
    <row r="43" spans="2:10" ht="15.6">
      <c r="B43" s="381" t="s">
        <v>468</v>
      </c>
      <c r="C43" s="395">
        <v>71</v>
      </c>
      <c r="D43" s="395">
        <v>29</v>
      </c>
      <c r="E43" s="395">
        <v>1</v>
      </c>
      <c r="F43" s="395">
        <v>397</v>
      </c>
      <c r="G43" s="395">
        <v>503.71500770601801</v>
      </c>
      <c r="H43" s="396">
        <v>0</v>
      </c>
      <c r="I43" s="397">
        <v>2.5188916876574311E-3</v>
      </c>
      <c r="J43" s="396">
        <v>5.4176723787820701E-3</v>
      </c>
    </row>
    <row r="44" spans="2:10" ht="15.6">
      <c r="B44" s="383" t="s">
        <v>469</v>
      </c>
      <c r="C44" s="398">
        <v>46</v>
      </c>
      <c r="D44" s="398">
        <v>20</v>
      </c>
      <c r="E44" s="398">
        <v>3</v>
      </c>
      <c r="F44" s="398">
        <v>268</v>
      </c>
      <c r="G44" s="398">
        <v>1585.2854073557562</v>
      </c>
      <c r="H44" s="399">
        <v>4.121302205881641E-3</v>
      </c>
      <c r="I44" s="400">
        <v>1.119402985074627E-2</v>
      </c>
      <c r="J44" s="399">
        <v>1.8266757495610891E-2</v>
      </c>
    </row>
    <row r="45" spans="2:10" ht="15.6">
      <c r="B45" s="381" t="s">
        <v>470</v>
      </c>
      <c r="C45" s="395">
        <v>140</v>
      </c>
      <c r="D45" s="395">
        <v>28</v>
      </c>
      <c r="E45" s="395">
        <v>13</v>
      </c>
      <c r="F45" s="395">
        <v>818</v>
      </c>
      <c r="G45" s="395">
        <v>6116.4923194077701</v>
      </c>
      <c r="H45" s="396">
        <v>7.2816770999492263E-3</v>
      </c>
      <c r="I45" s="397">
        <v>1.5892420537897311E-2</v>
      </c>
      <c r="J45" s="396">
        <v>2.4503163975845399E-2</v>
      </c>
    </row>
    <row r="46" spans="2:10" ht="15.6">
      <c r="B46" s="383" t="s">
        <v>471</v>
      </c>
      <c r="C46" s="398">
        <v>57</v>
      </c>
      <c r="D46" s="398">
        <v>31</v>
      </c>
      <c r="E46" s="398">
        <v>38</v>
      </c>
      <c r="F46" s="398">
        <v>382</v>
      </c>
      <c r="G46" s="398">
        <v>1981.062591267294</v>
      </c>
      <c r="H46" s="399">
        <v>4.1514710506504779E-2</v>
      </c>
      <c r="I46" s="400">
        <v>9.947643979057591E-2</v>
      </c>
      <c r="J46" s="399">
        <v>0.157438169074647</v>
      </c>
    </row>
    <row r="47" spans="2:10" ht="15.6">
      <c r="B47" s="381" t="s">
        <v>472</v>
      </c>
      <c r="C47" s="395">
        <v>63</v>
      </c>
      <c r="D47" s="395">
        <v>29</v>
      </c>
      <c r="E47" s="395">
        <v>18</v>
      </c>
      <c r="F47" s="395">
        <v>338</v>
      </c>
      <c r="G47" s="395">
        <v>1943.9642964014347</v>
      </c>
      <c r="H47" s="396">
        <v>6.6263818699969076E-3</v>
      </c>
      <c r="I47" s="397">
        <v>5.3254437869822487E-2</v>
      </c>
      <c r="J47" s="396">
        <v>9.9882493869648065E-2</v>
      </c>
    </row>
    <row r="48" spans="2:10" ht="15.6">
      <c r="B48" s="383" t="s">
        <v>473</v>
      </c>
      <c r="C48" s="398">
        <v>24</v>
      </c>
      <c r="D48" s="398">
        <v>27</v>
      </c>
      <c r="E48" s="398">
        <v>5</v>
      </c>
      <c r="F48" s="398">
        <v>96</v>
      </c>
      <c r="G48" s="398">
        <v>379.46677282351499</v>
      </c>
      <c r="H48" s="399">
        <v>2.4226514905894329E-2</v>
      </c>
      <c r="I48" s="400">
        <v>5.2083333333333343E-2</v>
      </c>
      <c r="J48" s="399">
        <v>7.9940151760772349E-2</v>
      </c>
    </row>
    <row r="49" spans="2:10" ht="15.6">
      <c r="B49" s="381" t="s">
        <v>474</v>
      </c>
      <c r="C49" s="395">
        <v>86</v>
      </c>
      <c r="D49" s="395">
        <v>31</v>
      </c>
      <c r="E49" s="395">
        <v>11</v>
      </c>
      <c r="F49" s="395">
        <v>536</v>
      </c>
      <c r="G49" s="395">
        <v>3036.8358410934334</v>
      </c>
      <c r="H49" s="396">
        <v>8.2583945589983429E-3</v>
      </c>
      <c r="I49" s="397">
        <v>2.0522388059701489E-2</v>
      </c>
      <c r="J49" s="396">
        <v>3.2786381560404643E-2</v>
      </c>
    </row>
    <row r="50" spans="2:10" ht="15.6">
      <c r="B50" s="383" t="s">
        <v>475</v>
      </c>
      <c r="C50" s="398">
        <v>74</v>
      </c>
      <c r="D50" s="398">
        <v>29</v>
      </c>
      <c r="E50" s="398">
        <v>7</v>
      </c>
      <c r="F50" s="398">
        <v>525</v>
      </c>
      <c r="G50" s="398">
        <v>1512.7273704479762</v>
      </c>
      <c r="H50" s="399">
        <v>5.3156074397586652E-3</v>
      </c>
      <c r="I50" s="400">
        <v>1.3333333333333331E-2</v>
      </c>
      <c r="J50" s="399">
        <v>2.1351059226908001E-2</v>
      </c>
    </row>
    <row r="51" spans="2:10" ht="15.6">
      <c r="B51" s="381" t="s">
        <v>476</v>
      </c>
      <c r="C51" s="395">
        <v>32</v>
      </c>
      <c r="D51" s="395">
        <v>22</v>
      </c>
      <c r="E51" s="395">
        <v>6</v>
      </c>
      <c r="F51" s="395">
        <v>257</v>
      </c>
      <c r="G51" s="395">
        <v>520.98773050216414</v>
      </c>
      <c r="H51" s="396">
        <v>7.538529259637404E-3</v>
      </c>
      <c r="I51" s="397">
        <v>2.3346303501945529E-2</v>
      </c>
      <c r="J51" s="396">
        <v>3.9154077744253647E-2</v>
      </c>
    </row>
    <row r="52" spans="2:10" ht="15.6">
      <c r="B52" s="383" t="s">
        <v>477</v>
      </c>
      <c r="C52" s="398">
        <v>38</v>
      </c>
      <c r="D52" s="398">
        <v>31</v>
      </c>
      <c r="E52" s="398">
        <v>15</v>
      </c>
      <c r="F52" s="398">
        <v>225</v>
      </c>
      <c r="G52" s="398">
        <v>902.25849221071996</v>
      </c>
      <c r="H52" s="399">
        <v>2.2680486878627799E-2</v>
      </c>
      <c r="I52" s="400">
        <v>6.6666666666666666E-2</v>
      </c>
      <c r="J52" s="399">
        <v>0.11065284645470549</v>
      </c>
    </row>
    <row r="53" spans="2:10" ht="15.6">
      <c r="B53" s="381" t="s">
        <v>478</v>
      </c>
      <c r="C53" s="395">
        <v>46</v>
      </c>
      <c r="D53" s="395">
        <v>29</v>
      </c>
      <c r="E53" s="395">
        <v>4</v>
      </c>
      <c r="F53" s="395">
        <v>315</v>
      </c>
      <c r="G53" s="395">
        <v>711.32641811529356</v>
      </c>
      <c r="H53" s="396">
        <v>0</v>
      </c>
      <c r="I53" s="397">
        <v>1.26984126984127E-2</v>
      </c>
      <c r="J53" s="396">
        <v>2.777501567226064E-2</v>
      </c>
    </row>
    <row r="54" spans="2:10" ht="15.6">
      <c r="B54" s="383" t="s">
        <v>479</v>
      </c>
      <c r="C54" s="398">
        <v>55</v>
      </c>
      <c r="D54" s="398">
        <v>31</v>
      </c>
      <c r="E54" s="398">
        <v>45</v>
      </c>
      <c r="F54" s="398">
        <v>347</v>
      </c>
      <c r="G54" s="398">
        <v>463.88383591554691</v>
      </c>
      <c r="H54" s="399">
        <v>0.1002978218044442</v>
      </c>
      <c r="I54" s="400">
        <v>0.12968299711815559</v>
      </c>
      <c r="J54" s="399">
        <v>0.15906817243186699</v>
      </c>
    </row>
    <row r="56" spans="2:10" s="43" customFormat="1" ht="51" customHeight="1">
      <c r="B56" s="414" t="s">
        <v>121</v>
      </c>
      <c r="C56" s="52" t="s">
        <v>0</v>
      </c>
      <c r="D56" s="52" t="s">
        <v>1</v>
      </c>
      <c r="E56" s="52" t="s">
        <v>2</v>
      </c>
      <c r="F56" s="52" t="s">
        <v>3</v>
      </c>
      <c r="G56" s="52" t="s">
        <v>4</v>
      </c>
      <c r="H56" s="52" t="s">
        <v>234</v>
      </c>
      <c r="I56" s="52" t="s">
        <v>14</v>
      </c>
      <c r="J56" s="52" t="s">
        <v>235</v>
      </c>
    </row>
    <row r="57" spans="2:10">
      <c r="B57" s="376" t="s">
        <v>480</v>
      </c>
      <c r="C57" s="76">
        <v>45</v>
      </c>
      <c r="D57" s="76">
        <v>11</v>
      </c>
      <c r="E57" s="76">
        <v>29</v>
      </c>
      <c r="F57" s="76">
        <v>190</v>
      </c>
      <c r="G57" s="76">
        <v>1816.1127578620694</v>
      </c>
      <c r="H57" s="390">
        <v>4.6906614282853608E-2</v>
      </c>
      <c r="I57" s="77">
        <v>0.1526315789473684</v>
      </c>
      <c r="J57" s="390">
        <v>0.2583565436118832</v>
      </c>
    </row>
    <row r="58" spans="2:10">
      <c r="B58" s="377" t="s">
        <v>481</v>
      </c>
      <c r="C58" s="74">
        <v>96</v>
      </c>
      <c r="D58" s="74">
        <v>22</v>
      </c>
      <c r="E58" s="74">
        <v>20</v>
      </c>
      <c r="F58" s="74">
        <v>592</v>
      </c>
      <c r="G58" s="74">
        <v>3478.6204813179193</v>
      </c>
      <c r="H58" s="391">
        <v>2.088121309451349E-2</v>
      </c>
      <c r="I58" s="75">
        <v>3.3783783783783793E-2</v>
      </c>
      <c r="J58" s="391">
        <v>4.6686354473054081E-2</v>
      </c>
    </row>
    <row r="59" spans="2:10">
      <c r="B59" s="376" t="s">
        <v>482</v>
      </c>
      <c r="C59" s="76">
        <v>20</v>
      </c>
      <c r="D59" s="76">
        <v>27</v>
      </c>
      <c r="E59" s="76">
        <v>11</v>
      </c>
      <c r="F59" s="76">
        <v>129</v>
      </c>
      <c r="G59" s="76">
        <v>418.11493182722472</v>
      </c>
      <c r="H59" s="390">
        <v>4.1346626073621238E-2</v>
      </c>
      <c r="I59" s="77">
        <v>8.5271317829457363E-2</v>
      </c>
      <c r="J59" s="390">
        <v>0.12919600958529351</v>
      </c>
    </row>
    <row r="60" spans="2:10">
      <c r="B60" s="377" t="s">
        <v>483</v>
      </c>
      <c r="C60" s="74">
        <v>31</v>
      </c>
      <c r="D60" s="74">
        <v>31</v>
      </c>
      <c r="E60" s="74">
        <v>6</v>
      </c>
      <c r="F60" s="74">
        <v>242</v>
      </c>
      <c r="G60" s="74">
        <v>964.97545520919391</v>
      </c>
      <c r="H60" s="391">
        <v>7.5390072086864816E-3</v>
      </c>
      <c r="I60" s="75">
        <v>2.479338842975207E-2</v>
      </c>
      <c r="J60" s="391">
        <v>4.2047769650817649E-2</v>
      </c>
    </row>
    <row r="61" spans="2:10">
      <c r="B61" s="376" t="s">
        <v>484</v>
      </c>
      <c r="C61" s="76">
        <v>276</v>
      </c>
      <c r="D61" s="76">
        <v>31</v>
      </c>
      <c r="E61" s="76">
        <v>58</v>
      </c>
      <c r="F61" s="76">
        <v>1375</v>
      </c>
      <c r="G61" s="76">
        <v>11021.45210389782</v>
      </c>
      <c r="H61" s="390">
        <v>3.0859109019895661E-2</v>
      </c>
      <c r="I61" s="77">
        <v>4.2181818181818181E-2</v>
      </c>
      <c r="J61" s="390">
        <v>5.3504527343740713E-2</v>
      </c>
    </row>
    <row r="62" spans="2:10">
      <c r="B62" s="377" t="s">
        <v>485</v>
      </c>
      <c r="C62" s="74">
        <v>43</v>
      </c>
      <c r="D62" s="74">
        <v>31</v>
      </c>
      <c r="E62" s="74">
        <v>21</v>
      </c>
      <c r="F62" s="74">
        <v>288</v>
      </c>
      <c r="G62" s="74">
        <v>1448.6228875670579</v>
      </c>
      <c r="H62" s="391">
        <v>5.1158628784723957E-2</v>
      </c>
      <c r="I62" s="75">
        <v>7.2916666666666671E-2</v>
      </c>
      <c r="J62" s="391">
        <v>9.4674704548609379E-2</v>
      </c>
    </row>
    <row r="63" spans="2:10">
      <c r="B63" s="376" t="s">
        <v>486</v>
      </c>
      <c r="C63" s="76">
        <v>151</v>
      </c>
      <c r="D63" s="76">
        <v>31</v>
      </c>
      <c r="E63" s="76">
        <v>41</v>
      </c>
      <c r="F63" s="76">
        <v>882</v>
      </c>
      <c r="G63" s="76">
        <v>8161.1472368159602</v>
      </c>
      <c r="H63" s="390">
        <v>3.4474713150676413E-2</v>
      </c>
      <c r="I63" s="77">
        <v>4.6485260770975062E-2</v>
      </c>
      <c r="J63" s="390">
        <v>5.8495808391273697E-2</v>
      </c>
    </row>
    <row r="64" spans="2:10">
      <c r="B64" s="377" t="s">
        <v>487</v>
      </c>
      <c r="C64" s="74">
        <v>84</v>
      </c>
      <c r="D64" s="74">
        <v>26</v>
      </c>
      <c r="E64" s="74">
        <v>16</v>
      </c>
      <c r="F64" s="74">
        <v>543</v>
      </c>
      <c r="G64" s="74">
        <v>1829.9807763113067</v>
      </c>
      <c r="H64" s="391">
        <v>1.482503580337447E-2</v>
      </c>
      <c r="I64" s="75">
        <v>2.9465930018416211E-2</v>
      </c>
      <c r="J64" s="391">
        <v>4.4106824233457943E-2</v>
      </c>
    </row>
    <row r="65" spans="2:10">
      <c r="B65" s="376" t="s">
        <v>488</v>
      </c>
      <c r="C65" s="76">
        <v>25</v>
      </c>
      <c r="D65" s="76">
        <v>31</v>
      </c>
      <c r="E65" s="76">
        <v>6</v>
      </c>
      <c r="F65" s="76">
        <v>134</v>
      </c>
      <c r="G65" s="76">
        <v>459.85731692274675</v>
      </c>
      <c r="H65" s="390">
        <v>9.0322044436194626E-3</v>
      </c>
      <c r="I65" s="77">
        <v>4.4776119402985072E-2</v>
      </c>
      <c r="J65" s="390">
        <v>8.0520034362350681E-2</v>
      </c>
    </row>
    <row r="66" spans="2:10">
      <c r="B66" s="377" t="s">
        <v>489</v>
      </c>
      <c r="C66" s="74">
        <v>299</v>
      </c>
      <c r="D66" s="74">
        <v>28</v>
      </c>
      <c r="E66" s="74">
        <v>40</v>
      </c>
      <c r="F66" s="74">
        <v>1438</v>
      </c>
      <c r="G66" s="74">
        <v>28534.94123057332</v>
      </c>
      <c r="H66" s="391">
        <v>1.9220093855779889E-2</v>
      </c>
      <c r="I66" s="75">
        <v>2.7816411682892912E-2</v>
      </c>
      <c r="J66" s="391">
        <v>3.6412729510005917E-2</v>
      </c>
    </row>
    <row r="67" spans="2:10">
      <c r="B67" s="376" t="s">
        <v>490</v>
      </c>
      <c r="C67" s="76">
        <v>82</v>
      </c>
      <c r="D67" s="76">
        <v>31</v>
      </c>
      <c r="E67" s="76">
        <v>11</v>
      </c>
      <c r="F67" s="76">
        <v>436</v>
      </c>
      <c r="G67" s="76">
        <v>3163.0740136441173</v>
      </c>
      <c r="H67" s="390">
        <v>1.4693008990280179E-2</v>
      </c>
      <c r="I67" s="77">
        <v>2.5229357798165139E-2</v>
      </c>
      <c r="J67" s="390">
        <v>3.5765706606050093E-2</v>
      </c>
    </row>
    <row r="68" spans="2:10">
      <c r="B68" s="377" t="s">
        <v>491</v>
      </c>
      <c r="C68" s="74">
        <v>136</v>
      </c>
      <c r="D68" s="74">
        <v>31</v>
      </c>
      <c r="E68" s="74">
        <v>18</v>
      </c>
      <c r="F68" s="74">
        <v>724</v>
      </c>
      <c r="G68" s="74">
        <v>5413.7387312898836</v>
      </c>
      <c r="H68" s="391">
        <v>1.513356250511576E-2</v>
      </c>
      <c r="I68" s="75">
        <v>2.486187845303867E-2</v>
      </c>
      <c r="J68" s="391">
        <v>3.4590194400961588E-2</v>
      </c>
    </row>
    <row r="69" spans="2:10">
      <c r="B69" s="376" t="s">
        <v>492</v>
      </c>
      <c r="C69" s="76">
        <v>83</v>
      </c>
      <c r="D69" s="76">
        <v>31</v>
      </c>
      <c r="E69" s="76">
        <v>24</v>
      </c>
      <c r="F69" s="76">
        <v>440</v>
      </c>
      <c r="G69" s="76">
        <v>3618.1224444386771</v>
      </c>
      <c r="H69" s="390">
        <v>3.055420686733883E-2</v>
      </c>
      <c r="I69" s="77">
        <v>5.4545454545454543E-2</v>
      </c>
      <c r="J69" s="390">
        <v>7.8536702223570259E-2</v>
      </c>
    </row>
    <row r="70" spans="2:10">
      <c r="B70" s="377" t="s">
        <v>493</v>
      </c>
      <c r="C70" s="74">
        <v>137</v>
      </c>
      <c r="D70" s="74">
        <v>31</v>
      </c>
      <c r="E70" s="74">
        <v>42</v>
      </c>
      <c r="F70" s="74">
        <v>918</v>
      </c>
      <c r="G70" s="74">
        <v>3905.9633218063755</v>
      </c>
      <c r="H70" s="391">
        <v>1.7112676763228762E-2</v>
      </c>
      <c r="I70" s="75">
        <v>4.5751633986928102E-2</v>
      </c>
      <c r="J70" s="391">
        <v>7.4390591210627438E-2</v>
      </c>
    </row>
    <row r="71" spans="2:10">
      <c r="B71" s="376" t="s">
        <v>494</v>
      </c>
      <c r="C71" s="76">
        <v>187</v>
      </c>
      <c r="D71" s="76">
        <v>31</v>
      </c>
      <c r="E71" s="76">
        <v>16</v>
      </c>
      <c r="F71" s="76">
        <v>968</v>
      </c>
      <c r="G71" s="76">
        <v>10664.326925117583</v>
      </c>
      <c r="H71" s="390">
        <v>9.0823722982990556E-3</v>
      </c>
      <c r="I71" s="77">
        <v>1.6528925619834711E-2</v>
      </c>
      <c r="J71" s="390">
        <v>2.3975478941370369E-2</v>
      </c>
    </row>
    <row r="72" spans="2:10">
      <c r="B72" s="377" t="s">
        <v>122</v>
      </c>
      <c r="C72" s="74">
        <v>31</v>
      </c>
      <c r="D72" s="74">
        <v>27</v>
      </c>
      <c r="E72" s="74">
        <v>16</v>
      </c>
      <c r="F72" s="74">
        <v>171</v>
      </c>
      <c r="G72" s="74">
        <v>415.6613892351171</v>
      </c>
      <c r="H72" s="391">
        <v>4.3897173889058942E-2</v>
      </c>
      <c r="I72" s="75">
        <v>9.3567251461988299E-2</v>
      </c>
      <c r="J72" s="391">
        <v>0.14323732903491759</v>
      </c>
    </row>
    <row r="73" spans="2:10">
      <c r="B73" s="376" t="s">
        <v>495</v>
      </c>
      <c r="C73" s="76">
        <v>64</v>
      </c>
      <c r="D73" s="76">
        <v>18</v>
      </c>
      <c r="E73" s="76">
        <v>1</v>
      </c>
      <c r="F73" s="76">
        <v>332</v>
      </c>
      <c r="G73" s="76">
        <v>2750.4951800755312</v>
      </c>
      <c r="H73" s="390">
        <v>0</v>
      </c>
      <c r="I73" s="77">
        <v>3.0120481927710841E-3</v>
      </c>
      <c r="J73" s="390">
        <v>6.8248673054279643E-3</v>
      </c>
    </row>
    <row r="74" spans="2:10">
      <c r="B74" s="377" t="s">
        <v>496</v>
      </c>
      <c r="C74" s="74">
        <v>358</v>
      </c>
      <c r="D74" s="74">
        <v>31</v>
      </c>
      <c r="E74" s="74">
        <v>54</v>
      </c>
      <c r="F74" s="74">
        <v>1738</v>
      </c>
      <c r="G74" s="74">
        <v>18686.379130398607</v>
      </c>
      <c r="H74" s="391">
        <v>2.4428477774510231E-2</v>
      </c>
      <c r="I74" s="75">
        <v>3.1070195627157651E-2</v>
      </c>
      <c r="J74" s="391">
        <v>3.7711913479805077E-2</v>
      </c>
    </row>
    <row r="75" spans="2:10">
      <c r="B75" s="376" t="s">
        <v>497</v>
      </c>
      <c r="C75" s="76">
        <v>202</v>
      </c>
      <c r="D75" s="76">
        <v>31</v>
      </c>
      <c r="E75" s="76">
        <v>12</v>
      </c>
      <c r="F75" s="76">
        <v>1206</v>
      </c>
      <c r="G75" s="76">
        <v>8605.285776853907</v>
      </c>
      <c r="H75" s="390">
        <v>4.4283069494908288E-3</v>
      </c>
      <c r="I75" s="77">
        <v>9.9502487562189053E-3</v>
      </c>
      <c r="J75" s="390">
        <v>1.5472190562946979E-2</v>
      </c>
    </row>
    <row r="76" spans="2:10">
      <c r="B76" s="377" t="s">
        <v>498</v>
      </c>
      <c r="C76" s="74">
        <v>131</v>
      </c>
      <c r="D76" s="74">
        <v>23</v>
      </c>
      <c r="E76" s="74">
        <v>16</v>
      </c>
      <c r="F76" s="74">
        <v>880</v>
      </c>
      <c r="G76" s="74">
        <v>7471.8321159387806</v>
      </c>
      <c r="H76" s="391">
        <v>1.03297970519758E-2</v>
      </c>
      <c r="I76" s="75">
        <v>1.8181818181818181E-2</v>
      </c>
      <c r="J76" s="391">
        <v>2.6033839311660562E-2</v>
      </c>
    </row>
    <row r="77" spans="2:10">
      <c r="B77" s="376" t="s">
        <v>128</v>
      </c>
      <c r="C77" s="76">
        <v>430</v>
      </c>
      <c r="D77" s="76">
        <v>31</v>
      </c>
      <c r="E77" s="76">
        <v>58</v>
      </c>
      <c r="F77" s="76">
        <v>2429</v>
      </c>
      <c r="G77" s="76">
        <v>15251.228193625866</v>
      </c>
      <c r="H77" s="390">
        <v>1.248787258527932E-2</v>
      </c>
      <c r="I77" s="77">
        <v>2.387813915191437E-2</v>
      </c>
      <c r="J77" s="390">
        <v>3.5268405718549417E-2</v>
      </c>
    </row>
    <row r="78" spans="2:10">
      <c r="B78" s="377" t="s">
        <v>499</v>
      </c>
      <c r="C78" s="74">
        <v>35</v>
      </c>
      <c r="D78" s="74">
        <v>19</v>
      </c>
      <c r="E78" s="74">
        <v>14</v>
      </c>
      <c r="F78" s="74">
        <v>200</v>
      </c>
      <c r="G78" s="74">
        <v>362.55638520986645</v>
      </c>
      <c r="H78" s="391">
        <v>2.3544902448826389E-2</v>
      </c>
      <c r="I78" s="75">
        <v>7.0000000000000007E-2</v>
      </c>
      <c r="J78" s="391">
        <v>0.1164550975511736</v>
      </c>
    </row>
    <row r="79" spans="2:10">
      <c r="B79" s="376" t="s">
        <v>500</v>
      </c>
      <c r="C79" s="76">
        <v>35</v>
      </c>
      <c r="D79" s="76">
        <v>31</v>
      </c>
      <c r="E79" s="76">
        <v>2</v>
      </c>
      <c r="F79" s="76">
        <v>225</v>
      </c>
      <c r="G79" s="76">
        <v>762.75547892874238</v>
      </c>
      <c r="H79" s="390">
        <v>0</v>
      </c>
      <c r="I79" s="77">
        <v>8.8888888888888889E-3</v>
      </c>
      <c r="J79" s="390">
        <v>1.9733019121130992E-2</v>
      </c>
    </row>
    <row r="80" spans="2:10">
      <c r="B80" s="377" t="s">
        <v>501</v>
      </c>
      <c r="C80" s="74">
        <v>32</v>
      </c>
      <c r="D80" s="74">
        <v>30</v>
      </c>
      <c r="E80" s="74">
        <v>1</v>
      </c>
      <c r="F80" s="74">
        <v>250</v>
      </c>
      <c r="G80" s="74">
        <v>1653.0370069757028</v>
      </c>
      <c r="H80" s="391">
        <v>0</v>
      </c>
      <c r="I80" s="75">
        <v>4.0000000000000001E-3</v>
      </c>
      <c r="J80" s="391">
        <v>9.985942152099022E-3</v>
      </c>
    </row>
    <row r="81" spans="2:10">
      <c r="B81" s="376" t="s">
        <v>502</v>
      </c>
      <c r="C81" s="76">
        <v>101</v>
      </c>
      <c r="D81" s="76">
        <v>31</v>
      </c>
      <c r="E81" s="76">
        <v>50</v>
      </c>
      <c r="F81" s="76">
        <v>684</v>
      </c>
      <c r="G81" s="76">
        <v>2197.0205405034008</v>
      </c>
      <c r="H81" s="390">
        <v>5.5283190222153111E-2</v>
      </c>
      <c r="I81" s="77">
        <v>7.3099415204678359E-2</v>
      </c>
      <c r="J81" s="390">
        <v>9.0915640187203606E-2</v>
      </c>
    </row>
    <row r="82" spans="2:10">
      <c r="B82" s="377" t="s">
        <v>503</v>
      </c>
      <c r="C82" s="74">
        <v>97</v>
      </c>
      <c r="D82" s="74">
        <v>30</v>
      </c>
      <c r="E82" s="74">
        <v>1</v>
      </c>
      <c r="F82" s="74">
        <v>611</v>
      </c>
      <c r="G82" s="74">
        <v>2844.4034211030748</v>
      </c>
      <c r="H82" s="391">
        <v>1.074438280326837E-4</v>
      </c>
      <c r="I82" s="75">
        <v>1.6366612111292961E-3</v>
      </c>
      <c r="J82" s="391">
        <v>3.1658785942259089E-3</v>
      </c>
    </row>
    <row r="83" spans="2:10">
      <c r="B83" s="376" t="s">
        <v>504</v>
      </c>
      <c r="C83" s="76">
        <v>27</v>
      </c>
      <c r="D83" s="76">
        <v>31</v>
      </c>
      <c r="E83" s="76">
        <v>10</v>
      </c>
      <c r="F83" s="76">
        <v>160</v>
      </c>
      <c r="G83" s="76">
        <v>1042.2436575559852</v>
      </c>
      <c r="H83" s="390">
        <v>3.2966043505367387E-2</v>
      </c>
      <c r="I83" s="77">
        <v>6.25E-2</v>
      </c>
      <c r="J83" s="390">
        <v>9.2033956494632613E-2</v>
      </c>
    </row>
    <row r="84" spans="2:10">
      <c r="B84" s="377" t="s">
        <v>505</v>
      </c>
      <c r="C84" s="74">
        <v>67</v>
      </c>
      <c r="D84" s="74">
        <v>31</v>
      </c>
      <c r="E84" s="74">
        <v>11</v>
      </c>
      <c r="F84" s="74">
        <v>385</v>
      </c>
      <c r="G84" s="74">
        <v>3873.7515904178649</v>
      </c>
      <c r="H84" s="391">
        <v>1.1378137194254789E-2</v>
      </c>
      <c r="I84" s="75">
        <v>2.8571428571428571E-2</v>
      </c>
      <c r="J84" s="391">
        <v>4.5764719948602359E-2</v>
      </c>
    </row>
    <row r="85" spans="2:10">
      <c r="B85" s="376" t="s">
        <v>506</v>
      </c>
      <c r="C85" s="76">
        <v>70</v>
      </c>
      <c r="D85" s="76">
        <v>27</v>
      </c>
      <c r="E85" s="76">
        <v>18</v>
      </c>
      <c r="F85" s="76">
        <v>409</v>
      </c>
      <c r="G85" s="76">
        <v>402.42714942650105</v>
      </c>
      <c r="H85" s="390">
        <v>2.7573284354985701E-2</v>
      </c>
      <c r="I85" s="77">
        <v>4.4009779951100253E-2</v>
      </c>
      <c r="J85" s="390">
        <v>6.0446275547214802E-2</v>
      </c>
    </row>
    <row r="86" spans="2:10">
      <c r="B86" s="377" t="s">
        <v>507</v>
      </c>
      <c r="C86" s="74">
        <v>44</v>
      </c>
      <c r="D86" s="74">
        <v>22</v>
      </c>
      <c r="E86" s="74">
        <v>30</v>
      </c>
      <c r="F86" s="74">
        <v>220</v>
      </c>
      <c r="G86" s="74">
        <v>227.77819199999999</v>
      </c>
      <c r="H86" s="391">
        <v>6.7698126789772772E-2</v>
      </c>
      <c r="I86" s="75">
        <v>0.13636363636363641</v>
      </c>
      <c r="J86" s="391">
        <v>0.20502914593749991</v>
      </c>
    </row>
    <row r="87" spans="2:10">
      <c r="B87" s="376" t="s">
        <v>508</v>
      </c>
      <c r="C87" s="76">
        <v>79</v>
      </c>
      <c r="D87" s="76">
        <v>31</v>
      </c>
      <c r="E87" s="76">
        <v>14</v>
      </c>
      <c r="F87" s="76">
        <v>630</v>
      </c>
      <c r="G87" s="76">
        <v>6111.8668152723649</v>
      </c>
      <c r="H87" s="390">
        <v>1.217693056084043E-2</v>
      </c>
      <c r="I87" s="77">
        <v>2.222222222222222E-2</v>
      </c>
      <c r="J87" s="390">
        <v>3.2267513883604007E-2</v>
      </c>
    </row>
    <row r="88" spans="2:10">
      <c r="B88" s="377" t="s">
        <v>129</v>
      </c>
      <c r="C88" s="74">
        <v>467</v>
      </c>
      <c r="D88" s="74">
        <v>31</v>
      </c>
      <c r="E88" s="74">
        <v>63</v>
      </c>
      <c r="F88" s="74">
        <v>2893</v>
      </c>
      <c r="G88" s="74">
        <v>38023.494532672739</v>
      </c>
      <c r="H88" s="391">
        <v>1.4989155663707491E-2</v>
      </c>
      <c r="I88" s="75">
        <v>2.17767023850674E-2</v>
      </c>
      <c r="J88" s="391">
        <v>2.8564249106427322E-2</v>
      </c>
    </row>
    <row r="89" spans="2:10">
      <c r="B89" s="376" t="s">
        <v>509</v>
      </c>
      <c r="C89" s="76">
        <v>21</v>
      </c>
      <c r="D89" s="76">
        <v>28</v>
      </c>
      <c r="E89" s="76">
        <v>8</v>
      </c>
      <c r="F89" s="76">
        <v>119</v>
      </c>
      <c r="G89" s="76">
        <v>625.83663281544773</v>
      </c>
      <c r="H89" s="390">
        <v>2.1382003300451629E-2</v>
      </c>
      <c r="I89" s="77">
        <v>6.7226890756302518E-2</v>
      </c>
      <c r="J89" s="390">
        <v>0.1130717782121534</v>
      </c>
    </row>
    <row r="90" spans="2:10">
      <c r="B90" s="377" t="s">
        <v>510</v>
      </c>
      <c r="C90" s="74">
        <v>65</v>
      </c>
      <c r="D90" s="74">
        <v>31</v>
      </c>
      <c r="E90" s="74">
        <v>22</v>
      </c>
      <c r="F90" s="74">
        <v>337</v>
      </c>
      <c r="G90" s="74">
        <v>1738.1965668858468</v>
      </c>
      <c r="H90" s="391">
        <v>3.6546261556063858E-2</v>
      </c>
      <c r="I90" s="75">
        <v>6.5281899109792291E-2</v>
      </c>
      <c r="J90" s="391">
        <v>9.4017536663520723E-2</v>
      </c>
    </row>
    <row r="91" spans="2:10">
      <c r="B91" s="376" t="s">
        <v>511</v>
      </c>
      <c r="C91" s="76">
        <v>316</v>
      </c>
      <c r="D91" s="76">
        <v>29</v>
      </c>
      <c r="E91" s="76">
        <v>117</v>
      </c>
      <c r="F91" s="76">
        <v>1660</v>
      </c>
      <c r="G91" s="76">
        <v>10896.081056016123</v>
      </c>
      <c r="H91" s="390">
        <v>3.9393334482380429E-2</v>
      </c>
      <c r="I91" s="77">
        <v>7.048192771084337E-2</v>
      </c>
      <c r="J91" s="390">
        <v>0.1015705209393063</v>
      </c>
    </row>
    <row r="92" spans="2:10">
      <c r="B92" s="377" t="s">
        <v>512</v>
      </c>
      <c r="C92" s="74">
        <v>77</v>
      </c>
      <c r="D92" s="74">
        <v>31</v>
      </c>
      <c r="E92" s="74">
        <v>20</v>
      </c>
      <c r="F92" s="74">
        <v>505</v>
      </c>
      <c r="G92" s="74">
        <v>1462.8428068260916</v>
      </c>
      <c r="H92" s="391">
        <v>2.1917891424766009E-2</v>
      </c>
      <c r="I92" s="75">
        <v>3.9603960396039598E-2</v>
      </c>
      <c r="J92" s="391">
        <v>5.72900293673132E-2</v>
      </c>
    </row>
    <row r="93" spans="2:10">
      <c r="B93" s="376" t="s">
        <v>513</v>
      </c>
      <c r="C93" s="76">
        <v>52</v>
      </c>
      <c r="D93" s="76">
        <v>31</v>
      </c>
      <c r="E93" s="76">
        <v>7</v>
      </c>
      <c r="F93" s="76">
        <v>316</v>
      </c>
      <c r="G93" s="76">
        <v>1972.6853459883055</v>
      </c>
      <c r="H93" s="390">
        <v>0</v>
      </c>
      <c r="I93" s="77">
        <v>2.2151898734177219E-2</v>
      </c>
      <c r="J93" s="390">
        <v>5.1471672926305383E-2</v>
      </c>
    </row>
    <row r="94" spans="2:10">
      <c r="B94" s="377" t="s">
        <v>514</v>
      </c>
      <c r="C94" s="74">
        <v>108</v>
      </c>
      <c r="D94" s="74">
        <v>31</v>
      </c>
      <c r="E94" s="74">
        <v>20</v>
      </c>
      <c r="F94" s="74">
        <v>393</v>
      </c>
      <c r="G94" s="74">
        <v>2696.5587578369414</v>
      </c>
      <c r="H94" s="391">
        <v>2.2399385044772749E-2</v>
      </c>
      <c r="I94" s="75">
        <v>5.0890585241730277E-2</v>
      </c>
      <c r="J94" s="391">
        <v>7.9381785438687805E-2</v>
      </c>
    </row>
    <row r="95" spans="2:10">
      <c r="B95" s="376" t="s">
        <v>515</v>
      </c>
      <c r="C95" s="76">
        <v>23</v>
      </c>
      <c r="D95" s="76">
        <v>26</v>
      </c>
      <c r="E95" s="76">
        <v>8</v>
      </c>
      <c r="F95" s="76">
        <v>132</v>
      </c>
      <c r="G95" s="76">
        <v>646.13180901594558</v>
      </c>
      <c r="H95" s="390">
        <v>1.9288913070917631E-2</v>
      </c>
      <c r="I95" s="77">
        <v>6.0606060606060608E-2</v>
      </c>
      <c r="J95" s="390">
        <v>0.10192320814120361</v>
      </c>
    </row>
    <row r="96" spans="2:10">
      <c r="B96" s="377" t="s">
        <v>130</v>
      </c>
      <c r="C96" s="74">
        <v>109</v>
      </c>
      <c r="D96" s="74">
        <v>30</v>
      </c>
      <c r="E96" s="74">
        <v>15</v>
      </c>
      <c r="F96" s="74">
        <v>469</v>
      </c>
      <c r="G96" s="74">
        <v>4744.6128646486286</v>
      </c>
      <c r="H96" s="391">
        <v>1.41604813741339E-2</v>
      </c>
      <c r="I96" s="75">
        <v>3.1982942430703633E-2</v>
      </c>
      <c r="J96" s="391">
        <v>4.9805403487273338E-2</v>
      </c>
    </row>
    <row r="97" spans="2:10">
      <c r="B97" s="376" t="s">
        <v>516</v>
      </c>
      <c r="C97" s="76">
        <v>38</v>
      </c>
      <c r="D97" s="76">
        <v>19</v>
      </c>
      <c r="E97" s="76">
        <v>5</v>
      </c>
      <c r="F97" s="76">
        <v>235</v>
      </c>
      <c r="G97" s="76">
        <v>429.80447069999684</v>
      </c>
      <c r="H97" s="390">
        <v>4.4061534457420538E-3</v>
      </c>
      <c r="I97" s="77">
        <v>2.1276595744680851E-2</v>
      </c>
      <c r="J97" s="390">
        <v>3.8147038043619637E-2</v>
      </c>
    </row>
    <row r="98" spans="2:10">
      <c r="B98" s="377" t="s">
        <v>517</v>
      </c>
      <c r="C98" s="74">
        <v>186</v>
      </c>
      <c r="D98" s="74">
        <v>27</v>
      </c>
      <c r="E98" s="74">
        <v>26</v>
      </c>
      <c r="F98" s="74">
        <v>1148</v>
      </c>
      <c r="G98" s="74">
        <v>29481.349731252809</v>
      </c>
      <c r="H98" s="391">
        <v>1.4719961224456551E-2</v>
      </c>
      <c r="I98" s="75">
        <v>2.2648083623693381E-2</v>
      </c>
      <c r="J98" s="391">
        <v>3.0576206022930211E-2</v>
      </c>
    </row>
    <row r="99" spans="2:10">
      <c r="B99" s="376" t="s">
        <v>518</v>
      </c>
      <c r="C99" s="76">
        <v>68</v>
      </c>
      <c r="D99" s="76">
        <v>31</v>
      </c>
      <c r="E99" s="76">
        <v>29</v>
      </c>
      <c r="F99" s="76">
        <v>390</v>
      </c>
      <c r="G99" s="76">
        <v>1594.5125151560596</v>
      </c>
      <c r="H99" s="390">
        <v>5.205537459432126E-2</v>
      </c>
      <c r="I99" s="77">
        <v>7.4358974358974358E-2</v>
      </c>
      <c r="J99" s="390">
        <v>9.6662574123627457E-2</v>
      </c>
    </row>
    <row r="100" spans="2:10">
      <c r="B100" s="377" t="s">
        <v>519</v>
      </c>
      <c r="C100" s="74">
        <v>41</v>
      </c>
      <c r="D100" s="74">
        <v>31</v>
      </c>
      <c r="E100" s="74">
        <v>13</v>
      </c>
      <c r="F100" s="74">
        <v>190</v>
      </c>
      <c r="G100" s="74">
        <v>2944.0994853552861</v>
      </c>
      <c r="H100" s="391">
        <v>3.57233546127586E-2</v>
      </c>
      <c r="I100" s="75">
        <v>6.8421052631578952E-2</v>
      </c>
      <c r="J100" s="391">
        <v>0.1011187506503993</v>
      </c>
    </row>
    <row r="101" spans="2:10" hidden="1" outlineLevel="1">
      <c r="B101" s="376" t="s">
        <v>520</v>
      </c>
      <c r="C101" s="76" t="e">
        <v>#N/A</v>
      </c>
      <c r="D101" s="76" t="e">
        <v>#N/A</v>
      </c>
      <c r="E101" s="76" t="e">
        <v>#N/A</v>
      </c>
      <c r="F101" s="76" t="e">
        <v>#N/A</v>
      </c>
      <c r="G101" s="76" t="e">
        <v>#N/A</v>
      </c>
      <c r="H101" s="390" t="e">
        <v>#N/A</v>
      </c>
      <c r="I101" s="77" t="e">
        <v>#N/A</v>
      </c>
      <c r="J101" s="390" t="e">
        <v>#N/A</v>
      </c>
    </row>
    <row r="102" spans="2:10" hidden="1" outlineLevel="1">
      <c r="B102" s="377" t="s">
        <v>520</v>
      </c>
      <c r="C102" s="74" t="e">
        <v>#N/A</v>
      </c>
      <c r="D102" s="74" t="e">
        <v>#N/A</v>
      </c>
      <c r="E102" s="74" t="e">
        <v>#N/A</v>
      </c>
      <c r="F102" s="74" t="e">
        <v>#N/A</v>
      </c>
      <c r="G102" s="74" t="e">
        <v>#N/A</v>
      </c>
      <c r="H102" s="391" t="e">
        <v>#N/A</v>
      </c>
      <c r="I102" s="75" t="e">
        <v>#N/A</v>
      </c>
      <c r="J102" s="391" t="e">
        <v>#N/A</v>
      </c>
    </row>
    <row r="103" spans="2:10" hidden="1" outlineLevel="1">
      <c r="B103" s="376" t="s">
        <v>520</v>
      </c>
      <c r="C103" s="76" t="e">
        <v>#N/A</v>
      </c>
      <c r="D103" s="76" t="e">
        <v>#N/A</v>
      </c>
      <c r="E103" s="76" t="e">
        <v>#N/A</v>
      </c>
      <c r="F103" s="76" t="e">
        <v>#N/A</v>
      </c>
      <c r="G103" s="76" t="e">
        <v>#N/A</v>
      </c>
      <c r="H103" s="390" t="e">
        <v>#N/A</v>
      </c>
      <c r="I103" s="77" t="e">
        <v>#N/A</v>
      </c>
      <c r="J103" s="390" t="e">
        <v>#N/A</v>
      </c>
    </row>
    <row r="104" spans="2:10" hidden="1" outlineLevel="1">
      <c r="B104" s="376" t="s">
        <v>520</v>
      </c>
      <c r="C104" s="76" t="e">
        <v>#N/A</v>
      </c>
      <c r="D104" s="76" t="e">
        <v>#N/A</v>
      </c>
      <c r="E104" s="76" t="e">
        <v>#N/A</v>
      </c>
      <c r="F104" s="76" t="e">
        <v>#N/A</v>
      </c>
      <c r="G104" s="76" t="e">
        <v>#N/A</v>
      </c>
      <c r="H104" s="390" t="e">
        <v>#N/A</v>
      </c>
      <c r="I104" s="77" t="e">
        <v>#N/A</v>
      </c>
      <c r="J104" s="390" t="e">
        <v>#N/A</v>
      </c>
    </row>
    <row r="105" spans="2:10" hidden="1" outlineLevel="1">
      <c r="B105" s="376" t="s">
        <v>520</v>
      </c>
      <c r="C105" s="76" t="e">
        <v>#N/A</v>
      </c>
      <c r="D105" s="76" t="e">
        <v>#N/A</v>
      </c>
      <c r="E105" s="76" t="e">
        <v>#N/A</v>
      </c>
      <c r="F105" s="76" t="e">
        <v>#N/A</v>
      </c>
      <c r="G105" s="76" t="e">
        <v>#N/A</v>
      </c>
      <c r="H105" s="390" t="e">
        <v>#N/A</v>
      </c>
      <c r="I105" s="77" t="e">
        <v>#N/A</v>
      </c>
      <c r="J105" s="390" t="e">
        <v>#N/A</v>
      </c>
    </row>
    <row r="106" spans="2:10" hidden="1" outlineLevel="1">
      <c r="B106" s="376" t="s">
        <v>520</v>
      </c>
      <c r="C106" s="76" t="e">
        <v>#N/A</v>
      </c>
      <c r="D106" s="76" t="e">
        <v>#N/A</v>
      </c>
      <c r="E106" s="76" t="e">
        <v>#N/A</v>
      </c>
      <c r="F106" s="76" t="e">
        <v>#N/A</v>
      </c>
      <c r="G106" s="76" t="e">
        <v>#N/A</v>
      </c>
      <c r="H106" s="390" t="e">
        <v>#N/A</v>
      </c>
      <c r="I106" s="77" t="e">
        <v>#N/A</v>
      </c>
      <c r="J106" s="390" t="e">
        <v>#N/A</v>
      </c>
    </row>
    <row r="107" spans="2:10" hidden="1" outlineLevel="1">
      <c r="B107" s="376" t="s">
        <v>520</v>
      </c>
      <c r="C107" s="76" t="e">
        <v>#N/A</v>
      </c>
      <c r="D107" s="76" t="e">
        <v>#N/A</v>
      </c>
      <c r="E107" s="76" t="e">
        <v>#N/A</v>
      </c>
      <c r="F107" s="76" t="e">
        <v>#N/A</v>
      </c>
      <c r="G107" s="76" t="e">
        <v>#N/A</v>
      </c>
      <c r="H107" s="390" t="e">
        <v>#N/A</v>
      </c>
      <c r="I107" s="77" t="e">
        <v>#N/A</v>
      </c>
      <c r="J107" s="390" t="e">
        <v>#N/A</v>
      </c>
    </row>
    <row r="108" spans="2:10" hidden="1" outlineLevel="1">
      <c r="B108" s="376" t="s">
        <v>520</v>
      </c>
      <c r="C108" s="76" t="e">
        <v>#N/A</v>
      </c>
      <c r="D108" s="76" t="e">
        <v>#N/A</v>
      </c>
      <c r="E108" s="76" t="e">
        <v>#N/A</v>
      </c>
      <c r="F108" s="76" t="e">
        <v>#N/A</v>
      </c>
      <c r="G108" s="76" t="e">
        <v>#N/A</v>
      </c>
      <c r="H108" s="390" t="e">
        <v>#N/A</v>
      </c>
      <c r="I108" s="77" t="e">
        <v>#N/A</v>
      </c>
      <c r="J108" s="390" t="e">
        <v>#N/A</v>
      </c>
    </row>
    <row r="109" spans="2:10" hidden="1" outlineLevel="1">
      <c r="B109" s="376" t="s">
        <v>520</v>
      </c>
      <c r="C109" s="76" t="e">
        <v>#N/A</v>
      </c>
      <c r="D109" s="76" t="e">
        <v>#N/A</v>
      </c>
      <c r="E109" s="76" t="e">
        <v>#N/A</v>
      </c>
      <c r="F109" s="76" t="e">
        <v>#N/A</v>
      </c>
      <c r="G109" s="76" t="e">
        <v>#N/A</v>
      </c>
      <c r="H109" s="390" t="e">
        <v>#N/A</v>
      </c>
      <c r="I109" s="77" t="e">
        <v>#N/A</v>
      </c>
      <c r="J109" s="390" t="e">
        <v>#N/A</v>
      </c>
    </row>
    <row r="110" spans="2:10" hidden="1" outlineLevel="1">
      <c r="B110" s="376" t="s">
        <v>520</v>
      </c>
      <c r="C110" s="76" t="e">
        <v>#N/A</v>
      </c>
      <c r="D110" s="76" t="e">
        <v>#N/A</v>
      </c>
      <c r="E110" s="76" t="e">
        <v>#N/A</v>
      </c>
      <c r="F110" s="76" t="e">
        <v>#N/A</v>
      </c>
      <c r="G110" s="76" t="e">
        <v>#N/A</v>
      </c>
      <c r="H110" s="390" t="e">
        <v>#N/A</v>
      </c>
      <c r="I110" s="77" t="e">
        <v>#N/A</v>
      </c>
      <c r="J110" s="390" t="e">
        <v>#N/A</v>
      </c>
    </row>
    <row r="111" spans="2:10" hidden="1" outlineLevel="1">
      <c r="B111" s="376" t="s">
        <v>520</v>
      </c>
      <c r="C111" s="76" t="e">
        <v>#N/A</v>
      </c>
      <c r="D111" s="76" t="e">
        <v>#N/A</v>
      </c>
      <c r="E111" s="76" t="e">
        <v>#N/A</v>
      </c>
      <c r="F111" s="76" t="e">
        <v>#N/A</v>
      </c>
      <c r="G111" s="76" t="e">
        <v>#N/A</v>
      </c>
      <c r="H111" s="390" t="e">
        <v>#N/A</v>
      </c>
      <c r="I111" s="77" t="e">
        <v>#N/A</v>
      </c>
      <c r="J111" s="390" t="e">
        <v>#N/A</v>
      </c>
    </row>
    <row r="112" spans="2:10" hidden="1" outlineLevel="1">
      <c r="B112" s="376" t="s">
        <v>520</v>
      </c>
      <c r="C112" s="76" t="e">
        <v>#N/A</v>
      </c>
      <c r="D112" s="76" t="e">
        <v>#N/A</v>
      </c>
      <c r="E112" s="76" t="e">
        <v>#N/A</v>
      </c>
      <c r="F112" s="76" t="e">
        <v>#N/A</v>
      </c>
      <c r="G112" s="76" t="e">
        <v>#N/A</v>
      </c>
      <c r="H112" s="390" t="e">
        <v>#N/A</v>
      </c>
      <c r="I112" s="77" t="e">
        <v>#N/A</v>
      </c>
      <c r="J112" s="390" t="e">
        <v>#N/A</v>
      </c>
    </row>
    <row r="113" spans="2:10" hidden="1" outlineLevel="1">
      <c r="B113" s="376" t="s">
        <v>520</v>
      </c>
      <c r="C113" s="76" t="e">
        <v>#N/A</v>
      </c>
      <c r="D113" s="76" t="e">
        <v>#N/A</v>
      </c>
      <c r="E113" s="76" t="e">
        <v>#N/A</v>
      </c>
      <c r="F113" s="76" t="e">
        <v>#N/A</v>
      </c>
      <c r="G113" s="76" t="e">
        <v>#N/A</v>
      </c>
      <c r="H113" s="390" t="e">
        <v>#N/A</v>
      </c>
      <c r="I113" s="77" t="e">
        <v>#N/A</v>
      </c>
      <c r="J113" s="390" t="e">
        <v>#N/A</v>
      </c>
    </row>
    <row r="114" spans="2:10" hidden="1" outlineLevel="1">
      <c r="B114" s="376" t="s">
        <v>520</v>
      </c>
      <c r="C114" s="76" t="e">
        <v>#N/A</v>
      </c>
      <c r="D114" s="76" t="e">
        <v>#N/A</v>
      </c>
      <c r="E114" s="76" t="e">
        <v>#N/A</v>
      </c>
      <c r="F114" s="76" t="e">
        <v>#N/A</v>
      </c>
      <c r="G114" s="76" t="e">
        <v>#N/A</v>
      </c>
      <c r="H114" s="390" t="e">
        <v>#N/A</v>
      </c>
      <c r="I114" s="77" t="e">
        <v>#N/A</v>
      </c>
      <c r="J114" s="390" t="e">
        <v>#N/A</v>
      </c>
    </row>
    <row r="115" spans="2:10" hidden="1" outlineLevel="1">
      <c r="B115" s="376" t="s">
        <v>520</v>
      </c>
      <c r="C115" s="76" t="e">
        <v>#N/A</v>
      </c>
      <c r="D115" s="76" t="e">
        <v>#N/A</v>
      </c>
      <c r="E115" s="76" t="e">
        <v>#N/A</v>
      </c>
      <c r="F115" s="76" t="e">
        <v>#N/A</v>
      </c>
      <c r="G115" s="76" t="e">
        <v>#N/A</v>
      </c>
      <c r="H115" s="390" t="e">
        <v>#N/A</v>
      </c>
      <c r="I115" s="77" t="e">
        <v>#N/A</v>
      </c>
      <c r="J115" s="390" t="e">
        <v>#N/A</v>
      </c>
    </row>
    <row r="116" spans="2:10" hidden="1" outlineLevel="1">
      <c r="B116" s="376" t="s">
        <v>520</v>
      </c>
      <c r="C116" s="76" t="e">
        <v>#N/A</v>
      </c>
      <c r="D116" s="76" t="e">
        <v>#N/A</v>
      </c>
      <c r="E116" s="76" t="e">
        <v>#N/A</v>
      </c>
      <c r="F116" s="76" t="e">
        <v>#N/A</v>
      </c>
      <c r="G116" s="76" t="e">
        <v>#N/A</v>
      </c>
      <c r="H116" s="390" t="e">
        <v>#N/A</v>
      </c>
      <c r="I116" s="77" t="e">
        <v>#N/A</v>
      </c>
      <c r="J116" s="390" t="e">
        <v>#N/A</v>
      </c>
    </row>
    <row r="117" spans="2:10" hidden="1" outlineLevel="1">
      <c r="B117" s="376" t="s">
        <v>520</v>
      </c>
      <c r="C117" s="76" t="e">
        <v>#N/A</v>
      </c>
      <c r="D117" s="76" t="e">
        <v>#N/A</v>
      </c>
      <c r="E117" s="76" t="e">
        <v>#N/A</v>
      </c>
      <c r="F117" s="76" t="e">
        <v>#N/A</v>
      </c>
      <c r="G117" s="76" t="e">
        <v>#N/A</v>
      </c>
      <c r="H117" s="390" t="e">
        <v>#N/A</v>
      </c>
      <c r="I117" s="77" t="e">
        <v>#N/A</v>
      </c>
      <c r="J117" s="390" t="e">
        <v>#N/A</v>
      </c>
    </row>
    <row r="118" spans="2:10" hidden="1" outlineLevel="1">
      <c r="B118" s="376" t="s">
        <v>520</v>
      </c>
      <c r="C118" s="76" t="e">
        <v>#N/A</v>
      </c>
      <c r="D118" s="76" t="e">
        <v>#N/A</v>
      </c>
      <c r="E118" s="76" t="e">
        <v>#N/A</v>
      </c>
      <c r="F118" s="76" t="e">
        <v>#N/A</v>
      </c>
      <c r="G118" s="76" t="e">
        <v>#N/A</v>
      </c>
      <c r="H118" s="390" t="e">
        <v>#N/A</v>
      </c>
      <c r="I118" s="77" t="e">
        <v>#N/A</v>
      </c>
      <c r="J118" s="390" t="e">
        <v>#N/A</v>
      </c>
    </row>
    <row r="119" spans="2:10" hidden="1" outlineLevel="1">
      <c r="B119" s="376" t="s">
        <v>520</v>
      </c>
      <c r="C119" s="76" t="e">
        <v>#N/A</v>
      </c>
      <c r="D119" s="76" t="e">
        <v>#N/A</v>
      </c>
      <c r="E119" s="76" t="e">
        <v>#N/A</v>
      </c>
      <c r="F119" s="76" t="e">
        <v>#N/A</v>
      </c>
      <c r="G119" s="76" t="e">
        <v>#N/A</v>
      </c>
      <c r="H119" s="390" t="e">
        <v>#N/A</v>
      </c>
      <c r="I119" s="77" t="e">
        <v>#N/A</v>
      </c>
      <c r="J119" s="390" t="e">
        <v>#N/A</v>
      </c>
    </row>
    <row r="120" spans="2:10" hidden="1" outlineLevel="1">
      <c r="B120" s="376" t="s">
        <v>520</v>
      </c>
      <c r="C120" s="76" t="e">
        <v>#N/A</v>
      </c>
      <c r="D120" s="76" t="e">
        <v>#N/A</v>
      </c>
      <c r="E120" s="76" t="e">
        <v>#N/A</v>
      </c>
      <c r="F120" s="76" t="e">
        <v>#N/A</v>
      </c>
      <c r="G120" s="76" t="e">
        <v>#N/A</v>
      </c>
      <c r="H120" s="390" t="e">
        <v>#N/A</v>
      </c>
      <c r="I120" s="77" t="e">
        <v>#N/A</v>
      </c>
      <c r="J120" s="390" t="e">
        <v>#N/A</v>
      </c>
    </row>
    <row r="121" spans="2:10" hidden="1" outlineLevel="1">
      <c r="B121" s="376" t="s">
        <v>520</v>
      </c>
      <c r="C121" s="76" t="e">
        <v>#N/A</v>
      </c>
      <c r="D121" s="76" t="e">
        <v>#N/A</v>
      </c>
      <c r="E121" s="76" t="e">
        <v>#N/A</v>
      </c>
      <c r="F121" s="76" t="e">
        <v>#N/A</v>
      </c>
      <c r="G121" s="76" t="e">
        <v>#N/A</v>
      </c>
      <c r="H121" s="390" t="e">
        <v>#N/A</v>
      </c>
      <c r="I121" s="77" t="e">
        <v>#N/A</v>
      </c>
      <c r="J121" s="390" t="e">
        <v>#N/A</v>
      </c>
    </row>
    <row r="122" spans="2:10" hidden="1" outlineLevel="1">
      <c r="B122" s="376" t="s">
        <v>520</v>
      </c>
      <c r="C122" s="76" t="e">
        <v>#N/A</v>
      </c>
      <c r="D122" s="76" t="e">
        <v>#N/A</v>
      </c>
      <c r="E122" s="76" t="e">
        <v>#N/A</v>
      </c>
      <c r="F122" s="76" t="e">
        <v>#N/A</v>
      </c>
      <c r="G122" s="76" t="e">
        <v>#N/A</v>
      </c>
      <c r="H122" s="390" t="e">
        <v>#N/A</v>
      </c>
      <c r="I122" s="77" t="e">
        <v>#N/A</v>
      </c>
      <c r="J122" s="390" t="e">
        <v>#N/A</v>
      </c>
    </row>
    <row r="123" spans="2:10" hidden="1" outlineLevel="1">
      <c r="B123" s="376" t="s">
        <v>520</v>
      </c>
      <c r="C123" s="76" t="e">
        <v>#N/A</v>
      </c>
      <c r="D123" s="76" t="e">
        <v>#N/A</v>
      </c>
      <c r="E123" s="76" t="e">
        <v>#N/A</v>
      </c>
      <c r="F123" s="76" t="e">
        <v>#N/A</v>
      </c>
      <c r="G123" s="76" t="e">
        <v>#N/A</v>
      </c>
      <c r="H123" s="390" t="e">
        <v>#N/A</v>
      </c>
      <c r="I123" s="77" t="e">
        <v>#N/A</v>
      </c>
      <c r="J123" s="390" t="e">
        <v>#N/A</v>
      </c>
    </row>
    <row r="124" spans="2:10" hidden="1" outlineLevel="1">
      <c r="B124" s="376" t="s">
        <v>520</v>
      </c>
      <c r="C124" s="76" t="e">
        <v>#N/A</v>
      </c>
      <c r="D124" s="76" t="e">
        <v>#N/A</v>
      </c>
      <c r="E124" s="76" t="e">
        <v>#N/A</v>
      </c>
      <c r="F124" s="76" t="e">
        <v>#N/A</v>
      </c>
      <c r="G124" s="76" t="e">
        <v>#N/A</v>
      </c>
      <c r="H124" s="390" t="e">
        <v>#N/A</v>
      </c>
      <c r="I124" s="77" t="e">
        <v>#N/A</v>
      </c>
      <c r="J124" s="390" t="e">
        <v>#N/A</v>
      </c>
    </row>
    <row r="125" spans="2:10" hidden="1" outlineLevel="1">
      <c r="B125" s="376" t="s">
        <v>520</v>
      </c>
      <c r="C125" s="76" t="e">
        <v>#N/A</v>
      </c>
      <c r="D125" s="76" t="e">
        <v>#N/A</v>
      </c>
      <c r="E125" s="76" t="e">
        <v>#N/A</v>
      </c>
      <c r="F125" s="76" t="e">
        <v>#N/A</v>
      </c>
      <c r="G125" s="76" t="e">
        <v>#N/A</v>
      </c>
      <c r="H125" s="390" t="e">
        <v>#N/A</v>
      </c>
      <c r="I125" s="77" t="e">
        <v>#N/A</v>
      </c>
      <c r="J125" s="390" t="e">
        <v>#N/A</v>
      </c>
    </row>
    <row r="126" spans="2:10" hidden="1" outlineLevel="1">
      <c r="B126" s="376" t="s">
        <v>520</v>
      </c>
      <c r="C126" s="76" t="e">
        <v>#N/A</v>
      </c>
      <c r="D126" s="76" t="e">
        <v>#N/A</v>
      </c>
      <c r="E126" s="76" t="e">
        <v>#N/A</v>
      </c>
      <c r="F126" s="76" t="e">
        <v>#N/A</v>
      </c>
      <c r="G126" s="76" t="e">
        <v>#N/A</v>
      </c>
      <c r="H126" s="390" t="e">
        <v>#N/A</v>
      </c>
      <c r="I126" s="77" t="e">
        <v>#N/A</v>
      </c>
      <c r="J126" s="390" t="e">
        <v>#N/A</v>
      </c>
    </row>
    <row r="127" spans="2:10" hidden="1" outlineLevel="1">
      <c r="B127" s="376" t="s">
        <v>520</v>
      </c>
      <c r="C127" s="76" t="e">
        <v>#N/A</v>
      </c>
      <c r="D127" s="76" t="e">
        <v>#N/A</v>
      </c>
      <c r="E127" s="76" t="e">
        <v>#N/A</v>
      </c>
      <c r="F127" s="76" t="e">
        <v>#N/A</v>
      </c>
      <c r="G127" s="76" t="e">
        <v>#N/A</v>
      </c>
      <c r="H127" s="390" t="e">
        <v>#N/A</v>
      </c>
      <c r="I127" s="77" t="e">
        <v>#N/A</v>
      </c>
      <c r="J127" s="390" t="e">
        <v>#N/A</v>
      </c>
    </row>
    <row r="128" spans="2:10" hidden="1" outlineLevel="1">
      <c r="B128" s="376" t="s">
        <v>520</v>
      </c>
      <c r="C128" s="76" t="e">
        <v>#N/A</v>
      </c>
      <c r="D128" s="76" t="e">
        <v>#N/A</v>
      </c>
      <c r="E128" s="76" t="e">
        <v>#N/A</v>
      </c>
      <c r="F128" s="76" t="e">
        <v>#N/A</v>
      </c>
      <c r="G128" s="76" t="e">
        <v>#N/A</v>
      </c>
      <c r="H128" s="390" t="e">
        <v>#N/A</v>
      </c>
      <c r="I128" s="77" t="e">
        <v>#N/A</v>
      </c>
      <c r="J128" s="390" t="e">
        <v>#N/A</v>
      </c>
    </row>
    <row r="129" spans="2:10" hidden="1" outlineLevel="1">
      <c r="B129" s="376" t="s">
        <v>520</v>
      </c>
      <c r="C129" s="76" t="e">
        <v>#N/A</v>
      </c>
      <c r="D129" s="76" t="e">
        <v>#N/A</v>
      </c>
      <c r="E129" s="76" t="e">
        <v>#N/A</v>
      </c>
      <c r="F129" s="76" t="e">
        <v>#N/A</v>
      </c>
      <c r="G129" s="76" t="e">
        <v>#N/A</v>
      </c>
      <c r="H129" s="390" t="e">
        <v>#N/A</v>
      </c>
      <c r="I129" s="77" t="e">
        <v>#N/A</v>
      </c>
      <c r="J129" s="390" t="e">
        <v>#N/A</v>
      </c>
    </row>
    <row r="130" spans="2:10" hidden="1" outlineLevel="1">
      <c r="B130" s="376" t="s">
        <v>520</v>
      </c>
      <c r="C130" s="76" t="e">
        <v>#N/A</v>
      </c>
      <c r="D130" s="76" t="e">
        <v>#N/A</v>
      </c>
      <c r="E130" s="76" t="e">
        <v>#N/A</v>
      </c>
      <c r="F130" s="76" t="e">
        <v>#N/A</v>
      </c>
      <c r="G130" s="76" t="e">
        <v>#N/A</v>
      </c>
      <c r="H130" s="390" t="e">
        <v>#N/A</v>
      </c>
      <c r="I130" s="77" t="e">
        <v>#N/A</v>
      </c>
      <c r="J130" s="390" t="e">
        <v>#N/A</v>
      </c>
    </row>
    <row r="131" spans="2:10" hidden="1" outlineLevel="1">
      <c r="B131" s="376" t="s">
        <v>520</v>
      </c>
      <c r="C131" s="76" t="e">
        <v>#N/A</v>
      </c>
      <c r="D131" s="76" t="e">
        <v>#N/A</v>
      </c>
      <c r="E131" s="76" t="e">
        <v>#N/A</v>
      </c>
      <c r="F131" s="76" t="e">
        <v>#N/A</v>
      </c>
      <c r="G131" s="76" t="e">
        <v>#N/A</v>
      </c>
      <c r="H131" s="390" t="e">
        <v>#N/A</v>
      </c>
      <c r="I131" s="77" t="e">
        <v>#N/A</v>
      </c>
      <c r="J131" s="390" t="e">
        <v>#N/A</v>
      </c>
    </row>
    <row r="132" spans="2:10" hidden="1" outlineLevel="1">
      <c r="B132" s="376" t="s">
        <v>520</v>
      </c>
      <c r="C132" s="76" t="e">
        <v>#N/A</v>
      </c>
      <c r="D132" s="76" t="e">
        <v>#N/A</v>
      </c>
      <c r="E132" s="76" t="e">
        <v>#N/A</v>
      </c>
      <c r="F132" s="76" t="e">
        <v>#N/A</v>
      </c>
      <c r="G132" s="76" t="e">
        <v>#N/A</v>
      </c>
      <c r="H132" s="390" t="e">
        <v>#N/A</v>
      </c>
      <c r="I132" s="77" t="e">
        <v>#N/A</v>
      </c>
      <c r="J132" s="390" t="e">
        <v>#N/A</v>
      </c>
    </row>
    <row r="133" spans="2:10" hidden="1" outlineLevel="1">
      <c r="B133" s="376" t="s">
        <v>520</v>
      </c>
      <c r="C133" s="76" t="e">
        <v>#N/A</v>
      </c>
      <c r="D133" s="76" t="e">
        <v>#N/A</v>
      </c>
      <c r="E133" s="76" t="e">
        <v>#N/A</v>
      </c>
      <c r="F133" s="76" t="e">
        <v>#N/A</v>
      </c>
      <c r="G133" s="76" t="e">
        <v>#N/A</v>
      </c>
      <c r="H133" s="390" t="e">
        <v>#N/A</v>
      </c>
      <c r="I133" s="77" t="e">
        <v>#N/A</v>
      </c>
      <c r="J133" s="390" t="e">
        <v>#N/A</v>
      </c>
    </row>
    <row r="134" spans="2:10" hidden="1" outlineLevel="1">
      <c r="B134" s="376" t="s">
        <v>520</v>
      </c>
      <c r="C134" s="76" t="e">
        <v>#N/A</v>
      </c>
      <c r="D134" s="76" t="e">
        <v>#N/A</v>
      </c>
      <c r="E134" s="76" t="e">
        <v>#N/A</v>
      </c>
      <c r="F134" s="76" t="e">
        <v>#N/A</v>
      </c>
      <c r="G134" s="76" t="e">
        <v>#N/A</v>
      </c>
      <c r="H134" s="390" t="e">
        <v>#N/A</v>
      </c>
      <c r="I134" s="77" t="e">
        <v>#N/A</v>
      </c>
      <c r="J134" s="390" t="e">
        <v>#N/A</v>
      </c>
    </row>
    <row r="135" spans="2:10" hidden="1" outlineLevel="1">
      <c r="B135" s="376" t="s">
        <v>520</v>
      </c>
      <c r="C135" s="76" t="e">
        <v>#N/A</v>
      </c>
      <c r="D135" s="76" t="e">
        <v>#N/A</v>
      </c>
      <c r="E135" s="76" t="e">
        <v>#N/A</v>
      </c>
      <c r="F135" s="76" t="e">
        <v>#N/A</v>
      </c>
      <c r="G135" s="76" t="e">
        <v>#N/A</v>
      </c>
      <c r="H135" s="390" t="e">
        <v>#N/A</v>
      </c>
      <c r="I135" s="77" t="e">
        <v>#N/A</v>
      </c>
      <c r="J135" s="390" t="e">
        <v>#N/A</v>
      </c>
    </row>
    <row r="136" spans="2:10" hidden="1" outlineLevel="1">
      <c r="B136" s="376" t="s">
        <v>520</v>
      </c>
      <c r="C136" s="76" t="e">
        <v>#N/A</v>
      </c>
      <c r="D136" s="76" t="e">
        <v>#N/A</v>
      </c>
      <c r="E136" s="76" t="e">
        <v>#N/A</v>
      </c>
      <c r="F136" s="76" t="e">
        <v>#N/A</v>
      </c>
      <c r="G136" s="76" t="e">
        <v>#N/A</v>
      </c>
      <c r="H136" s="390" t="e">
        <v>#N/A</v>
      </c>
      <c r="I136" s="77" t="e">
        <v>#N/A</v>
      </c>
      <c r="J136" s="390" t="e">
        <v>#N/A</v>
      </c>
    </row>
    <row r="137" spans="2:10" hidden="1" outlineLevel="1">
      <c r="B137" s="376" t="s">
        <v>520</v>
      </c>
      <c r="C137" s="76" t="e">
        <v>#N/A</v>
      </c>
      <c r="D137" s="76" t="e">
        <v>#N/A</v>
      </c>
      <c r="E137" s="76" t="e">
        <v>#N/A</v>
      </c>
      <c r="F137" s="76" t="e">
        <v>#N/A</v>
      </c>
      <c r="G137" s="76" t="e">
        <v>#N/A</v>
      </c>
      <c r="H137" s="390" t="e">
        <v>#N/A</v>
      </c>
      <c r="I137" s="77" t="e">
        <v>#N/A</v>
      </c>
      <c r="J137" s="390" t="e">
        <v>#N/A</v>
      </c>
    </row>
    <row r="138" spans="2:10" hidden="1" outlineLevel="1">
      <c r="B138" s="376" t="s">
        <v>520</v>
      </c>
      <c r="C138" s="76" t="e">
        <v>#N/A</v>
      </c>
      <c r="D138" s="76" t="e">
        <v>#N/A</v>
      </c>
      <c r="E138" s="76" t="e">
        <v>#N/A</v>
      </c>
      <c r="F138" s="76" t="e">
        <v>#N/A</v>
      </c>
      <c r="G138" s="76" t="e">
        <v>#N/A</v>
      </c>
      <c r="H138" s="390" t="e">
        <v>#N/A</v>
      </c>
      <c r="I138" s="77" t="e">
        <v>#N/A</v>
      </c>
      <c r="J138" s="390" t="e">
        <v>#N/A</v>
      </c>
    </row>
    <row r="139" spans="2:10" hidden="1" outlineLevel="1">
      <c r="B139" s="376" t="s">
        <v>520</v>
      </c>
      <c r="C139" s="76" t="e">
        <v>#N/A</v>
      </c>
      <c r="D139" s="76" t="e">
        <v>#N/A</v>
      </c>
      <c r="E139" s="76" t="e">
        <v>#N/A</v>
      </c>
      <c r="F139" s="76" t="e">
        <v>#N/A</v>
      </c>
      <c r="G139" s="76" t="e">
        <v>#N/A</v>
      </c>
      <c r="H139" s="390" t="e">
        <v>#N/A</v>
      </c>
      <c r="I139" s="77" t="e">
        <v>#N/A</v>
      </c>
      <c r="J139" s="390" t="e">
        <v>#N/A</v>
      </c>
    </row>
    <row r="140" spans="2:10" hidden="1" outlineLevel="1">
      <c r="B140" s="376" t="s">
        <v>520</v>
      </c>
      <c r="C140" s="76" t="e">
        <v>#N/A</v>
      </c>
      <c r="D140" s="76" t="e">
        <v>#N/A</v>
      </c>
      <c r="E140" s="76" t="e">
        <v>#N/A</v>
      </c>
      <c r="F140" s="76" t="e">
        <v>#N/A</v>
      </c>
      <c r="G140" s="76" t="e">
        <v>#N/A</v>
      </c>
      <c r="H140" s="390" t="e">
        <v>#N/A</v>
      </c>
      <c r="I140" s="77" t="e">
        <v>#N/A</v>
      </c>
      <c r="J140" s="390" t="e">
        <v>#N/A</v>
      </c>
    </row>
    <row r="141" spans="2:10" hidden="1" outlineLevel="1">
      <c r="B141" s="376" t="s">
        <v>520</v>
      </c>
      <c r="C141" s="76" t="e">
        <v>#N/A</v>
      </c>
      <c r="D141" s="76" t="e">
        <v>#N/A</v>
      </c>
      <c r="E141" s="76" t="e">
        <v>#N/A</v>
      </c>
      <c r="F141" s="76" t="e">
        <v>#N/A</v>
      </c>
      <c r="G141" s="76" t="e">
        <v>#N/A</v>
      </c>
      <c r="H141" s="390" t="e">
        <v>#N/A</v>
      </c>
      <c r="I141" s="77" t="e">
        <v>#N/A</v>
      </c>
      <c r="J141" s="390" t="e">
        <v>#N/A</v>
      </c>
    </row>
    <row r="142" spans="2:10" hidden="1" outlineLevel="1">
      <c r="B142" s="376" t="s">
        <v>520</v>
      </c>
      <c r="C142" s="76" t="e">
        <v>#N/A</v>
      </c>
      <c r="D142" s="76" t="e">
        <v>#N/A</v>
      </c>
      <c r="E142" s="76" t="e">
        <v>#N/A</v>
      </c>
      <c r="F142" s="76" t="e">
        <v>#N/A</v>
      </c>
      <c r="G142" s="76" t="e">
        <v>#N/A</v>
      </c>
      <c r="H142" s="390" t="e">
        <v>#N/A</v>
      </c>
      <c r="I142" s="77" t="e">
        <v>#N/A</v>
      </c>
      <c r="J142" s="390" t="e">
        <v>#N/A</v>
      </c>
    </row>
    <row r="143" spans="2:10" hidden="1" outlineLevel="1">
      <c r="B143" s="376" t="s">
        <v>520</v>
      </c>
      <c r="C143" s="76" t="e">
        <v>#N/A</v>
      </c>
      <c r="D143" s="76" t="e">
        <v>#N/A</v>
      </c>
      <c r="E143" s="76" t="e">
        <v>#N/A</v>
      </c>
      <c r="F143" s="76" t="e">
        <v>#N/A</v>
      </c>
      <c r="G143" s="76" t="e">
        <v>#N/A</v>
      </c>
      <c r="H143" s="390" t="e">
        <v>#N/A</v>
      </c>
      <c r="I143" s="77" t="e">
        <v>#N/A</v>
      </c>
      <c r="J143" s="390" t="e">
        <v>#N/A</v>
      </c>
    </row>
    <row r="144" spans="2:10" hidden="1" outlineLevel="1">
      <c r="B144" s="376" t="s">
        <v>520</v>
      </c>
      <c r="C144" s="76" t="e">
        <v>#N/A</v>
      </c>
      <c r="D144" s="76" t="e">
        <v>#N/A</v>
      </c>
      <c r="E144" s="76" t="e">
        <v>#N/A</v>
      </c>
      <c r="F144" s="76" t="e">
        <v>#N/A</v>
      </c>
      <c r="G144" s="76" t="e">
        <v>#N/A</v>
      </c>
      <c r="H144" s="390" t="e">
        <v>#N/A</v>
      </c>
      <c r="I144" s="77" t="e">
        <v>#N/A</v>
      </c>
      <c r="J144" s="390" t="e">
        <v>#N/A</v>
      </c>
    </row>
    <row r="145" spans="2:10" hidden="1" outlineLevel="1">
      <c r="B145" s="376" t="s">
        <v>520</v>
      </c>
      <c r="C145" s="76" t="e">
        <v>#N/A</v>
      </c>
      <c r="D145" s="76" t="e">
        <v>#N/A</v>
      </c>
      <c r="E145" s="76" t="e">
        <v>#N/A</v>
      </c>
      <c r="F145" s="76" t="e">
        <v>#N/A</v>
      </c>
      <c r="G145" s="76" t="e">
        <v>#N/A</v>
      </c>
      <c r="H145" s="390" t="e">
        <v>#N/A</v>
      </c>
      <c r="I145" s="77" t="e">
        <v>#N/A</v>
      </c>
      <c r="J145" s="390" t="e">
        <v>#N/A</v>
      </c>
    </row>
    <row r="146" spans="2:10" hidden="1" outlineLevel="1">
      <c r="B146" s="376" t="s">
        <v>520</v>
      </c>
      <c r="C146" s="76" t="e">
        <v>#N/A</v>
      </c>
      <c r="D146" s="76" t="e">
        <v>#N/A</v>
      </c>
      <c r="E146" s="76" t="e">
        <v>#N/A</v>
      </c>
      <c r="F146" s="76" t="e">
        <v>#N/A</v>
      </c>
      <c r="G146" s="76" t="e">
        <v>#N/A</v>
      </c>
      <c r="H146" s="390" t="e">
        <v>#N/A</v>
      </c>
      <c r="I146" s="77" t="e">
        <v>#N/A</v>
      </c>
      <c r="J146" s="390" t="e">
        <v>#N/A</v>
      </c>
    </row>
    <row r="147" spans="2:10" hidden="1" outlineLevel="1">
      <c r="B147" s="376" t="s">
        <v>520</v>
      </c>
      <c r="C147" s="76" t="e">
        <v>#N/A</v>
      </c>
      <c r="D147" s="76" t="e">
        <v>#N/A</v>
      </c>
      <c r="E147" s="76" t="e">
        <v>#N/A</v>
      </c>
      <c r="F147" s="76" t="e">
        <v>#N/A</v>
      </c>
      <c r="G147" s="76" t="e">
        <v>#N/A</v>
      </c>
      <c r="H147" s="390" t="e">
        <v>#N/A</v>
      </c>
      <c r="I147" s="77" t="e">
        <v>#N/A</v>
      </c>
      <c r="J147" s="390" t="e">
        <v>#N/A</v>
      </c>
    </row>
    <row r="148" spans="2:10" hidden="1" outlineLevel="1">
      <c r="B148" s="376" t="s">
        <v>520</v>
      </c>
      <c r="C148" s="76" t="e">
        <v>#N/A</v>
      </c>
      <c r="D148" s="76" t="e">
        <v>#N/A</v>
      </c>
      <c r="E148" s="76" t="e">
        <v>#N/A</v>
      </c>
      <c r="F148" s="76" t="e">
        <v>#N/A</v>
      </c>
      <c r="G148" s="76" t="e">
        <v>#N/A</v>
      </c>
      <c r="H148" s="390" t="e">
        <v>#N/A</v>
      </c>
      <c r="I148" s="77" t="e">
        <v>#N/A</v>
      </c>
      <c r="J148" s="390" t="e">
        <v>#N/A</v>
      </c>
    </row>
    <row r="149" spans="2:10" hidden="1" outlineLevel="1">
      <c r="B149" s="376" t="s">
        <v>520</v>
      </c>
      <c r="C149" s="76" t="e">
        <v>#N/A</v>
      </c>
      <c r="D149" s="76" t="e">
        <v>#N/A</v>
      </c>
      <c r="E149" s="76" t="e">
        <v>#N/A</v>
      </c>
      <c r="F149" s="76" t="e">
        <v>#N/A</v>
      </c>
      <c r="G149" s="76" t="e">
        <v>#N/A</v>
      </c>
      <c r="H149" s="390" t="e">
        <v>#N/A</v>
      </c>
      <c r="I149" s="77" t="e">
        <v>#N/A</v>
      </c>
      <c r="J149" s="390" t="e">
        <v>#N/A</v>
      </c>
    </row>
    <row r="150" spans="2:10" hidden="1" outlineLevel="1">
      <c r="B150" s="376" t="s">
        <v>520</v>
      </c>
      <c r="C150" s="76" t="e">
        <v>#N/A</v>
      </c>
      <c r="D150" s="76" t="e">
        <v>#N/A</v>
      </c>
      <c r="E150" s="76" t="e">
        <v>#N/A</v>
      </c>
      <c r="F150" s="76" t="e">
        <v>#N/A</v>
      </c>
      <c r="G150" s="76" t="e">
        <v>#N/A</v>
      </c>
      <c r="H150" s="390" t="e">
        <v>#N/A</v>
      </c>
      <c r="I150" s="77" t="e">
        <v>#N/A</v>
      </c>
      <c r="J150" s="390" t="e">
        <v>#N/A</v>
      </c>
    </row>
    <row r="151" spans="2:10" hidden="1" outlineLevel="1">
      <c r="B151" s="376" t="s">
        <v>520</v>
      </c>
      <c r="C151" s="76" t="e">
        <v>#N/A</v>
      </c>
      <c r="D151" s="76" t="e">
        <v>#N/A</v>
      </c>
      <c r="E151" s="76" t="e">
        <v>#N/A</v>
      </c>
      <c r="F151" s="76" t="e">
        <v>#N/A</v>
      </c>
      <c r="G151" s="76" t="e">
        <v>#N/A</v>
      </c>
      <c r="H151" s="390" t="e">
        <v>#N/A</v>
      </c>
      <c r="I151" s="77" t="e">
        <v>#N/A</v>
      </c>
      <c r="J151" s="390" t="e">
        <v>#N/A</v>
      </c>
    </row>
    <row r="152" spans="2:10" hidden="1" outlineLevel="1">
      <c r="B152" s="376" t="s">
        <v>520</v>
      </c>
      <c r="C152" s="76" t="e">
        <v>#N/A</v>
      </c>
      <c r="D152" s="76" t="e">
        <v>#N/A</v>
      </c>
      <c r="E152" s="76" t="e">
        <v>#N/A</v>
      </c>
      <c r="F152" s="76" t="e">
        <v>#N/A</v>
      </c>
      <c r="G152" s="76" t="e">
        <v>#N/A</v>
      </c>
      <c r="H152" s="390" t="e">
        <v>#N/A</v>
      </c>
      <c r="I152" s="77" t="e">
        <v>#N/A</v>
      </c>
      <c r="J152" s="390" t="e">
        <v>#N/A</v>
      </c>
    </row>
    <row r="153" spans="2:10" hidden="1" outlineLevel="1">
      <c r="B153" s="376" t="s">
        <v>520</v>
      </c>
      <c r="C153" s="76" t="e">
        <v>#N/A</v>
      </c>
      <c r="D153" s="76" t="e">
        <v>#N/A</v>
      </c>
      <c r="E153" s="76" t="e">
        <v>#N/A</v>
      </c>
      <c r="F153" s="76" t="e">
        <v>#N/A</v>
      </c>
      <c r="G153" s="76" t="e">
        <v>#N/A</v>
      </c>
      <c r="H153" s="390" t="e">
        <v>#N/A</v>
      </c>
      <c r="I153" s="77" t="e">
        <v>#N/A</v>
      </c>
      <c r="J153" s="390" t="e">
        <v>#N/A</v>
      </c>
    </row>
    <row r="154" spans="2:10" hidden="1" outlineLevel="1">
      <c r="B154" s="376" t="s">
        <v>520</v>
      </c>
      <c r="C154" s="76" t="e">
        <v>#N/A</v>
      </c>
      <c r="D154" s="76" t="e">
        <v>#N/A</v>
      </c>
      <c r="E154" s="76" t="e">
        <v>#N/A</v>
      </c>
      <c r="F154" s="76" t="e">
        <v>#N/A</v>
      </c>
      <c r="G154" s="76" t="e">
        <v>#N/A</v>
      </c>
      <c r="H154" s="390" t="e">
        <v>#N/A</v>
      </c>
      <c r="I154" s="77" t="e">
        <v>#N/A</v>
      </c>
      <c r="J154" s="390" t="e">
        <v>#N/A</v>
      </c>
    </row>
    <row r="155" spans="2:10" hidden="1" outlineLevel="1">
      <c r="B155" s="376" t="s">
        <v>520</v>
      </c>
      <c r="C155" s="76" t="e">
        <v>#N/A</v>
      </c>
      <c r="D155" s="76" t="e">
        <v>#N/A</v>
      </c>
      <c r="E155" s="76" t="e">
        <v>#N/A</v>
      </c>
      <c r="F155" s="76" t="e">
        <v>#N/A</v>
      </c>
      <c r="G155" s="76" t="e">
        <v>#N/A</v>
      </c>
      <c r="H155" s="390" t="e">
        <v>#N/A</v>
      </c>
      <c r="I155" s="77" t="e">
        <v>#N/A</v>
      </c>
      <c r="J155" s="390" t="e">
        <v>#N/A</v>
      </c>
    </row>
    <row r="156" spans="2:10" hidden="1" outlineLevel="1">
      <c r="B156" s="376" t="s">
        <v>520</v>
      </c>
      <c r="C156" s="76" t="e">
        <v>#N/A</v>
      </c>
      <c r="D156" s="76" t="e">
        <v>#N/A</v>
      </c>
      <c r="E156" s="76" t="e">
        <v>#N/A</v>
      </c>
      <c r="F156" s="76" t="e">
        <v>#N/A</v>
      </c>
      <c r="G156" s="76" t="e">
        <v>#N/A</v>
      </c>
      <c r="H156" s="390" t="e">
        <v>#N/A</v>
      </c>
      <c r="I156" s="77" t="e">
        <v>#N/A</v>
      </c>
      <c r="J156" s="390" t="e">
        <v>#N/A</v>
      </c>
    </row>
    <row r="157" spans="2:10" hidden="1" outlineLevel="1">
      <c r="B157" s="376" t="s">
        <v>520</v>
      </c>
      <c r="C157" s="76" t="e">
        <v>#N/A</v>
      </c>
      <c r="D157" s="76" t="e">
        <v>#N/A</v>
      </c>
      <c r="E157" s="76" t="e">
        <v>#N/A</v>
      </c>
      <c r="F157" s="76" t="e">
        <v>#N/A</v>
      </c>
      <c r="G157" s="76" t="e">
        <v>#N/A</v>
      </c>
      <c r="H157" s="390" t="e">
        <v>#N/A</v>
      </c>
      <c r="I157" s="77" t="e">
        <v>#N/A</v>
      </c>
      <c r="J157" s="390" t="e">
        <v>#N/A</v>
      </c>
    </row>
    <row r="158" spans="2:10" hidden="1" outlineLevel="1">
      <c r="B158" s="376" t="s">
        <v>520</v>
      </c>
      <c r="C158" s="76" t="e">
        <v>#N/A</v>
      </c>
      <c r="D158" s="76" t="e">
        <v>#N/A</v>
      </c>
      <c r="E158" s="76" t="e">
        <v>#N/A</v>
      </c>
      <c r="F158" s="76" t="e">
        <v>#N/A</v>
      </c>
      <c r="G158" s="76" t="e">
        <v>#N/A</v>
      </c>
      <c r="H158" s="390" t="e">
        <v>#N/A</v>
      </c>
      <c r="I158" s="77" t="e">
        <v>#N/A</v>
      </c>
      <c r="J158" s="390" t="e">
        <v>#N/A</v>
      </c>
    </row>
    <row r="159" spans="2:10" hidden="1" outlineLevel="1">
      <c r="B159" s="376" t="s">
        <v>520</v>
      </c>
      <c r="C159" s="76" t="e">
        <v>#N/A</v>
      </c>
      <c r="D159" s="76" t="e">
        <v>#N/A</v>
      </c>
      <c r="E159" s="76" t="e">
        <v>#N/A</v>
      </c>
      <c r="F159" s="76" t="e">
        <v>#N/A</v>
      </c>
      <c r="G159" s="76" t="e">
        <v>#N/A</v>
      </c>
      <c r="H159" s="390" t="e">
        <v>#N/A</v>
      </c>
      <c r="I159" s="77" t="e">
        <v>#N/A</v>
      </c>
      <c r="J159" s="390" t="e">
        <v>#N/A</v>
      </c>
    </row>
    <row r="160" spans="2:10" hidden="1" outlineLevel="1">
      <c r="B160" s="376" t="s">
        <v>520</v>
      </c>
      <c r="C160" s="76" t="e">
        <v>#N/A</v>
      </c>
      <c r="D160" s="76" t="e">
        <v>#N/A</v>
      </c>
      <c r="E160" s="76" t="e">
        <v>#N/A</v>
      </c>
      <c r="F160" s="76" t="e">
        <v>#N/A</v>
      </c>
      <c r="G160" s="76" t="e">
        <v>#N/A</v>
      </c>
      <c r="H160" s="390" t="e">
        <v>#N/A</v>
      </c>
      <c r="I160" s="77" t="e">
        <v>#N/A</v>
      </c>
      <c r="J160" s="390" t="e">
        <v>#N/A</v>
      </c>
    </row>
    <row r="161" spans="2:10" hidden="1" outlineLevel="1">
      <c r="B161" s="376" t="s">
        <v>520</v>
      </c>
      <c r="C161" s="76" t="e">
        <v>#N/A</v>
      </c>
      <c r="D161" s="76" t="e">
        <v>#N/A</v>
      </c>
      <c r="E161" s="76" t="e">
        <v>#N/A</v>
      </c>
      <c r="F161" s="76" t="e">
        <v>#N/A</v>
      </c>
      <c r="G161" s="76" t="e">
        <v>#N/A</v>
      </c>
      <c r="H161" s="390" t="e">
        <v>#N/A</v>
      </c>
      <c r="I161" s="77" t="e">
        <v>#N/A</v>
      </c>
      <c r="J161" s="390" t="e">
        <v>#N/A</v>
      </c>
    </row>
    <row r="162" spans="2:10" hidden="1" outlineLevel="1">
      <c r="B162" s="376" t="s">
        <v>520</v>
      </c>
      <c r="C162" s="76" t="e">
        <v>#N/A</v>
      </c>
      <c r="D162" s="76" t="e">
        <v>#N/A</v>
      </c>
      <c r="E162" s="76" t="e">
        <v>#N/A</v>
      </c>
      <c r="F162" s="76" t="e">
        <v>#N/A</v>
      </c>
      <c r="G162" s="76" t="e">
        <v>#N/A</v>
      </c>
      <c r="H162" s="390" t="e">
        <v>#N/A</v>
      </c>
      <c r="I162" s="77" t="e">
        <v>#N/A</v>
      </c>
      <c r="J162" s="390" t="e">
        <v>#N/A</v>
      </c>
    </row>
    <row r="163" spans="2:10" hidden="1" outlineLevel="1">
      <c r="B163" s="376" t="s">
        <v>520</v>
      </c>
      <c r="C163" s="76" t="e">
        <v>#N/A</v>
      </c>
      <c r="D163" s="76" t="e">
        <v>#N/A</v>
      </c>
      <c r="E163" s="76" t="e">
        <v>#N/A</v>
      </c>
      <c r="F163" s="76" t="e">
        <v>#N/A</v>
      </c>
      <c r="G163" s="76" t="e">
        <v>#N/A</v>
      </c>
      <c r="H163" s="390" t="e">
        <v>#N/A</v>
      </c>
      <c r="I163" s="77" t="e">
        <v>#N/A</v>
      </c>
      <c r="J163" s="390" t="e">
        <v>#N/A</v>
      </c>
    </row>
    <row r="164" spans="2:10" hidden="1" outlineLevel="1">
      <c r="B164" s="376" t="s">
        <v>520</v>
      </c>
      <c r="C164" s="76" t="e">
        <v>#N/A</v>
      </c>
      <c r="D164" s="76" t="e">
        <v>#N/A</v>
      </c>
      <c r="E164" s="76" t="e">
        <v>#N/A</v>
      </c>
      <c r="F164" s="76" t="e">
        <v>#N/A</v>
      </c>
      <c r="G164" s="76" t="e">
        <v>#N/A</v>
      </c>
      <c r="H164" s="390" t="e">
        <v>#N/A</v>
      </c>
      <c r="I164" s="77" t="e">
        <v>#N/A</v>
      </c>
      <c r="J164" s="390" t="e">
        <v>#N/A</v>
      </c>
    </row>
    <row r="165" spans="2:10" hidden="1" outlineLevel="1">
      <c r="B165" s="376" t="s">
        <v>520</v>
      </c>
      <c r="C165" s="76" t="e">
        <v>#N/A</v>
      </c>
      <c r="D165" s="76" t="e">
        <v>#N/A</v>
      </c>
      <c r="E165" s="76" t="e">
        <v>#N/A</v>
      </c>
      <c r="F165" s="76" t="e">
        <v>#N/A</v>
      </c>
      <c r="G165" s="76" t="e">
        <v>#N/A</v>
      </c>
      <c r="H165" s="390" t="e">
        <v>#N/A</v>
      </c>
      <c r="I165" s="77" t="e">
        <v>#N/A</v>
      </c>
      <c r="J165" s="390" t="e">
        <v>#N/A</v>
      </c>
    </row>
    <row r="166" spans="2:10" hidden="1" outlineLevel="1">
      <c r="B166" s="376" t="s">
        <v>520</v>
      </c>
      <c r="C166" s="76" t="e">
        <v>#N/A</v>
      </c>
      <c r="D166" s="76" t="e">
        <v>#N/A</v>
      </c>
      <c r="E166" s="76" t="e">
        <v>#N/A</v>
      </c>
      <c r="F166" s="76" t="e">
        <v>#N/A</v>
      </c>
      <c r="G166" s="76" t="e">
        <v>#N/A</v>
      </c>
      <c r="H166" s="390" t="e">
        <v>#N/A</v>
      </c>
      <c r="I166" s="77" t="e">
        <v>#N/A</v>
      </c>
      <c r="J166" s="390" t="e">
        <v>#N/A</v>
      </c>
    </row>
    <row r="167" spans="2:10" hidden="1" outlineLevel="1">
      <c r="B167" s="376" t="s">
        <v>520</v>
      </c>
      <c r="C167" s="76" t="e">
        <v>#N/A</v>
      </c>
      <c r="D167" s="76" t="e">
        <v>#N/A</v>
      </c>
      <c r="E167" s="76" t="e">
        <v>#N/A</v>
      </c>
      <c r="F167" s="76" t="e">
        <v>#N/A</v>
      </c>
      <c r="G167" s="76" t="e">
        <v>#N/A</v>
      </c>
      <c r="H167" s="390" t="e">
        <v>#N/A</v>
      </c>
      <c r="I167" s="77" t="e">
        <v>#N/A</v>
      </c>
      <c r="J167" s="390" t="e">
        <v>#N/A</v>
      </c>
    </row>
    <row r="168" spans="2:10" hidden="1" outlineLevel="1">
      <c r="B168" s="376" t="s">
        <v>520</v>
      </c>
      <c r="C168" s="76" t="e">
        <v>#N/A</v>
      </c>
      <c r="D168" s="76" t="e">
        <v>#N/A</v>
      </c>
      <c r="E168" s="76" t="e">
        <v>#N/A</v>
      </c>
      <c r="F168" s="76" t="e">
        <v>#N/A</v>
      </c>
      <c r="G168" s="76" t="e">
        <v>#N/A</v>
      </c>
      <c r="H168" s="390" t="e">
        <v>#N/A</v>
      </c>
      <c r="I168" s="77" t="e">
        <v>#N/A</v>
      </c>
      <c r="J168" s="390" t="e">
        <v>#N/A</v>
      </c>
    </row>
    <row r="169" spans="2:10" hidden="1" outlineLevel="1">
      <c r="B169" s="376" t="s">
        <v>520</v>
      </c>
      <c r="C169" s="76" t="e">
        <v>#N/A</v>
      </c>
      <c r="D169" s="76" t="e">
        <v>#N/A</v>
      </c>
      <c r="E169" s="76" t="e">
        <v>#N/A</v>
      </c>
      <c r="F169" s="76" t="e">
        <v>#N/A</v>
      </c>
      <c r="G169" s="76" t="e">
        <v>#N/A</v>
      </c>
      <c r="H169" s="390" t="e">
        <v>#N/A</v>
      </c>
      <c r="I169" s="77" t="e">
        <v>#N/A</v>
      </c>
      <c r="J169" s="390" t="e">
        <v>#N/A</v>
      </c>
    </row>
    <row r="170" spans="2:10" hidden="1" outlineLevel="1">
      <c r="B170" s="376" t="s">
        <v>520</v>
      </c>
      <c r="C170" s="76" t="e">
        <v>#N/A</v>
      </c>
      <c r="D170" s="76" t="e">
        <v>#N/A</v>
      </c>
      <c r="E170" s="76" t="e">
        <v>#N/A</v>
      </c>
      <c r="F170" s="76" t="e">
        <v>#N/A</v>
      </c>
      <c r="G170" s="76" t="e">
        <v>#N/A</v>
      </c>
      <c r="H170" s="390" t="e">
        <v>#N/A</v>
      </c>
      <c r="I170" s="77" t="e">
        <v>#N/A</v>
      </c>
      <c r="J170" s="390" t="e">
        <v>#N/A</v>
      </c>
    </row>
    <row r="171" spans="2:10" hidden="1" outlineLevel="1">
      <c r="B171" s="376" t="s">
        <v>520</v>
      </c>
      <c r="C171" s="76" t="e">
        <v>#N/A</v>
      </c>
      <c r="D171" s="76" t="e">
        <v>#N/A</v>
      </c>
      <c r="E171" s="76" t="e">
        <v>#N/A</v>
      </c>
      <c r="F171" s="76" t="e">
        <v>#N/A</v>
      </c>
      <c r="G171" s="76" t="e">
        <v>#N/A</v>
      </c>
      <c r="H171" s="390" t="e">
        <v>#N/A</v>
      </c>
      <c r="I171" s="77" t="e">
        <v>#N/A</v>
      </c>
      <c r="J171" s="390" t="e">
        <v>#N/A</v>
      </c>
    </row>
    <row r="172" spans="2:10" hidden="1" outlineLevel="1">
      <c r="B172" s="376" t="s">
        <v>520</v>
      </c>
      <c r="C172" s="76" t="e">
        <v>#N/A</v>
      </c>
      <c r="D172" s="76" t="e">
        <v>#N/A</v>
      </c>
      <c r="E172" s="76" t="e">
        <v>#N/A</v>
      </c>
      <c r="F172" s="76" t="e">
        <v>#N/A</v>
      </c>
      <c r="G172" s="76" t="e">
        <v>#N/A</v>
      </c>
      <c r="H172" s="390" t="e">
        <v>#N/A</v>
      </c>
      <c r="I172" s="77" t="e">
        <v>#N/A</v>
      </c>
      <c r="J172" s="390" t="e">
        <v>#N/A</v>
      </c>
    </row>
    <row r="173" spans="2:10" hidden="1" outlineLevel="1">
      <c r="B173" s="376" t="s">
        <v>520</v>
      </c>
      <c r="C173" s="76" t="e">
        <v>#N/A</v>
      </c>
      <c r="D173" s="76" t="e">
        <v>#N/A</v>
      </c>
      <c r="E173" s="76" t="e">
        <v>#N/A</v>
      </c>
      <c r="F173" s="76" t="e">
        <v>#N/A</v>
      </c>
      <c r="G173" s="76" t="e">
        <v>#N/A</v>
      </c>
      <c r="H173" s="390" t="e">
        <v>#N/A</v>
      </c>
      <c r="I173" s="77" t="e">
        <v>#N/A</v>
      </c>
      <c r="J173" s="390" t="e">
        <v>#N/A</v>
      </c>
    </row>
    <row r="174" spans="2:10" hidden="1" outlineLevel="1">
      <c r="B174" s="376" t="s">
        <v>520</v>
      </c>
      <c r="C174" s="76" t="e">
        <v>#N/A</v>
      </c>
      <c r="D174" s="76" t="e">
        <v>#N/A</v>
      </c>
      <c r="E174" s="76" t="e">
        <v>#N/A</v>
      </c>
      <c r="F174" s="76" t="e">
        <v>#N/A</v>
      </c>
      <c r="G174" s="76" t="e">
        <v>#N/A</v>
      </c>
      <c r="H174" s="390" t="e">
        <v>#N/A</v>
      </c>
      <c r="I174" s="77" t="e">
        <v>#N/A</v>
      </c>
      <c r="J174" s="390" t="e">
        <v>#N/A</v>
      </c>
    </row>
    <row r="175" spans="2:10" hidden="1" outlineLevel="1">
      <c r="B175" s="376" t="s">
        <v>520</v>
      </c>
      <c r="C175" s="76" t="e">
        <v>#N/A</v>
      </c>
      <c r="D175" s="76" t="e">
        <v>#N/A</v>
      </c>
      <c r="E175" s="76" t="e">
        <v>#N/A</v>
      </c>
      <c r="F175" s="76" t="e">
        <v>#N/A</v>
      </c>
      <c r="G175" s="76" t="e">
        <v>#N/A</v>
      </c>
      <c r="H175" s="390" t="e">
        <v>#N/A</v>
      </c>
      <c r="I175" s="77" t="e">
        <v>#N/A</v>
      </c>
      <c r="J175" s="390" t="e">
        <v>#N/A</v>
      </c>
    </row>
    <row r="176" spans="2:10" hidden="1" outlineLevel="1">
      <c r="B176" s="376" t="s">
        <v>520</v>
      </c>
      <c r="C176" s="76" t="e">
        <v>#N/A</v>
      </c>
      <c r="D176" s="76" t="e">
        <v>#N/A</v>
      </c>
      <c r="E176" s="76" t="e">
        <v>#N/A</v>
      </c>
      <c r="F176" s="76" t="e">
        <v>#N/A</v>
      </c>
      <c r="G176" s="76" t="e">
        <v>#N/A</v>
      </c>
      <c r="H176" s="390" t="e">
        <v>#N/A</v>
      </c>
      <c r="I176" s="77" t="e">
        <v>#N/A</v>
      </c>
      <c r="J176" s="390" t="e">
        <v>#N/A</v>
      </c>
    </row>
    <row r="177" spans="2:10" hidden="1" outlineLevel="1">
      <c r="B177" s="376" t="s">
        <v>520</v>
      </c>
      <c r="C177" s="76" t="e">
        <v>#N/A</v>
      </c>
      <c r="D177" s="76" t="e">
        <v>#N/A</v>
      </c>
      <c r="E177" s="76" t="e">
        <v>#N/A</v>
      </c>
      <c r="F177" s="76" t="e">
        <v>#N/A</v>
      </c>
      <c r="G177" s="76" t="e">
        <v>#N/A</v>
      </c>
      <c r="H177" s="390" t="e">
        <v>#N/A</v>
      </c>
      <c r="I177" s="77" t="e">
        <v>#N/A</v>
      </c>
      <c r="J177" s="390" t="e">
        <v>#N/A</v>
      </c>
    </row>
    <row r="178" spans="2:10" hidden="1" outlineLevel="1">
      <c r="B178" s="376" t="s">
        <v>520</v>
      </c>
      <c r="C178" s="76" t="e">
        <v>#N/A</v>
      </c>
      <c r="D178" s="76" t="e">
        <v>#N/A</v>
      </c>
      <c r="E178" s="76" t="e">
        <v>#N/A</v>
      </c>
      <c r="F178" s="76" t="e">
        <v>#N/A</v>
      </c>
      <c r="G178" s="76" t="e">
        <v>#N/A</v>
      </c>
      <c r="H178" s="390" t="e">
        <v>#N/A</v>
      </c>
      <c r="I178" s="77" t="e">
        <v>#N/A</v>
      </c>
      <c r="J178" s="390" t="e">
        <v>#N/A</v>
      </c>
    </row>
    <row r="179" spans="2:10" hidden="1" outlineLevel="1">
      <c r="B179" s="376" t="s">
        <v>520</v>
      </c>
      <c r="C179" s="76" t="e">
        <v>#N/A</v>
      </c>
      <c r="D179" s="76" t="e">
        <v>#N/A</v>
      </c>
      <c r="E179" s="76" t="e">
        <v>#N/A</v>
      </c>
      <c r="F179" s="76" t="e">
        <v>#N/A</v>
      </c>
      <c r="G179" s="76" t="e">
        <v>#N/A</v>
      </c>
      <c r="H179" s="390" t="e">
        <v>#N/A</v>
      </c>
      <c r="I179" s="77" t="e">
        <v>#N/A</v>
      </c>
      <c r="J179" s="390" t="e">
        <v>#N/A</v>
      </c>
    </row>
    <row r="180" spans="2:10" hidden="1" outlineLevel="1">
      <c r="B180" s="376" t="s">
        <v>520</v>
      </c>
      <c r="C180" s="76" t="e">
        <v>#N/A</v>
      </c>
      <c r="D180" s="76" t="e">
        <v>#N/A</v>
      </c>
      <c r="E180" s="76" t="e">
        <v>#N/A</v>
      </c>
      <c r="F180" s="76" t="e">
        <v>#N/A</v>
      </c>
      <c r="G180" s="76" t="e">
        <v>#N/A</v>
      </c>
      <c r="H180" s="390" t="e">
        <v>#N/A</v>
      </c>
      <c r="I180" s="77" t="e">
        <v>#N/A</v>
      </c>
      <c r="J180" s="390" t="e">
        <v>#N/A</v>
      </c>
    </row>
    <row r="181" spans="2:10" hidden="1" outlineLevel="1">
      <c r="B181" s="376" t="s">
        <v>520</v>
      </c>
      <c r="C181" s="76" t="e">
        <v>#N/A</v>
      </c>
      <c r="D181" s="76" t="e">
        <v>#N/A</v>
      </c>
      <c r="E181" s="76" t="e">
        <v>#N/A</v>
      </c>
      <c r="F181" s="76" t="e">
        <v>#N/A</v>
      </c>
      <c r="G181" s="76" t="e">
        <v>#N/A</v>
      </c>
      <c r="H181" s="390" t="e">
        <v>#N/A</v>
      </c>
      <c r="I181" s="77" t="e">
        <v>#N/A</v>
      </c>
      <c r="J181" s="390" t="e">
        <v>#N/A</v>
      </c>
    </row>
    <row r="182" spans="2:10" hidden="1" outlineLevel="1">
      <c r="B182" s="376" t="s">
        <v>520</v>
      </c>
      <c r="C182" s="76" t="e">
        <v>#N/A</v>
      </c>
      <c r="D182" s="76" t="e">
        <v>#N/A</v>
      </c>
      <c r="E182" s="76" t="e">
        <v>#N/A</v>
      </c>
      <c r="F182" s="76" t="e">
        <v>#N/A</v>
      </c>
      <c r="G182" s="76" t="e">
        <v>#N/A</v>
      </c>
      <c r="H182" s="390" t="e">
        <v>#N/A</v>
      </c>
      <c r="I182" s="77" t="e">
        <v>#N/A</v>
      </c>
      <c r="J182" s="390" t="e">
        <v>#N/A</v>
      </c>
    </row>
    <row r="183" spans="2:10" hidden="1" outlineLevel="1">
      <c r="B183" s="376" t="s">
        <v>520</v>
      </c>
      <c r="C183" s="76" t="e">
        <v>#N/A</v>
      </c>
      <c r="D183" s="76" t="e">
        <v>#N/A</v>
      </c>
      <c r="E183" s="76" t="e">
        <v>#N/A</v>
      </c>
      <c r="F183" s="76" t="e">
        <v>#N/A</v>
      </c>
      <c r="G183" s="76" t="e">
        <v>#N/A</v>
      </c>
      <c r="H183" s="390" t="e">
        <v>#N/A</v>
      </c>
      <c r="I183" s="77" t="e">
        <v>#N/A</v>
      </c>
      <c r="J183" s="390" t="e">
        <v>#N/A</v>
      </c>
    </row>
    <row r="184" spans="2:10" hidden="1" outlineLevel="1">
      <c r="B184" s="376" t="s">
        <v>520</v>
      </c>
      <c r="C184" s="76" t="e">
        <v>#N/A</v>
      </c>
      <c r="D184" s="76" t="e">
        <v>#N/A</v>
      </c>
      <c r="E184" s="76" t="e">
        <v>#N/A</v>
      </c>
      <c r="F184" s="76" t="e">
        <v>#N/A</v>
      </c>
      <c r="G184" s="76" t="e">
        <v>#N/A</v>
      </c>
      <c r="H184" s="390" t="e">
        <v>#N/A</v>
      </c>
      <c r="I184" s="77" t="e">
        <v>#N/A</v>
      </c>
      <c r="J184" s="390" t="e">
        <v>#N/A</v>
      </c>
    </row>
    <row r="185" spans="2:10" hidden="1" outlineLevel="1">
      <c r="B185" s="376" t="s">
        <v>520</v>
      </c>
      <c r="C185" s="76" t="e">
        <v>#N/A</v>
      </c>
      <c r="D185" s="76" t="e">
        <v>#N/A</v>
      </c>
      <c r="E185" s="76" t="e">
        <v>#N/A</v>
      </c>
      <c r="F185" s="76" t="e">
        <v>#N/A</v>
      </c>
      <c r="G185" s="76" t="e">
        <v>#N/A</v>
      </c>
      <c r="H185" s="390" t="e">
        <v>#N/A</v>
      </c>
      <c r="I185" s="77" t="e">
        <v>#N/A</v>
      </c>
      <c r="J185" s="390" t="e">
        <v>#N/A</v>
      </c>
    </row>
    <row r="186" spans="2:10" hidden="1" outlineLevel="1">
      <c r="B186" s="376" t="s">
        <v>520</v>
      </c>
      <c r="C186" s="76" t="e">
        <v>#N/A</v>
      </c>
      <c r="D186" s="76" t="e">
        <v>#N/A</v>
      </c>
      <c r="E186" s="76" t="e">
        <v>#N/A</v>
      </c>
      <c r="F186" s="76" t="e">
        <v>#N/A</v>
      </c>
      <c r="G186" s="76" t="e">
        <v>#N/A</v>
      </c>
      <c r="H186" s="390" t="e">
        <v>#N/A</v>
      </c>
      <c r="I186" s="77" t="e">
        <v>#N/A</v>
      </c>
      <c r="J186" s="390" t="e">
        <v>#N/A</v>
      </c>
    </row>
    <row r="187" spans="2:10" hidden="1" outlineLevel="1">
      <c r="B187" s="376" t="s">
        <v>520</v>
      </c>
      <c r="C187" s="76" t="e">
        <v>#N/A</v>
      </c>
      <c r="D187" s="76" t="e">
        <v>#N/A</v>
      </c>
      <c r="E187" s="76" t="e">
        <v>#N/A</v>
      </c>
      <c r="F187" s="76" t="e">
        <v>#N/A</v>
      </c>
      <c r="G187" s="76" t="e">
        <v>#N/A</v>
      </c>
      <c r="H187" s="390" t="e">
        <v>#N/A</v>
      </c>
      <c r="I187" s="77" t="e">
        <v>#N/A</v>
      </c>
      <c r="J187" s="390" t="e">
        <v>#N/A</v>
      </c>
    </row>
    <row r="188" spans="2:10" hidden="1" outlineLevel="1">
      <c r="B188" s="376" t="s">
        <v>520</v>
      </c>
      <c r="C188" s="76" t="e">
        <v>#N/A</v>
      </c>
      <c r="D188" s="76" t="e">
        <v>#N/A</v>
      </c>
      <c r="E188" s="76" t="e">
        <v>#N/A</v>
      </c>
      <c r="F188" s="76" t="e">
        <v>#N/A</v>
      </c>
      <c r="G188" s="76" t="e">
        <v>#N/A</v>
      </c>
      <c r="H188" s="390" t="e">
        <v>#N/A</v>
      </c>
      <c r="I188" s="77" t="e">
        <v>#N/A</v>
      </c>
      <c r="J188" s="390" t="e">
        <v>#N/A</v>
      </c>
    </row>
    <row r="189" spans="2:10" hidden="1" outlineLevel="1">
      <c r="B189" s="376" t="s">
        <v>520</v>
      </c>
      <c r="C189" s="76" t="e">
        <v>#N/A</v>
      </c>
      <c r="D189" s="76" t="e">
        <v>#N/A</v>
      </c>
      <c r="E189" s="76" t="e">
        <v>#N/A</v>
      </c>
      <c r="F189" s="76" t="e">
        <v>#N/A</v>
      </c>
      <c r="G189" s="76" t="e">
        <v>#N/A</v>
      </c>
      <c r="H189" s="390" t="e">
        <v>#N/A</v>
      </c>
      <c r="I189" s="77" t="e">
        <v>#N/A</v>
      </c>
      <c r="J189" s="390" t="e">
        <v>#N/A</v>
      </c>
    </row>
    <row r="190" spans="2:10" hidden="1" outlineLevel="1">
      <c r="B190" s="376" t="s">
        <v>520</v>
      </c>
      <c r="C190" s="76" t="e">
        <v>#N/A</v>
      </c>
      <c r="D190" s="76" t="e">
        <v>#N/A</v>
      </c>
      <c r="E190" s="76" t="e">
        <v>#N/A</v>
      </c>
      <c r="F190" s="76" t="e">
        <v>#N/A</v>
      </c>
      <c r="G190" s="76" t="e">
        <v>#N/A</v>
      </c>
      <c r="H190" s="390" t="e">
        <v>#N/A</v>
      </c>
      <c r="I190" s="77" t="e">
        <v>#N/A</v>
      </c>
      <c r="J190" s="390" t="e">
        <v>#N/A</v>
      </c>
    </row>
    <row r="191" spans="2:10" hidden="1" outlineLevel="1">
      <c r="B191" s="376" t="s">
        <v>520</v>
      </c>
      <c r="C191" s="76" t="e">
        <v>#N/A</v>
      </c>
      <c r="D191" s="76" t="e">
        <v>#N/A</v>
      </c>
      <c r="E191" s="76" t="e">
        <v>#N/A</v>
      </c>
      <c r="F191" s="76" t="e">
        <v>#N/A</v>
      </c>
      <c r="G191" s="76" t="e">
        <v>#N/A</v>
      </c>
      <c r="H191" s="390" t="e">
        <v>#N/A</v>
      </c>
      <c r="I191" s="77" t="e">
        <v>#N/A</v>
      </c>
      <c r="J191" s="390" t="e">
        <v>#N/A</v>
      </c>
    </row>
    <row r="192" spans="2:10" hidden="1" outlineLevel="1">
      <c r="B192" s="376" t="s">
        <v>520</v>
      </c>
      <c r="C192" s="76" t="e">
        <v>#N/A</v>
      </c>
      <c r="D192" s="76" t="e">
        <v>#N/A</v>
      </c>
      <c r="E192" s="76" t="e">
        <v>#N/A</v>
      </c>
      <c r="F192" s="76" t="e">
        <v>#N/A</v>
      </c>
      <c r="G192" s="76" t="e">
        <v>#N/A</v>
      </c>
      <c r="H192" s="390" t="e">
        <v>#N/A</v>
      </c>
      <c r="I192" s="77" t="e">
        <v>#N/A</v>
      </c>
      <c r="J192" s="390" t="e">
        <v>#N/A</v>
      </c>
    </row>
    <row r="193" spans="2:10" hidden="1" outlineLevel="1">
      <c r="B193" s="376" t="s">
        <v>520</v>
      </c>
      <c r="C193" s="76" t="e">
        <v>#N/A</v>
      </c>
      <c r="D193" s="76" t="e">
        <v>#N/A</v>
      </c>
      <c r="E193" s="76" t="e">
        <v>#N/A</v>
      </c>
      <c r="F193" s="76" t="e">
        <v>#N/A</v>
      </c>
      <c r="G193" s="76" t="e">
        <v>#N/A</v>
      </c>
      <c r="H193" s="390" t="e">
        <v>#N/A</v>
      </c>
      <c r="I193" s="77" t="e">
        <v>#N/A</v>
      </c>
      <c r="J193" s="390" t="e">
        <v>#N/A</v>
      </c>
    </row>
    <row r="194" spans="2:10" hidden="1" outlineLevel="1">
      <c r="B194" s="376" t="s">
        <v>520</v>
      </c>
      <c r="C194" s="76" t="e">
        <v>#N/A</v>
      </c>
      <c r="D194" s="76" t="e">
        <v>#N/A</v>
      </c>
      <c r="E194" s="76" t="e">
        <v>#N/A</v>
      </c>
      <c r="F194" s="76" t="e">
        <v>#N/A</v>
      </c>
      <c r="G194" s="76" t="e">
        <v>#N/A</v>
      </c>
      <c r="H194" s="390" t="e">
        <v>#N/A</v>
      </c>
      <c r="I194" s="77" t="e">
        <v>#N/A</v>
      </c>
      <c r="J194" s="390" t="e">
        <v>#N/A</v>
      </c>
    </row>
    <row r="195" spans="2:10" hidden="1" outlineLevel="1">
      <c r="B195" s="376" t="s">
        <v>520</v>
      </c>
      <c r="C195" s="76" t="e">
        <v>#N/A</v>
      </c>
      <c r="D195" s="76" t="e">
        <v>#N/A</v>
      </c>
      <c r="E195" s="76" t="e">
        <v>#N/A</v>
      </c>
      <c r="F195" s="76" t="e">
        <v>#N/A</v>
      </c>
      <c r="G195" s="76" t="e">
        <v>#N/A</v>
      </c>
      <c r="H195" s="390" t="e">
        <v>#N/A</v>
      </c>
      <c r="I195" s="77" t="e">
        <v>#N/A</v>
      </c>
      <c r="J195" s="390" t="e">
        <v>#N/A</v>
      </c>
    </row>
    <row r="196" spans="2:10" hidden="1" outlineLevel="1">
      <c r="B196" s="376" t="s">
        <v>520</v>
      </c>
      <c r="C196" s="76" t="e">
        <v>#N/A</v>
      </c>
      <c r="D196" s="76" t="e">
        <v>#N/A</v>
      </c>
      <c r="E196" s="76" t="e">
        <v>#N/A</v>
      </c>
      <c r="F196" s="76" t="e">
        <v>#N/A</v>
      </c>
      <c r="G196" s="76" t="e">
        <v>#N/A</v>
      </c>
      <c r="H196" s="390" t="e">
        <v>#N/A</v>
      </c>
      <c r="I196" s="77" t="e">
        <v>#N/A</v>
      </c>
      <c r="J196" s="390" t="e">
        <v>#N/A</v>
      </c>
    </row>
    <row r="197" spans="2:10" hidden="1" outlineLevel="1">
      <c r="B197" s="376" t="s">
        <v>520</v>
      </c>
      <c r="C197" s="76" t="e">
        <v>#N/A</v>
      </c>
      <c r="D197" s="76" t="e">
        <v>#N/A</v>
      </c>
      <c r="E197" s="76" t="e">
        <v>#N/A</v>
      </c>
      <c r="F197" s="76" t="e">
        <v>#N/A</v>
      </c>
      <c r="G197" s="76" t="e">
        <v>#N/A</v>
      </c>
      <c r="H197" s="390" t="e">
        <v>#N/A</v>
      </c>
      <c r="I197" s="77" t="e">
        <v>#N/A</v>
      </c>
      <c r="J197" s="390" t="e">
        <v>#N/A</v>
      </c>
    </row>
    <row r="198" spans="2:10" hidden="1" outlineLevel="1">
      <c r="B198" s="376" t="s">
        <v>520</v>
      </c>
      <c r="C198" s="76" t="e">
        <v>#N/A</v>
      </c>
      <c r="D198" s="76" t="e">
        <v>#N/A</v>
      </c>
      <c r="E198" s="76" t="e">
        <v>#N/A</v>
      </c>
      <c r="F198" s="76" t="e">
        <v>#N/A</v>
      </c>
      <c r="G198" s="76" t="e">
        <v>#N/A</v>
      </c>
      <c r="H198" s="390" t="e">
        <v>#N/A</v>
      </c>
      <c r="I198" s="77" t="e">
        <v>#N/A</v>
      </c>
      <c r="J198" s="390" t="e">
        <v>#N/A</v>
      </c>
    </row>
    <row r="199" spans="2:10" hidden="1" outlineLevel="1">
      <c r="B199" s="376" t="s">
        <v>520</v>
      </c>
      <c r="C199" s="76" t="e">
        <v>#N/A</v>
      </c>
      <c r="D199" s="76" t="e">
        <v>#N/A</v>
      </c>
      <c r="E199" s="76" t="e">
        <v>#N/A</v>
      </c>
      <c r="F199" s="76" t="e">
        <v>#N/A</v>
      </c>
      <c r="G199" s="76" t="e">
        <v>#N/A</v>
      </c>
      <c r="H199" s="390" t="e">
        <v>#N/A</v>
      </c>
      <c r="I199" s="77" t="e">
        <v>#N/A</v>
      </c>
      <c r="J199" s="390" t="e">
        <v>#N/A</v>
      </c>
    </row>
    <row r="200" spans="2:10" hidden="1" outlineLevel="1">
      <c r="B200" s="376" t="s">
        <v>520</v>
      </c>
      <c r="C200" s="76" t="e">
        <v>#N/A</v>
      </c>
      <c r="D200" s="76" t="e">
        <v>#N/A</v>
      </c>
      <c r="E200" s="76" t="e">
        <v>#N/A</v>
      </c>
      <c r="F200" s="76" t="e">
        <v>#N/A</v>
      </c>
      <c r="G200" s="76" t="e">
        <v>#N/A</v>
      </c>
      <c r="H200" s="390" t="e">
        <v>#N/A</v>
      </c>
      <c r="I200" s="77" t="e">
        <v>#N/A</v>
      </c>
      <c r="J200" s="390" t="e">
        <v>#N/A</v>
      </c>
    </row>
    <row r="201" spans="2:10" hidden="1" outlineLevel="1">
      <c r="B201" s="376" t="s">
        <v>520</v>
      </c>
      <c r="C201" s="76" t="e">
        <v>#N/A</v>
      </c>
      <c r="D201" s="76" t="e">
        <v>#N/A</v>
      </c>
      <c r="E201" s="76" t="e">
        <v>#N/A</v>
      </c>
      <c r="F201" s="76" t="e">
        <v>#N/A</v>
      </c>
      <c r="G201" s="76" t="e">
        <v>#N/A</v>
      </c>
      <c r="H201" s="390" t="e">
        <v>#N/A</v>
      </c>
      <c r="I201" s="77" t="e">
        <v>#N/A</v>
      </c>
      <c r="J201" s="390" t="e">
        <v>#N/A</v>
      </c>
    </row>
    <row r="202" spans="2:10" hidden="1" outlineLevel="1">
      <c r="B202" s="376" t="s">
        <v>520</v>
      </c>
      <c r="C202" s="76" t="e">
        <v>#N/A</v>
      </c>
      <c r="D202" s="76" t="e">
        <v>#N/A</v>
      </c>
      <c r="E202" s="76" t="e">
        <v>#N/A</v>
      </c>
      <c r="F202" s="76" t="e">
        <v>#N/A</v>
      </c>
      <c r="G202" s="76" t="e">
        <v>#N/A</v>
      </c>
      <c r="H202" s="390" t="e">
        <v>#N/A</v>
      </c>
      <c r="I202" s="77" t="e">
        <v>#N/A</v>
      </c>
      <c r="J202" s="390" t="e">
        <v>#N/A</v>
      </c>
    </row>
    <row r="203" spans="2:10" hidden="1" outlineLevel="1">
      <c r="B203" s="376" t="s">
        <v>520</v>
      </c>
      <c r="C203" s="76" t="e">
        <v>#N/A</v>
      </c>
      <c r="D203" s="76" t="e">
        <v>#N/A</v>
      </c>
      <c r="E203" s="76" t="e">
        <v>#N/A</v>
      </c>
      <c r="F203" s="76" t="e">
        <v>#N/A</v>
      </c>
      <c r="G203" s="76" t="e">
        <v>#N/A</v>
      </c>
      <c r="H203" s="390" t="e">
        <v>#N/A</v>
      </c>
      <c r="I203" s="77" t="e">
        <v>#N/A</v>
      </c>
      <c r="J203" s="390" t="e">
        <v>#N/A</v>
      </c>
    </row>
    <row r="204" spans="2:10" hidden="1" outlineLevel="1">
      <c r="B204" s="376" t="s">
        <v>520</v>
      </c>
      <c r="C204" s="76" t="e">
        <v>#N/A</v>
      </c>
      <c r="D204" s="76" t="e">
        <v>#N/A</v>
      </c>
      <c r="E204" s="76" t="e">
        <v>#N/A</v>
      </c>
      <c r="F204" s="76" t="e">
        <v>#N/A</v>
      </c>
      <c r="G204" s="76" t="e">
        <v>#N/A</v>
      </c>
      <c r="H204" s="390" t="e">
        <v>#N/A</v>
      </c>
      <c r="I204" s="77" t="e">
        <v>#N/A</v>
      </c>
      <c r="J204" s="390" t="e">
        <v>#N/A</v>
      </c>
    </row>
    <row r="205" spans="2:10" hidden="1" outlineLevel="1">
      <c r="B205" s="376" t="s">
        <v>520</v>
      </c>
      <c r="C205" s="76" t="e">
        <v>#N/A</v>
      </c>
      <c r="D205" s="76" t="e">
        <v>#N/A</v>
      </c>
      <c r="E205" s="76" t="e">
        <v>#N/A</v>
      </c>
      <c r="F205" s="76" t="e">
        <v>#N/A</v>
      </c>
      <c r="G205" s="76" t="e">
        <v>#N/A</v>
      </c>
      <c r="H205" s="390" t="e">
        <v>#N/A</v>
      </c>
      <c r="I205" s="77" t="e">
        <v>#N/A</v>
      </c>
      <c r="J205" s="390" t="e">
        <v>#N/A</v>
      </c>
    </row>
    <row r="206" spans="2:10" hidden="1" outlineLevel="1">
      <c r="B206" s="376" t="s">
        <v>520</v>
      </c>
      <c r="C206" s="76" t="e">
        <v>#N/A</v>
      </c>
      <c r="D206" s="76" t="e">
        <v>#N/A</v>
      </c>
      <c r="E206" s="76" t="e">
        <v>#N/A</v>
      </c>
      <c r="F206" s="76" t="e">
        <v>#N/A</v>
      </c>
      <c r="G206" s="76" t="e">
        <v>#N/A</v>
      </c>
      <c r="H206" s="390" t="e">
        <v>#N/A</v>
      </c>
      <c r="I206" s="77" t="e">
        <v>#N/A</v>
      </c>
      <c r="J206" s="390" t="e">
        <v>#N/A</v>
      </c>
    </row>
    <row r="207" spans="2:10" hidden="1" outlineLevel="1">
      <c r="B207" s="376" t="s">
        <v>520</v>
      </c>
      <c r="C207" s="76" t="e">
        <v>#N/A</v>
      </c>
      <c r="D207" s="76" t="e">
        <v>#N/A</v>
      </c>
      <c r="E207" s="76" t="e">
        <v>#N/A</v>
      </c>
      <c r="F207" s="76" t="e">
        <v>#N/A</v>
      </c>
      <c r="G207" s="76" t="e">
        <v>#N/A</v>
      </c>
      <c r="H207" s="390" t="e">
        <v>#N/A</v>
      </c>
      <c r="I207" s="77" t="e">
        <v>#N/A</v>
      </c>
      <c r="J207" s="390" t="e">
        <v>#N/A</v>
      </c>
    </row>
    <row r="208" spans="2:10" hidden="1" outlineLevel="1">
      <c r="B208" s="376" t="s">
        <v>520</v>
      </c>
      <c r="C208" s="76" t="e">
        <v>#N/A</v>
      </c>
      <c r="D208" s="76" t="e">
        <v>#N/A</v>
      </c>
      <c r="E208" s="76" t="e">
        <v>#N/A</v>
      </c>
      <c r="F208" s="76" t="e">
        <v>#N/A</v>
      </c>
      <c r="G208" s="76" t="e">
        <v>#N/A</v>
      </c>
      <c r="H208" s="390" t="e">
        <v>#N/A</v>
      </c>
      <c r="I208" s="77" t="e">
        <v>#N/A</v>
      </c>
      <c r="J208" s="390" t="e">
        <v>#N/A</v>
      </c>
    </row>
    <row r="209" spans="2:10" hidden="1" outlineLevel="1">
      <c r="B209" s="376" t="s">
        <v>520</v>
      </c>
      <c r="C209" s="76" t="e">
        <v>#N/A</v>
      </c>
      <c r="D209" s="76" t="e">
        <v>#N/A</v>
      </c>
      <c r="E209" s="76" t="e">
        <v>#N/A</v>
      </c>
      <c r="F209" s="76" t="e">
        <v>#N/A</v>
      </c>
      <c r="G209" s="76" t="e">
        <v>#N/A</v>
      </c>
      <c r="H209" s="390" t="e">
        <v>#N/A</v>
      </c>
      <c r="I209" s="77" t="e">
        <v>#N/A</v>
      </c>
      <c r="J209" s="390" t="e">
        <v>#N/A</v>
      </c>
    </row>
    <row r="210" spans="2:10" hidden="1" outlineLevel="1">
      <c r="B210" s="376" t="s">
        <v>520</v>
      </c>
      <c r="C210" s="76" t="e">
        <v>#N/A</v>
      </c>
      <c r="D210" s="76" t="e">
        <v>#N/A</v>
      </c>
      <c r="E210" s="76" t="e">
        <v>#N/A</v>
      </c>
      <c r="F210" s="76" t="e">
        <v>#N/A</v>
      </c>
      <c r="G210" s="76" t="e">
        <v>#N/A</v>
      </c>
      <c r="H210" s="390" t="e">
        <v>#N/A</v>
      </c>
      <c r="I210" s="77" t="e">
        <v>#N/A</v>
      </c>
      <c r="J210" s="390" t="e">
        <v>#N/A</v>
      </c>
    </row>
    <row r="211" spans="2:10" hidden="1" outlineLevel="1">
      <c r="B211" s="376" t="s">
        <v>520</v>
      </c>
      <c r="C211" s="76" t="e">
        <v>#N/A</v>
      </c>
      <c r="D211" s="76" t="e">
        <v>#N/A</v>
      </c>
      <c r="E211" s="76" t="e">
        <v>#N/A</v>
      </c>
      <c r="F211" s="76" t="e">
        <v>#N/A</v>
      </c>
      <c r="G211" s="76" t="e">
        <v>#N/A</v>
      </c>
      <c r="H211" s="390" t="e">
        <v>#N/A</v>
      </c>
      <c r="I211" s="77" t="e">
        <v>#N/A</v>
      </c>
      <c r="J211" s="390" t="e">
        <v>#N/A</v>
      </c>
    </row>
    <row r="212" spans="2:10" hidden="1" outlineLevel="1">
      <c r="B212" s="376" t="s">
        <v>520</v>
      </c>
      <c r="C212" s="76" t="e">
        <v>#N/A</v>
      </c>
      <c r="D212" s="76" t="e">
        <v>#N/A</v>
      </c>
      <c r="E212" s="76" t="e">
        <v>#N/A</v>
      </c>
      <c r="F212" s="76" t="e">
        <v>#N/A</v>
      </c>
      <c r="G212" s="76" t="e">
        <v>#N/A</v>
      </c>
      <c r="H212" s="390" t="e">
        <v>#N/A</v>
      </c>
      <c r="I212" s="77" t="e">
        <v>#N/A</v>
      </c>
      <c r="J212" s="390" t="e">
        <v>#N/A</v>
      </c>
    </row>
    <row r="213" spans="2:10" hidden="1" outlineLevel="1">
      <c r="B213" s="376" t="s">
        <v>520</v>
      </c>
      <c r="C213" s="76" t="e">
        <v>#N/A</v>
      </c>
      <c r="D213" s="76" t="e">
        <v>#N/A</v>
      </c>
      <c r="E213" s="76" t="e">
        <v>#N/A</v>
      </c>
      <c r="F213" s="76" t="e">
        <v>#N/A</v>
      </c>
      <c r="G213" s="76" t="e">
        <v>#N/A</v>
      </c>
      <c r="H213" s="390" t="e">
        <v>#N/A</v>
      </c>
      <c r="I213" s="77" t="e">
        <v>#N/A</v>
      </c>
      <c r="J213" s="390" t="e">
        <v>#N/A</v>
      </c>
    </row>
    <row r="214" spans="2:10" hidden="1" outlineLevel="1">
      <c r="B214" s="376" t="s">
        <v>520</v>
      </c>
      <c r="C214" s="76" t="e">
        <v>#N/A</v>
      </c>
      <c r="D214" s="76" t="e">
        <v>#N/A</v>
      </c>
      <c r="E214" s="76" t="e">
        <v>#N/A</v>
      </c>
      <c r="F214" s="76" t="e">
        <v>#N/A</v>
      </c>
      <c r="G214" s="76" t="e">
        <v>#N/A</v>
      </c>
      <c r="H214" s="390" t="e">
        <v>#N/A</v>
      </c>
      <c r="I214" s="77" t="e">
        <v>#N/A</v>
      </c>
      <c r="J214" s="390" t="e">
        <v>#N/A</v>
      </c>
    </row>
    <row r="215" spans="2:10" hidden="1" outlineLevel="1">
      <c r="B215" s="376" t="s">
        <v>520</v>
      </c>
      <c r="C215" s="76" t="e">
        <v>#N/A</v>
      </c>
      <c r="D215" s="76" t="e">
        <v>#N/A</v>
      </c>
      <c r="E215" s="76" t="e">
        <v>#N/A</v>
      </c>
      <c r="F215" s="76" t="e">
        <v>#N/A</v>
      </c>
      <c r="G215" s="76" t="e">
        <v>#N/A</v>
      </c>
      <c r="H215" s="390" t="e">
        <v>#N/A</v>
      </c>
      <c r="I215" s="77" t="e">
        <v>#N/A</v>
      </c>
      <c r="J215" s="390" t="e">
        <v>#N/A</v>
      </c>
    </row>
    <row r="216" spans="2:10" hidden="1" outlineLevel="1">
      <c r="B216" s="376" t="s">
        <v>520</v>
      </c>
      <c r="C216" s="76" t="e">
        <v>#N/A</v>
      </c>
      <c r="D216" s="76" t="e">
        <v>#N/A</v>
      </c>
      <c r="E216" s="76" t="e">
        <v>#N/A</v>
      </c>
      <c r="F216" s="76" t="e">
        <v>#N/A</v>
      </c>
      <c r="G216" s="76" t="e">
        <v>#N/A</v>
      </c>
      <c r="H216" s="390" t="e">
        <v>#N/A</v>
      </c>
      <c r="I216" s="77" t="e">
        <v>#N/A</v>
      </c>
      <c r="J216" s="390" t="e">
        <v>#N/A</v>
      </c>
    </row>
    <row r="217" spans="2:10" hidden="1" outlineLevel="1">
      <c r="B217" s="376" t="s">
        <v>520</v>
      </c>
      <c r="C217" s="76" t="e">
        <v>#N/A</v>
      </c>
      <c r="D217" s="76" t="e">
        <v>#N/A</v>
      </c>
      <c r="E217" s="76" t="e">
        <v>#N/A</v>
      </c>
      <c r="F217" s="76" t="e">
        <v>#N/A</v>
      </c>
      <c r="G217" s="76" t="e">
        <v>#N/A</v>
      </c>
      <c r="H217" s="390" t="e">
        <v>#N/A</v>
      </c>
      <c r="I217" s="77" t="e">
        <v>#N/A</v>
      </c>
      <c r="J217" s="390" t="e">
        <v>#N/A</v>
      </c>
    </row>
    <row r="218" spans="2:10" hidden="1" outlineLevel="1">
      <c r="B218" s="376" t="s">
        <v>520</v>
      </c>
      <c r="C218" s="76" t="e">
        <v>#N/A</v>
      </c>
      <c r="D218" s="76" t="e">
        <v>#N/A</v>
      </c>
      <c r="E218" s="76" t="e">
        <v>#N/A</v>
      </c>
      <c r="F218" s="76" t="e">
        <v>#N/A</v>
      </c>
      <c r="G218" s="76" t="e">
        <v>#N/A</v>
      </c>
      <c r="H218" s="390" t="e">
        <v>#N/A</v>
      </c>
      <c r="I218" s="77" t="e">
        <v>#N/A</v>
      </c>
      <c r="J218" s="390" t="e">
        <v>#N/A</v>
      </c>
    </row>
    <row r="219" spans="2:10" hidden="1" outlineLevel="1">
      <c r="B219" s="376" t="s">
        <v>520</v>
      </c>
      <c r="C219" s="76" t="e">
        <v>#N/A</v>
      </c>
      <c r="D219" s="76" t="e">
        <v>#N/A</v>
      </c>
      <c r="E219" s="76" t="e">
        <v>#N/A</v>
      </c>
      <c r="F219" s="76" t="e">
        <v>#N/A</v>
      </c>
      <c r="G219" s="76" t="e">
        <v>#N/A</v>
      </c>
      <c r="H219" s="390" t="e">
        <v>#N/A</v>
      </c>
      <c r="I219" s="77" t="e">
        <v>#N/A</v>
      </c>
      <c r="J219" s="390" t="e">
        <v>#N/A</v>
      </c>
    </row>
    <row r="220" spans="2:10" hidden="1" outlineLevel="1">
      <c r="B220" s="376" t="s">
        <v>520</v>
      </c>
      <c r="C220" s="76" t="e">
        <v>#N/A</v>
      </c>
      <c r="D220" s="76" t="e">
        <v>#N/A</v>
      </c>
      <c r="E220" s="76" t="e">
        <v>#N/A</v>
      </c>
      <c r="F220" s="76" t="e">
        <v>#N/A</v>
      </c>
      <c r="G220" s="76" t="e">
        <v>#N/A</v>
      </c>
      <c r="H220" s="390" t="e">
        <v>#N/A</v>
      </c>
      <c r="I220" s="77" t="e">
        <v>#N/A</v>
      </c>
      <c r="J220" s="390" t="e">
        <v>#N/A</v>
      </c>
    </row>
    <row r="221" spans="2:10" hidden="1" outlineLevel="1">
      <c r="B221" s="376" t="s">
        <v>520</v>
      </c>
      <c r="C221" s="76" t="e">
        <v>#N/A</v>
      </c>
      <c r="D221" s="76" t="e">
        <v>#N/A</v>
      </c>
      <c r="E221" s="76" t="e">
        <v>#N/A</v>
      </c>
      <c r="F221" s="76" t="e">
        <v>#N/A</v>
      </c>
      <c r="G221" s="76" t="e">
        <v>#N/A</v>
      </c>
      <c r="H221" s="390" t="e">
        <v>#N/A</v>
      </c>
      <c r="I221" s="77" t="e">
        <v>#N/A</v>
      </c>
      <c r="J221" s="390" t="e">
        <v>#N/A</v>
      </c>
    </row>
    <row r="222" spans="2:10" hidden="1" outlineLevel="1">
      <c r="B222" s="376" t="s">
        <v>520</v>
      </c>
      <c r="C222" s="76" t="e">
        <v>#N/A</v>
      </c>
      <c r="D222" s="76" t="e">
        <v>#N/A</v>
      </c>
      <c r="E222" s="76" t="e">
        <v>#N/A</v>
      </c>
      <c r="F222" s="76" t="e">
        <v>#N/A</v>
      </c>
      <c r="G222" s="76" t="e">
        <v>#N/A</v>
      </c>
      <c r="H222" s="390" t="e">
        <v>#N/A</v>
      </c>
      <c r="I222" s="77" t="e">
        <v>#N/A</v>
      </c>
      <c r="J222" s="390" t="e">
        <v>#N/A</v>
      </c>
    </row>
    <row r="223" spans="2:10" hidden="1" outlineLevel="1">
      <c r="B223" s="376" t="s">
        <v>520</v>
      </c>
      <c r="C223" s="76" t="e">
        <v>#N/A</v>
      </c>
      <c r="D223" s="76" t="e">
        <v>#N/A</v>
      </c>
      <c r="E223" s="76" t="e">
        <v>#N/A</v>
      </c>
      <c r="F223" s="76" t="e">
        <v>#N/A</v>
      </c>
      <c r="G223" s="76" t="e">
        <v>#N/A</v>
      </c>
      <c r="H223" s="390" t="e">
        <v>#N/A</v>
      </c>
      <c r="I223" s="77" t="e">
        <v>#N/A</v>
      </c>
      <c r="J223" s="390" t="e">
        <v>#N/A</v>
      </c>
    </row>
    <row r="224" spans="2:10" hidden="1" outlineLevel="1">
      <c r="B224" s="376" t="s">
        <v>520</v>
      </c>
      <c r="C224" s="76" t="e">
        <v>#N/A</v>
      </c>
      <c r="D224" s="76" t="e">
        <v>#N/A</v>
      </c>
      <c r="E224" s="76" t="e">
        <v>#N/A</v>
      </c>
      <c r="F224" s="76" t="e">
        <v>#N/A</v>
      </c>
      <c r="G224" s="76" t="e">
        <v>#N/A</v>
      </c>
      <c r="H224" s="390" t="e">
        <v>#N/A</v>
      </c>
      <c r="I224" s="77" t="e">
        <v>#N/A</v>
      </c>
      <c r="J224" s="390" t="e">
        <v>#N/A</v>
      </c>
    </row>
    <row r="225" spans="2:10" hidden="1" outlineLevel="1">
      <c r="B225" s="376" t="s">
        <v>520</v>
      </c>
      <c r="C225" s="76" t="e">
        <v>#N/A</v>
      </c>
      <c r="D225" s="76" t="e">
        <v>#N/A</v>
      </c>
      <c r="E225" s="76" t="e">
        <v>#N/A</v>
      </c>
      <c r="F225" s="76" t="e">
        <v>#N/A</v>
      </c>
      <c r="G225" s="76" t="e">
        <v>#N/A</v>
      </c>
      <c r="H225" s="390" t="e">
        <v>#N/A</v>
      </c>
      <c r="I225" s="77" t="e">
        <v>#N/A</v>
      </c>
      <c r="J225" s="390" t="e">
        <v>#N/A</v>
      </c>
    </row>
    <row r="226" spans="2:10" hidden="1" outlineLevel="1">
      <c r="B226" s="376" t="s">
        <v>520</v>
      </c>
      <c r="C226" s="76" t="e">
        <v>#N/A</v>
      </c>
      <c r="D226" s="76" t="e">
        <v>#N/A</v>
      </c>
      <c r="E226" s="76" t="e">
        <v>#N/A</v>
      </c>
      <c r="F226" s="76" t="e">
        <v>#N/A</v>
      </c>
      <c r="G226" s="76" t="e">
        <v>#N/A</v>
      </c>
      <c r="H226" s="390" t="e">
        <v>#N/A</v>
      </c>
      <c r="I226" s="77" t="e">
        <v>#N/A</v>
      </c>
      <c r="J226" s="390" t="e">
        <v>#N/A</v>
      </c>
    </row>
    <row r="227" spans="2:10" hidden="1" outlineLevel="1">
      <c r="B227" s="376" t="s">
        <v>520</v>
      </c>
      <c r="C227" s="76" t="e">
        <v>#N/A</v>
      </c>
      <c r="D227" s="76" t="e">
        <v>#N/A</v>
      </c>
      <c r="E227" s="76" t="e">
        <v>#N/A</v>
      </c>
      <c r="F227" s="76" t="e">
        <v>#N/A</v>
      </c>
      <c r="G227" s="76" t="e">
        <v>#N/A</v>
      </c>
      <c r="H227" s="390" t="e">
        <v>#N/A</v>
      </c>
      <c r="I227" s="77" t="e">
        <v>#N/A</v>
      </c>
      <c r="J227" s="390" t="e">
        <v>#N/A</v>
      </c>
    </row>
    <row r="228" spans="2:10" hidden="1" outlineLevel="1">
      <c r="B228" s="376" t="s">
        <v>520</v>
      </c>
      <c r="C228" s="76" t="e">
        <v>#N/A</v>
      </c>
      <c r="D228" s="76" t="e">
        <v>#N/A</v>
      </c>
      <c r="E228" s="76" t="e">
        <v>#N/A</v>
      </c>
      <c r="F228" s="76" t="e">
        <v>#N/A</v>
      </c>
      <c r="G228" s="76" t="e">
        <v>#N/A</v>
      </c>
      <c r="H228" s="390" t="e">
        <v>#N/A</v>
      </c>
      <c r="I228" s="77" t="e">
        <v>#N/A</v>
      </c>
      <c r="J228" s="390" t="e">
        <v>#N/A</v>
      </c>
    </row>
    <row r="229" spans="2:10" hidden="1" outlineLevel="1">
      <c r="B229" s="376" t="s">
        <v>520</v>
      </c>
      <c r="C229" s="76" t="e">
        <v>#N/A</v>
      </c>
      <c r="D229" s="76" t="e">
        <v>#N/A</v>
      </c>
      <c r="E229" s="76" t="e">
        <v>#N/A</v>
      </c>
      <c r="F229" s="76" t="e">
        <v>#N/A</v>
      </c>
      <c r="G229" s="76" t="e">
        <v>#N/A</v>
      </c>
      <c r="H229" s="390" t="e">
        <v>#N/A</v>
      </c>
      <c r="I229" s="77" t="e">
        <v>#N/A</v>
      </c>
      <c r="J229" s="390" t="e">
        <v>#N/A</v>
      </c>
    </row>
    <row r="230" spans="2:10" hidden="1" outlineLevel="1">
      <c r="B230" s="376" t="s">
        <v>520</v>
      </c>
      <c r="C230" s="76" t="e">
        <v>#N/A</v>
      </c>
      <c r="D230" s="76" t="e">
        <v>#N/A</v>
      </c>
      <c r="E230" s="76" t="e">
        <v>#N/A</v>
      </c>
      <c r="F230" s="76" t="e">
        <v>#N/A</v>
      </c>
      <c r="G230" s="76" t="e">
        <v>#N/A</v>
      </c>
      <c r="H230" s="390" t="e">
        <v>#N/A</v>
      </c>
      <c r="I230" s="77" t="e">
        <v>#N/A</v>
      </c>
      <c r="J230" s="390" t="e">
        <v>#N/A</v>
      </c>
    </row>
    <row r="231" spans="2:10" hidden="1" outlineLevel="1">
      <c r="B231" s="376" t="s">
        <v>520</v>
      </c>
      <c r="C231" s="76" t="e">
        <v>#N/A</v>
      </c>
      <c r="D231" s="76" t="e">
        <v>#N/A</v>
      </c>
      <c r="E231" s="76" t="e">
        <v>#N/A</v>
      </c>
      <c r="F231" s="76" t="e">
        <v>#N/A</v>
      </c>
      <c r="G231" s="76" t="e">
        <v>#N/A</v>
      </c>
      <c r="H231" s="390" t="e">
        <v>#N/A</v>
      </c>
      <c r="I231" s="77" t="e">
        <v>#N/A</v>
      </c>
      <c r="J231" s="390" t="e">
        <v>#N/A</v>
      </c>
    </row>
    <row r="232" spans="2:10" hidden="1" outlineLevel="1">
      <c r="B232" s="376" t="s">
        <v>520</v>
      </c>
      <c r="C232" s="76" t="e">
        <v>#N/A</v>
      </c>
      <c r="D232" s="76" t="e">
        <v>#N/A</v>
      </c>
      <c r="E232" s="76" t="e">
        <v>#N/A</v>
      </c>
      <c r="F232" s="76" t="e">
        <v>#N/A</v>
      </c>
      <c r="G232" s="76" t="e">
        <v>#N/A</v>
      </c>
      <c r="H232" s="390" t="e">
        <v>#N/A</v>
      </c>
      <c r="I232" s="77" t="e">
        <v>#N/A</v>
      </c>
      <c r="J232" s="390" t="e">
        <v>#N/A</v>
      </c>
    </row>
    <row r="233" spans="2:10" hidden="1" outlineLevel="1">
      <c r="B233" s="376" t="s">
        <v>520</v>
      </c>
      <c r="C233" s="76" t="e">
        <v>#N/A</v>
      </c>
      <c r="D233" s="76" t="e">
        <v>#N/A</v>
      </c>
      <c r="E233" s="76" t="e">
        <v>#N/A</v>
      </c>
      <c r="F233" s="76" t="e">
        <v>#N/A</v>
      </c>
      <c r="G233" s="76" t="e">
        <v>#N/A</v>
      </c>
      <c r="H233" s="390" t="e">
        <v>#N/A</v>
      </c>
      <c r="I233" s="77" t="e">
        <v>#N/A</v>
      </c>
      <c r="J233" s="390" t="e">
        <v>#N/A</v>
      </c>
    </row>
    <row r="234" spans="2:10" hidden="1" outlineLevel="1">
      <c r="B234" s="376" t="s">
        <v>520</v>
      </c>
      <c r="C234" s="76" t="e">
        <v>#N/A</v>
      </c>
      <c r="D234" s="76" t="e">
        <v>#N/A</v>
      </c>
      <c r="E234" s="76" t="e">
        <v>#N/A</v>
      </c>
      <c r="F234" s="76" t="e">
        <v>#N/A</v>
      </c>
      <c r="G234" s="76" t="e">
        <v>#N/A</v>
      </c>
      <c r="H234" s="390" t="e">
        <v>#N/A</v>
      </c>
      <c r="I234" s="77" t="e">
        <v>#N/A</v>
      </c>
      <c r="J234" s="390" t="e">
        <v>#N/A</v>
      </c>
    </row>
    <row r="235" spans="2:10" hidden="1" outlineLevel="1">
      <c r="B235" s="376" t="s">
        <v>520</v>
      </c>
      <c r="C235" s="76" t="e">
        <v>#N/A</v>
      </c>
      <c r="D235" s="76" t="e">
        <v>#N/A</v>
      </c>
      <c r="E235" s="76" t="e">
        <v>#N/A</v>
      </c>
      <c r="F235" s="76" t="e">
        <v>#N/A</v>
      </c>
      <c r="G235" s="76" t="e">
        <v>#N/A</v>
      </c>
      <c r="H235" s="390" t="e">
        <v>#N/A</v>
      </c>
      <c r="I235" s="77" t="e">
        <v>#N/A</v>
      </c>
      <c r="J235" s="390" t="e">
        <v>#N/A</v>
      </c>
    </row>
    <row r="236" spans="2:10" hidden="1" outlineLevel="1">
      <c r="B236" s="376" t="s">
        <v>520</v>
      </c>
      <c r="C236" s="76" t="e">
        <v>#N/A</v>
      </c>
      <c r="D236" s="76" t="e">
        <v>#N/A</v>
      </c>
      <c r="E236" s="76" t="e">
        <v>#N/A</v>
      </c>
      <c r="F236" s="76" t="e">
        <v>#N/A</v>
      </c>
      <c r="G236" s="76" t="e">
        <v>#N/A</v>
      </c>
      <c r="H236" s="390" t="e">
        <v>#N/A</v>
      </c>
      <c r="I236" s="77" t="e">
        <v>#N/A</v>
      </c>
      <c r="J236" s="390" t="e">
        <v>#N/A</v>
      </c>
    </row>
    <row r="237" spans="2:10" hidden="1" outlineLevel="1">
      <c r="B237" s="376" t="s">
        <v>520</v>
      </c>
      <c r="C237" s="76" t="e">
        <v>#N/A</v>
      </c>
      <c r="D237" s="76" t="e">
        <v>#N/A</v>
      </c>
      <c r="E237" s="76" t="e">
        <v>#N/A</v>
      </c>
      <c r="F237" s="76" t="e">
        <v>#N/A</v>
      </c>
      <c r="G237" s="76" t="e">
        <v>#N/A</v>
      </c>
      <c r="H237" s="390" t="e">
        <v>#N/A</v>
      </c>
      <c r="I237" s="77" t="e">
        <v>#N/A</v>
      </c>
      <c r="J237" s="390" t="e">
        <v>#N/A</v>
      </c>
    </row>
    <row r="238" spans="2:10" hidden="1" outlineLevel="1">
      <c r="B238" s="376" t="s">
        <v>520</v>
      </c>
      <c r="C238" s="76" t="e">
        <v>#N/A</v>
      </c>
      <c r="D238" s="76" t="e">
        <v>#N/A</v>
      </c>
      <c r="E238" s="76" t="e">
        <v>#N/A</v>
      </c>
      <c r="F238" s="76" t="e">
        <v>#N/A</v>
      </c>
      <c r="G238" s="76" t="e">
        <v>#N/A</v>
      </c>
      <c r="H238" s="390" t="e">
        <v>#N/A</v>
      </c>
      <c r="I238" s="77" t="e">
        <v>#N/A</v>
      </c>
      <c r="J238" s="390" t="e">
        <v>#N/A</v>
      </c>
    </row>
    <row r="239" spans="2:10" hidden="1" outlineLevel="1">
      <c r="B239" s="376" t="s">
        <v>520</v>
      </c>
      <c r="C239" s="76" t="e">
        <v>#N/A</v>
      </c>
      <c r="D239" s="76" t="e">
        <v>#N/A</v>
      </c>
      <c r="E239" s="76" t="e">
        <v>#N/A</v>
      </c>
      <c r="F239" s="76" t="e">
        <v>#N/A</v>
      </c>
      <c r="G239" s="76" t="e">
        <v>#N/A</v>
      </c>
      <c r="H239" s="390" t="e">
        <v>#N/A</v>
      </c>
      <c r="I239" s="77" t="e">
        <v>#N/A</v>
      </c>
      <c r="J239" s="390" t="e">
        <v>#N/A</v>
      </c>
    </row>
    <row r="240" spans="2:10" hidden="1" outlineLevel="1">
      <c r="B240" s="376" t="s">
        <v>520</v>
      </c>
      <c r="C240" s="76" t="e">
        <v>#N/A</v>
      </c>
      <c r="D240" s="76" t="e">
        <v>#N/A</v>
      </c>
      <c r="E240" s="76" t="e">
        <v>#N/A</v>
      </c>
      <c r="F240" s="76" t="e">
        <v>#N/A</v>
      </c>
      <c r="G240" s="76" t="e">
        <v>#N/A</v>
      </c>
      <c r="H240" s="390" t="e">
        <v>#N/A</v>
      </c>
      <c r="I240" s="77" t="e">
        <v>#N/A</v>
      </c>
      <c r="J240" s="390" t="e">
        <v>#N/A</v>
      </c>
    </row>
    <row r="241" spans="1:14" hidden="1" outlineLevel="1">
      <c r="B241" s="376" t="s">
        <v>520</v>
      </c>
      <c r="C241" s="76" t="e">
        <v>#N/A</v>
      </c>
      <c r="D241" s="76" t="e">
        <v>#N/A</v>
      </c>
      <c r="E241" s="76" t="e">
        <v>#N/A</v>
      </c>
      <c r="F241" s="76" t="e">
        <v>#N/A</v>
      </c>
      <c r="G241" s="76" t="e">
        <v>#N/A</v>
      </c>
      <c r="H241" s="390" t="e">
        <v>#N/A</v>
      </c>
      <c r="I241" s="77" t="e">
        <v>#N/A</v>
      </c>
      <c r="J241" s="390" t="e">
        <v>#N/A</v>
      </c>
    </row>
    <row r="242" spans="1:14" hidden="1" outlineLevel="1">
      <c r="B242" s="376" t="s">
        <v>520</v>
      </c>
      <c r="C242" s="76" t="e">
        <v>#N/A</v>
      </c>
      <c r="D242" s="76" t="e">
        <v>#N/A</v>
      </c>
      <c r="E242" s="76" t="e">
        <v>#N/A</v>
      </c>
      <c r="F242" s="76" t="e">
        <v>#N/A</v>
      </c>
      <c r="G242" s="76" t="e">
        <v>#N/A</v>
      </c>
      <c r="H242" s="390" t="e">
        <v>#N/A</v>
      </c>
      <c r="I242" s="77" t="e">
        <v>#N/A</v>
      </c>
      <c r="J242" s="390" t="e">
        <v>#N/A</v>
      </c>
    </row>
    <row r="243" spans="1:14" hidden="1" outlineLevel="1">
      <c r="B243" s="376" t="s">
        <v>520</v>
      </c>
      <c r="C243" s="76" t="e">
        <v>#N/A</v>
      </c>
      <c r="D243" s="76" t="e">
        <v>#N/A</v>
      </c>
      <c r="E243" s="76" t="e">
        <v>#N/A</v>
      </c>
      <c r="F243" s="76" t="e">
        <v>#N/A</v>
      </c>
      <c r="G243" s="76" t="e">
        <v>#N/A</v>
      </c>
      <c r="H243" s="390" t="e">
        <v>#N/A</v>
      </c>
      <c r="I243" s="77" t="e">
        <v>#N/A</v>
      </c>
      <c r="J243" s="390" t="e">
        <v>#N/A</v>
      </c>
    </row>
    <row r="244" spans="1:14" hidden="1" outlineLevel="1">
      <c r="B244" s="376" t="s">
        <v>520</v>
      </c>
      <c r="C244" s="76" t="e">
        <v>#N/A</v>
      </c>
      <c r="D244" s="76" t="e">
        <v>#N/A</v>
      </c>
      <c r="E244" s="76" t="e">
        <v>#N/A</v>
      </c>
      <c r="F244" s="76" t="e">
        <v>#N/A</v>
      </c>
      <c r="G244" s="76" t="e">
        <v>#N/A</v>
      </c>
      <c r="H244" s="390" t="e">
        <v>#N/A</v>
      </c>
      <c r="I244" s="77" t="e">
        <v>#N/A</v>
      </c>
      <c r="J244" s="390" t="e">
        <v>#N/A</v>
      </c>
    </row>
    <row r="245" spans="1:14" hidden="1" outlineLevel="1">
      <c r="B245" s="376" t="s">
        <v>520</v>
      </c>
      <c r="C245" s="76" t="e">
        <v>#N/A</v>
      </c>
      <c r="D245" s="76" t="e">
        <v>#N/A</v>
      </c>
      <c r="E245" s="76" t="e">
        <v>#N/A</v>
      </c>
      <c r="F245" s="76" t="e">
        <v>#N/A</v>
      </c>
      <c r="G245" s="76" t="e">
        <v>#N/A</v>
      </c>
      <c r="H245" s="390" t="e">
        <v>#N/A</v>
      </c>
      <c r="I245" s="77" t="e">
        <v>#N/A</v>
      </c>
      <c r="J245" s="390" t="e">
        <v>#N/A</v>
      </c>
    </row>
    <row r="246" spans="1:14" s="17" customFormat="1" ht="21" customHeight="1" collapsed="1">
      <c r="B246" s="392" t="s">
        <v>105</v>
      </c>
      <c r="C246" s="393">
        <v>10476</v>
      </c>
      <c r="D246" s="393">
        <v>31</v>
      </c>
      <c r="E246" s="393">
        <v>2101</v>
      </c>
      <c r="F246" s="393">
        <v>59361</v>
      </c>
      <c r="G246" s="393">
        <v>446360.85084900609</v>
      </c>
      <c r="H246" s="394">
        <v>3.1889332934405899E-2</v>
      </c>
      <c r="I246" s="394">
        <v>3.5393608598237897E-2</v>
      </c>
      <c r="J246" s="394">
        <v>3.8897884262069908E-2</v>
      </c>
      <c r="M246" s="3"/>
      <c r="N246" s="3"/>
    </row>
    <row r="247" spans="1:14">
      <c r="A247" s="466"/>
      <c r="B247" s="271" t="s">
        <v>123</v>
      </c>
      <c r="K247" s="466"/>
    </row>
    <row r="248" spans="1:14">
      <c r="B248" s="466"/>
      <c r="C248" s="466"/>
      <c r="D248" s="466"/>
      <c r="E248" s="466"/>
      <c r="F248" s="466"/>
      <c r="G248" s="466"/>
      <c r="H248" s="467"/>
      <c r="I248" s="467"/>
      <c r="J248" s="467"/>
    </row>
  </sheetData>
  <mergeCells count="1">
    <mergeCell ref="B2:J2"/>
  </mergeCells>
  <pageMargins left="0.7" right="0.7" top="0.75" bottom="0.75" header="0.3" footer="0.3"/>
  <headerFooter>
    <oddHeader>&amp;C&amp;"Calibri"&amp;10&amp;K808080 Corporate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00DF-C790-41B0-82D1-80692530D8F6}">
  <dimension ref="B2:AH120"/>
  <sheetViews>
    <sheetView workbookViewId="0">
      <selection activeCell="I12" sqref="I12"/>
    </sheetView>
  </sheetViews>
  <sheetFormatPr defaultColWidth="9" defaultRowHeight="14.4" outlineLevelRow="1"/>
  <cols>
    <col min="1" max="1" width="9" style="3"/>
    <col min="2" max="2" width="9" style="6"/>
    <col min="3" max="3" width="10.296875" style="3" customWidth="1"/>
    <col min="4" max="34" width="6.59765625" style="3" customWidth="1"/>
    <col min="35" max="16384" width="9" style="3"/>
  </cols>
  <sheetData>
    <row r="2" spans="2:34">
      <c r="B2" s="236" t="s">
        <v>382</v>
      </c>
    </row>
    <row r="3" spans="2:34">
      <c r="B3" s="96"/>
    </row>
    <row r="4" spans="2:34" ht="43.2">
      <c r="B4" s="424" t="s">
        <v>124</v>
      </c>
      <c r="C4" s="425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2:34">
      <c r="B5" s="427" t="s">
        <v>251</v>
      </c>
      <c r="C5" s="428">
        <v>6.0606060606060608E-2</v>
      </c>
      <c r="D5" s="263">
        <v>0</v>
      </c>
      <c r="E5" s="263">
        <v>0</v>
      </c>
      <c r="F5" s="263">
        <v>0</v>
      </c>
      <c r="G5" s="263">
        <v>0</v>
      </c>
      <c r="H5" s="263">
        <v>0.33333333333333331</v>
      </c>
      <c r="I5" s="263">
        <v>0</v>
      </c>
      <c r="J5" s="263">
        <v>0</v>
      </c>
      <c r="K5" s="263">
        <v>0</v>
      </c>
      <c r="L5" s="263">
        <v>0</v>
      </c>
      <c r="M5" s="263">
        <v>0</v>
      </c>
      <c r="N5" s="263">
        <v>0</v>
      </c>
      <c r="O5" s="263">
        <v>0</v>
      </c>
      <c r="P5" s="263">
        <v>0</v>
      </c>
      <c r="Q5" s="263">
        <v>0</v>
      </c>
      <c r="R5" s="263">
        <v>0</v>
      </c>
      <c r="S5" s="263">
        <v>0</v>
      </c>
      <c r="T5" s="263">
        <v>0.2142857142857143</v>
      </c>
      <c r="U5" s="263">
        <v>5.8823529411764712E-2</v>
      </c>
      <c r="V5" s="263">
        <v>0.05</v>
      </c>
      <c r="W5" s="263">
        <v>0.08</v>
      </c>
      <c r="X5" s="263">
        <v>4.3478260869565223E-2</v>
      </c>
      <c r="Y5" s="263">
        <v>9.0909090909090912E-2</v>
      </c>
      <c r="Z5" s="263">
        <v>0.1764705882352941</v>
      </c>
      <c r="AA5" s="263">
        <v>0.2</v>
      </c>
      <c r="AB5" s="263">
        <v>0</v>
      </c>
      <c r="AC5" s="263">
        <v>0</v>
      </c>
      <c r="AD5" s="263">
        <v>0</v>
      </c>
      <c r="AE5" s="263">
        <v>9.0909090909090912E-2</v>
      </c>
      <c r="AF5" s="263">
        <v>0</v>
      </c>
      <c r="AG5" s="263">
        <v>0</v>
      </c>
      <c r="AH5" s="263">
        <v>0</v>
      </c>
    </row>
    <row r="6" spans="2:34">
      <c r="B6" s="429" t="s">
        <v>252</v>
      </c>
      <c r="C6" s="430">
        <v>1.3959390862944159E-2</v>
      </c>
      <c r="D6" s="260" t="s">
        <v>237</v>
      </c>
      <c r="E6" s="260" t="s">
        <v>237</v>
      </c>
      <c r="F6" s="260" t="s">
        <v>237</v>
      </c>
      <c r="G6" s="260" t="s">
        <v>237</v>
      </c>
      <c r="H6" s="260" t="s">
        <v>237</v>
      </c>
      <c r="I6" s="260" t="s">
        <v>237</v>
      </c>
      <c r="J6" s="260" t="s">
        <v>237</v>
      </c>
      <c r="K6" s="260">
        <v>0</v>
      </c>
      <c r="L6" s="260">
        <v>0</v>
      </c>
      <c r="M6" s="260">
        <v>0</v>
      </c>
      <c r="N6" s="260">
        <v>0</v>
      </c>
      <c r="O6" s="260">
        <v>0</v>
      </c>
      <c r="P6" s="260">
        <v>0</v>
      </c>
      <c r="Q6" s="260">
        <v>0</v>
      </c>
      <c r="R6" s="260">
        <v>0</v>
      </c>
      <c r="S6" s="260">
        <v>0</v>
      </c>
      <c r="T6" s="260">
        <v>5.2631578947368418E-2</v>
      </c>
      <c r="U6" s="260">
        <v>4.0816326530612242E-2</v>
      </c>
      <c r="V6" s="260">
        <v>0</v>
      </c>
      <c r="W6" s="260">
        <v>1.8518518518518521E-2</v>
      </c>
      <c r="X6" s="260">
        <v>0</v>
      </c>
      <c r="Y6" s="260">
        <v>1.6949152542372881E-2</v>
      </c>
      <c r="Z6" s="260">
        <v>1.7241379310344831E-2</v>
      </c>
      <c r="AA6" s="260">
        <v>0</v>
      </c>
      <c r="AB6" s="260">
        <v>0</v>
      </c>
      <c r="AC6" s="260">
        <v>2.3255813953488368E-2</v>
      </c>
      <c r="AD6" s="260">
        <v>0.05</v>
      </c>
      <c r="AE6" s="260">
        <v>0</v>
      </c>
      <c r="AF6" s="260">
        <v>0</v>
      </c>
      <c r="AG6" s="260">
        <v>2.7027027027027029E-2</v>
      </c>
      <c r="AH6" s="260">
        <v>0</v>
      </c>
    </row>
    <row r="7" spans="2:34">
      <c r="B7" s="427" t="s">
        <v>253</v>
      </c>
      <c r="C7" s="428">
        <v>4.3410852713178287E-2</v>
      </c>
      <c r="D7" s="263">
        <v>0</v>
      </c>
      <c r="E7" s="263">
        <v>1.4492753623188409E-2</v>
      </c>
      <c r="F7" s="263">
        <v>0</v>
      </c>
      <c r="G7" s="263">
        <v>1.388888888888889E-2</v>
      </c>
      <c r="H7" s="263">
        <v>1.8181818181818181E-2</v>
      </c>
      <c r="I7" s="263">
        <v>3.7735849056603772E-2</v>
      </c>
      <c r="J7" s="263">
        <v>6.3829787234042548E-2</v>
      </c>
      <c r="K7" s="263">
        <v>2.1276595744680851E-2</v>
      </c>
      <c r="L7" s="263">
        <v>0.32</v>
      </c>
      <c r="M7" s="263">
        <v>0.26666666666666672</v>
      </c>
      <c r="N7" s="263">
        <v>0.04</v>
      </c>
      <c r="O7" s="263">
        <v>4.3478260869565223E-2</v>
      </c>
      <c r="P7" s="263">
        <v>0.1111111111111111</v>
      </c>
      <c r="Q7" s="263">
        <v>0</v>
      </c>
      <c r="R7" s="263">
        <v>0.125</v>
      </c>
      <c r="S7" s="263">
        <v>0</v>
      </c>
      <c r="T7" s="263">
        <v>0</v>
      </c>
      <c r="U7" s="263">
        <v>0</v>
      </c>
      <c r="V7" s="263">
        <v>0</v>
      </c>
      <c r="W7" s="263">
        <v>6.6666666666666666E-2</v>
      </c>
      <c r="X7" s="263">
        <v>0</v>
      </c>
      <c r="Y7" s="263">
        <v>0</v>
      </c>
      <c r="Z7" s="263">
        <v>0</v>
      </c>
      <c r="AA7" s="263">
        <v>0</v>
      </c>
      <c r="AB7" s="263">
        <v>7.3170731707317069E-2</v>
      </c>
      <c r="AC7" s="263">
        <v>5.7692307692307702E-2</v>
      </c>
      <c r="AD7" s="263">
        <v>8.1967213114754092E-2</v>
      </c>
      <c r="AE7" s="263">
        <v>3.7037037037037028E-2</v>
      </c>
      <c r="AF7" s="263">
        <v>0</v>
      </c>
      <c r="AG7" s="263">
        <v>0</v>
      </c>
      <c r="AH7" s="263">
        <v>1.9607843137254902E-2</v>
      </c>
    </row>
    <row r="8" spans="2:34">
      <c r="B8" s="429" t="s">
        <v>254</v>
      </c>
      <c r="C8" s="430">
        <v>4.2328042328042333E-2</v>
      </c>
      <c r="D8" s="260" t="s">
        <v>237</v>
      </c>
      <c r="E8" s="260" t="s">
        <v>237</v>
      </c>
      <c r="F8" s="260" t="s">
        <v>237</v>
      </c>
      <c r="G8" s="260" t="s">
        <v>237</v>
      </c>
      <c r="H8" s="260">
        <v>0</v>
      </c>
      <c r="I8" s="260">
        <v>0</v>
      </c>
      <c r="J8" s="260">
        <v>0</v>
      </c>
      <c r="K8" s="260">
        <v>0</v>
      </c>
      <c r="L8" s="260">
        <v>0</v>
      </c>
      <c r="M8" s="260">
        <v>0</v>
      </c>
      <c r="N8" s="260">
        <v>0</v>
      </c>
      <c r="O8" s="260">
        <v>0</v>
      </c>
      <c r="P8" s="260">
        <v>0</v>
      </c>
      <c r="Q8" s="260">
        <v>0</v>
      </c>
      <c r="R8" s="260">
        <v>3.03030303030303E-2</v>
      </c>
      <c r="S8" s="260">
        <v>2.1739130434782612E-2</v>
      </c>
      <c r="T8" s="260">
        <v>2.0833333333333329E-2</v>
      </c>
      <c r="U8" s="260">
        <v>2.1276595744680851E-2</v>
      </c>
      <c r="V8" s="260">
        <v>2.1739130434782612E-2</v>
      </c>
      <c r="W8" s="260">
        <v>4.4444444444444453E-2</v>
      </c>
      <c r="X8" s="260">
        <v>0</v>
      </c>
      <c r="Y8" s="260">
        <v>5.2631578947368418E-2</v>
      </c>
      <c r="Z8" s="260">
        <v>0.14545454545454539</v>
      </c>
      <c r="AA8" s="260">
        <v>0.17499999999999999</v>
      </c>
      <c r="AB8" s="260">
        <v>7.6923076923076927E-2</v>
      </c>
      <c r="AC8" s="260">
        <v>4.3478260869565223E-2</v>
      </c>
      <c r="AD8" s="260">
        <v>4.1666666666666657E-2</v>
      </c>
      <c r="AE8" s="260">
        <v>0</v>
      </c>
      <c r="AF8" s="260">
        <v>0.1</v>
      </c>
      <c r="AG8" s="260">
        <v>5.2631578947368418E-2</v>
      </c>
      <c r="AH8" s="260">
        <v>0</v>
      </c>
    </row>
    <row r="9" spans="2:34">
      <c r="B9" s="427" t="s">
        <v>255</v>
      </c>
      <c r="C9" s="428">
        <v>2.34375E-2</v>
      </c>
      <c r="D9" s="263" t="s">
        <v>237</v>
      </c>
      <c r="E9" s="263" t="s">
        <v>237</v>
      </c>
      <c r="F9" s="263" t="s">
        <v>237</v>
      </c>
      <c r="G9" s="263" t="s">
        <v>237</v>
      </c>
      <c r="H9" s="263">
        <v>0</v>
      </c>
      <c r="I9" s="263">
        <v>0</v>
      </c>
      <c r="J9" s="263">
        <v>0.27272727272727271</v>
      </c>
      <c r="K9" s="263">
        <v>0.2</v>
      </c>
      <c r="L9" s="263">
        <v>0.125</v>
      </c>
      <c r="M9" s="263">
        <v>0</v>
      </c>
      <c r="N9" s="263">
        <v>0</v>
      </c>
      <c r="O9" s="263">
        <v>0</v>
      </c>
      <c r="P9" s="263">
        <v>0</v>
      </c>
      <c r="Q9" s="263">
        <v>3.8461538461538457E-2</v>
      </c>
      <c r="R9" s="263">
        <v>0</v>
      </c>
      <c r="S9" s="263">
        <v>0</v>
      </c>
      <c r="T9" s="263">
        <v>8.3333333333333329E-2</v>
      </c>
      <c r="U9" s="263">
        <v>0</v>
      </c>
      <c r="V9" s="263">
        <v>5.4054054054054057E-2</v>
      </c>
      <c r="W9" s="263">
        <v>0</v>
      </c>
      <c r="X9" s="263">
        <v>9.375E-2</v>
      </c>
      <c r="Y9" s="263">
        <v>0</v>
      </c>
      <c r="Z9" s="263">
        <v>0</v>
      </c>
      <c r="AA9" s="263">
        <v>0</v>
      </c>
      <c r="AB9" s="263">
        <v>0</v>
      </c>
      <c r="AC9" s="263">
        <v>0</v>
      </c>
      <c r="AD9" s="263">
        <v>0</v>
      </c>
      <c r="AE9" s="263">
        <v>0</v>
      </c>
      <c r="AF9" s="263">
        <v>0</v>
      </c>
      <c r="AG9" s="263">
        <v>0</v>
      </c>
      <c r="AH9" s="263">
        <v>0</v>
      </c>
    </row>
    <row r="10" spans="2:34">
      <c r="B10" s="429" t="s">
        <v>256</v>
      </c>
      <c r="C10" s="430">
        <v>1.9197207678883069E-2</v>
      </c>
      <c r="D10" s="260">
        <v>0</v>
      </c>
      <c r="E10" s="260">
        <v>0</v>
      </c>
      <c r="F10" s="260">
        <v>0</v>
      </c>
      <c r="G10" s="260">
        <v>1</v>
      </c>
      <c r="H10" s="260" t="s">
        <v>237</v>
      </c>
      <c r="I10" s="260" t="s">
        <v>237</v>
      </c>
      <c r="J10" s="260">
        <v>0</v>
      </c>
      <c r="K10" s="260">
        <v>0.25</v>
      </c>
      <c r="L10" s="260">
        <v>0</v>
      </c>
      <c r="M10" s="260">
        <v>0</v>
      </c>
      <c r="N10" s="260">
        <v>8.3333333333333329E-2</v>
      </c>
      <c r="O10" s="260">
        <v>0</v>
      </c>
      <c r="P10" s="260">
        <v>9.0909090909090912E-2</v>
      </c>
      <c r="Q10" s="260">
        <v>8.3333333333333329E-2</v>
      </c>
      <c r="R10" s="260">
        <v>7.6923076923076927E-2</v>
      </c>
      <c r="S10" s="260">
        <v>0</v>
      </c>
      <c r="T10" s="260">
        <v>0</v>
      </c>
      <c r="U10" s="260">
        <v>7.6923076923076927E-2</v>
      </c>
      <c r="V10" s="260">
        <v>0</v>
      </c>
      <c r="W10" s="260">
        <v>4.7619047619047623E-2</v>
      </c>
      <c r="X10" s="260">
        <v>0</v>
      </c>
      <c r="Y10" s="260">
        <v>0</v>
      </c>
      <c r="Z10" s="260">
        <v>0</v>
      </c>
      <c r="AA10" s="260">
        <v>0</v>
      </c>
      <c r="AB10" s="260">
        <v>0</v>
      </c>
      <c r="AC10" s="260">
        <v>0</v>
      </c>
      <c r="AD10" s="260">
        <v>2.222222222222222E-2</v>
      </c>
      <c r="AE10" s="260">
        <v>5.5555555555555552E-2</v>
      </c>
      <c r="AF10" s="260">
        <v>0</v>
      </c>
      <c r="AG10" s="260">
        <v>0</v>
      </c>
      <c r="AH10" s="260">
        <v>0</v>
      </c>
    </row>
    <row r="11" spans="2:34">
      <c r="B11" s="427" t="s">
        <v>257</v>
      </c>
      <c r="C11" s="428">
        <v>8.7121212121212127E-2</v>
      </c>
      <c r="D11" s="263">
        <v>0</v>
      </c>
      <c r="E11" s="263">
        <v>0</v>
      </c>
      <c r="F11" s="263">
        <v>0</v>
      </c>
      <c r="G11" s="263">
        <v>0</v>
      </c>
      <c r="H11" s="263">
        <v>0</v>
      </c>
      <c r="I11" s="263">
        <v>0</v>
      </c>
      <c r="J11" s="263">
        <v>0.4</v>
      </c>
      <c r="K11" s="263">
        <v>0</v>
      </c>
      <c r="L11" s="263">
        <v>0</v>
      </c>
      <c r="M11" s="263">
        <v>0</v>
      </c>
      <c r="N11" s="263">
        <v>8.3333333333333329E-2</v>
      </c>
      <c r="O11" s="263">
        <v>0.16666666666666671</v>
      </c>
      <c r="P11" s="263">
        <v>0.16666666666666671</v>
      </c>
      <c r="Q11" s="263">
        <v>9.0909090909090912E-2</v>
      </c>
      <c r="R11" s="263">
        <v>8.3333333333333329E-2</v>
      </c>
      <c r="S11" s="263">
        <v>7.6923076923076927E-2</v>
      </c>
      <c r="T11" s="263">
        <v>0</v>
      </c>
      <c r="U11" s="263">
        <v>0.16666666666666671</v>
      </c>
      <c r="V11" s="263">
        <v>0.2</v>
      </c>
      <c r="W11" s="263">
        <v>0.125</v>
      </c>
      <c r="X11" s="263">
        <v>0.25</v>
      </c>
      <c r="Y11" s="263">
        <v>0</v>
      </c>
      <c r="Z11" s="263">
        <v>0</v>
      </c>
      <c r="AA11" s="263">
        <v>0.25</v>
      </c>
      <c r="AB11" s="263">
        <v>0</v>
      </c>
      <c r="AC11" s="263">
        <v>0.14285714285714279</v>
      </c>
      <c r="AD11" s="263">
        <v>0</v>
      </c>
      <c r="AE11" s="263">
        <v>0</v>
      </c>
      <c r="AF11" s="263">
        <v>0</v>
      </c>
      <c r="AG11" s="263">
        <v>5.8823529411764712E-2</v>
      </c>
      <c r="AH11" s="263">
        <v>0.15789473684210531</v>
      </c>
    </row>
    <row r="12" spans="2:34">
      <c r="B12" s="429" t="s">
        <v>258</v>
      </c>
      <c r="C12" s="430">
        <v>2.663438256658596E-2</v>
      </c>
      <c r="D12" s="260" t="s">
        <v>237</v>
      </c>
      <c r="E12" s="260" t="s">
        <v>237</v>
      </c>
      <c r="F12" s="260" t="s">
        <v>237</v>
      </c>
      <c r="G12" s="260">
        <v>0</v>
      </c>
      <c r="H12" s="260">
        <v>0.25</v>
      </c>
      <c r="I12" s="260">
        <v>0.2857142857142857</v>
      </c>
      <c r="J12" s="260">
        <v>0.22222222222222221</v>
      </c>
      <c r="K12" s="260">
        <v>0</v>
      </c>
      <c r="L12" s="260">
        <v>0</v>
      </c>
      <c r="M12" s="260">
        <v>0.14285714285714279</v>
      </c>
      <c r="N12" s="260">
        <v>0</v>
      </c>
      <c r="O12" s="260">
        <v>0</v>
      </c>
      <c r="P12" s="260">
        <v>0</v>
      </c>
      <c r="Q12" s="260">
        <v>0</v>
      </c>
      <c r="R12" s="260">
        <v>5.8823529411764712E-2</v>
      </c>
      <c r="S12" s="260">
        <v>0</v>
      </c>
      <c r="T12" s="260">
        <v>0</v>
      </c>
      <c r="U12" s="260">
        <v>0.05</v>
      </c>
      <c r="V12" s="260">
        <v>0</v>
      </c>
      <c r="W12" s="260">
        <v>2.3255813953488368E-2</v>
      </c>
      <c r="X12" s="260">
        <v>6.6666666666666666E-2</v>
      </c>
      <c r="Y12" s="260">
        <v>0</v>
      </c>
      <c r="Z12" s="260">
        <v>2.0833333333333329E-2</v>
      </c>
      <c r="AA12" s="260">
        <v>4.2553191489361701E-2</v>
      </c>
      <c r="AB12" s="260">
        <v>0</v>
      </c>
      <c r="AC12" s="260">
        <v>0</v>
      </c>
      <c r="AD12" s="260">
        <v>5.128205128205128E-2</v>
      </c>
      <c r="AE12" s="260">
        <v>0</v>
      </c>
      <c r="AF12" s="260">
        <v>0</v>
      </c>
      <c r="AG12" s="260">
        <v>0</v>
      </c>
      <c r="AH12" s="260">
        <v>5.8823529411764712E-2</v>
      </c>
    </row>
    <row r="13" spans="2:34">
      <c r="B13" s="427" t="s">
        <v>259</v>
      </c>
      <c r="C13" s="428">
        <v>0.1013215859030837</v>
      </c>
      <c r="D13" s="263">
        <v>0</v>
      </c>
      <c r="E13" s="263">
        <v>0</v>
      </c>
      <c r="F13" s="263">
        <v>0</v>
      </c>
      <c r="G13" s="263">
        <v>0</v>
      </c>
      <c r="H13" s="263">
        <v>0.14285714285714279</v>
      </c>
      <c r="I13" s="263">
        <v>0</v>
      </c>
      <c r="J13" s="263">
        <v>0.2857142857142857</v>
      </c>
      <c r="K13" s="263">
        <v>0.3</v>
      </c>
      <c r="L13" s="263">
        <v>0</v>
      </c>
      <c r="M13" s="263">
        <v>0.22222222222222221</v>
      </c>
      <c r="N13" s="263">
        <v>0</v>
      </c>
      <c r="O13" s="263">
        <v>0.2</v>
      </c>
      <c r="P13" s="263">
        <v>0</v>
      </c>
      <c r="Q13" s="263">
        <v>0.22222222222222221</v>
      </c>
      <c r="R13" s="263">
        <v>0</v>
      </c>
      <c r="S13" s="263">
        <v>0</v>
      </c>
      <c r="T13" s="263">
        <v>0.125</v>
      </c>
      <c r="U13" s="263">
        <v>0.14285714285714279</v>
      </c>
      <c r="V13" s="263">
        <v>0.25</v>
      </c>
      <c r="W13" s="263">
        <v>0.25</v>
      </c>
      <c r="X13" s="263">
        <v>0</v>
      </c>
      <c r="Y13" s="263">
        <v>0</v>
      </c>
      <c r="Z13" s="263">
        <v>0.14285714285714279</v>
      </c>
      <c r="AA13" s="263">
        <v>0</v>
      </c>
      <c r="AB13" s="263">
        <v>0</v>
      </c>
      <c r="AC13" s="263">
        <v>0</v>
      </c>
      <c r="AD13" s="263">
        <v>0.125</v>
      </c>
      <c r="AE13" s="263">
        <v>0</v>
      </c>
      <c r="AF13" s="263">
        <v>0</v>
      </c>
      <c r="AG13" s="263">
        <v>0.22222222222222221</v>
      </c>
      <c r="AH13" s="263">
        <v>9.0909090909090912E-2</v>
      </c>
    </row>
    <row r="14" spans="2:34">
      <c r="B14" s="429" t="s">
        <v>260</v>
      </c>
      <c r="C14" s="430">
        <v>0.05</v>
      </c>
      <c r="D14" s="260">
        <v>0</v>
      </c>
      <c r="E14" s="260">
        <v>0</v>
      </c>
      <c r="F14" s="260">
        <v>0</v>
      </c>
      <c r="G14" s="260">
        <v>0.2</v>
      </c>
      <c r="H14" s="260">
        <v>0</v>
      </c>
      <c r="I14" s="260">
        <v>0</v>
      </c>
      <c r="J14" s="260">
        <v>0</v>
      </c>
      <c r="K14" s="260">
        <v>9.0909090909090912E-2</v>
      </c>
      <c r="L14" s="260">
        <v>0.125</v>
      </c>
      <c r="M14" s="260">
        <v>0.25</v>
      </c>
      <c r="N14" s="260">
        <v>0</v>
      </c>
      <c r="O14" s="260">
        <v>0.1</v>
      </c>
      <c r="P14" s="260">
        <v>0</v>
      </c>
      <c r="Q14" s="260">
        <v>0</v>
      </c>
      <c r="R14" s="260">
        <v>0</v>
      </c>
      <c r="S14" s="260">
        <v>0</v>
      </c>
      <c r="T14" s="260">
        <v>0</v>
      </c>
      <c r="U14" s="260">
        <v>0.14285714285714279</v>
      </c>
      <c r="V14" s="260">
        <v>0.2857142857142857</v>
      </c>
      <c r="W14" s="260">
        <v>0</v>
      </c>
      <c r="X14" s="260">
        <v>0</v>
      </c>
      <c r="Y14" s="260">
        <v>0</v>
      </c>
      <c r="Z14" s="260">
        <v>0</v>
      </c>
      <c r="AA14" s="260">
        <v>0.125</v>
      </c>
      <c r="AB14" s="260">
        <v>0</v>
      </c>
      <c r="AC14" s="260">
        <v>0</v>
      </c>
      <c r="AD14" s="260">
        <v>0</v>
      </c>
      <c r="AE14" s="260">
        <v>0</v>
      </c>
      <c r="AF14" s="260">
        <v>0</v>
      </c>
      <c r="AG14" s="260">
        <v>0.2</v>
      </c>
      <c r="AH14" s="260">
        <v>0</v>
      </c>
    </row>
    <row r="15" spans="2:34">
      <c r="B15" s="427" t="s">
        <v>261</v>
      </c>
      <c r="C15" s="428">
        <v>2.1420518602029311E-2</v>
      </c>
      <c r="D15" s="263">
        <v>0</v>
      </c>
      <c r="E15" s="263">
        <v>0</v>
      </c>
      <c r="F15" s="263">
        <v>0</v>
      </c>
      <c r="G15" s="263">
        <v>5.2631578947368418E-2</v>
      </c>
      <c r="H15" s="263">
        <v>0</v>
      </c>
      <c r="I15" s="263">
        <v>0</v>
      </c>
      <c r="J15" s="263">
        <v>1.6949152542372881E-2</v>
      </c>
      <c r="K15" s="263">
        <v>0</v>
      </c>
      <c r="L15" s="263">
        <v>5.6338028169014093E-2</v>
      </c>
      <c r="M15" s="263">
        <v>5.7971014492753617E-2</v>
      </c>
      <c r="N15" s="263">
        <v>0</v>
      </c>
      <c r="O15" s="263">
        <v>1.6949152542372881E-2</v>
      </c>
      <c r="P15" s="263">
        <v>0</v>
      </c>
      <c r="Q15" s="263">
        <v>1.9607843137254902E-2</v>
      </c>
      <c r="R15" s="263">
        <v>1.754385964912281E-2</v>
      </c>
      <c r="S15" s="263">
        <v>6.1538461538461542E-2</v>
      </c>
      <c r="T15" s="263">
        <v>0</v>
      </c>
      <c r="U15" s="263">
        <v>0</v>
      </c>
      <c r="V15" s="263">
        <v>3.6363636363636362E-2</v>
      </c>
      <c r="W15" s="263">
        <v>4.2553191489361701E-2</v>
      </c>
      <c r="X15" s="263">
        <v>6.9767441860465115E-2</v>
      </c>
      <c r="Y15" s="263">
        <v>1.7241379310344831E-2</v>
      </c>
      <c r="Z15" s="263">
        <v>7.9365079365079361E-2</v>
      </c>
      <c r="AA15" s="263">
        <v>3.5714285714285712E-2</v>
      </c>
      <c r="AB15" s="263">
        <v>0</v>
      </c>
      <c r="AC15" s="263">
        <v>0</v>
      </c>
      <c r="AD15" s="263">
        <v>3.2258064516129031E-2</v>
      </c>
      <c r="AE15" s="263">
        <v>1.4492753623188409E-2</v>
      </c>
      <c r="AF15" s="263">
        <v>0</v>
      </c>
      <c r="AG15" s="263">
        <v>1.204819277108434E-2</v>
      </c>
      <c r="AH15" s="263">
        <v>1.1627906976744189E-2</v>
      </c>
    </row>
    <row r="16" spans="2:34">
      <c r="B16" s="429" t="s">
        <v>262</v>
      </c>
      <c r="C16" s="430">
        <v>7.4468085106382975E-2</v>
      </c>
      <c r="D16" s="260" t="s">
        <v>237</v>
      </c>
      <c r="E16" s="260" t="s">
        <v>237</v>
      </c>
      <c r="F16" s="260" t="s">
        <v>237</v>
      </c>
      <c r="G16" s="260" t="s">
        <v>237</v>
      </c>
      <c r="H16" s="260" t="s">
        <v>237</v>
      </c>
      <c r="I16" s="260" t="s">
        <v>237</v>
      </c>
      <c r="J16" s="260">
        <v>0</v>
      </c>
      <c r="K16" s="260">
        <v>0</v>
      </c>
      <c r="L16" s="260">
        <v>0.5</v>
      </c>
      <c r="M16" s="260">
        <v>0</v>
      </c>
      <c r="N16" s="260">
        <v>0</v>
      </c>
      <c r="O16" s="260">
        <v>0.25</v>
      </c>
      <c r="P16" s="260">
        <v>0.33333333333333331</v>
      </c>
      <c r="Q16" s="260">
        <v>0.5</v>
      </c>
      <c r="R16" s="260">
        <v>0</v>
      </c>
      <c r="S16" s="260">
        <v>0</v>
      </c>
      <c r="T16" s="260">
        <v>0</v>
      </c>
      <c r="U16" s="260">
        <v>0</v>
      </c>
      <c r="V16" s="260">
        <v>0.25</v>
      </c>
      <c r="W16" s="260">
        <v>0</v>
      </c>
      <c r="X16" s="260">
        <v>0</v>
      </c>
      <c r="Y16" s="260">
        <v>0</v>
      </c>
      <c r="Z16" s="260">
        <v>0</v>
      </c>
      <c r="AA16" s="260">
        <v>0</v>
      </c>
      <c r="AB16" s="260">
        <v>0.25</v>
      </c>
      <c r="AC16" s="260">
        <v>0.125</v>
      </c>
      <c r="AD16" s="260">
        <v>0</v>
      </c>
      <c r="AE16" s="260">
        <v>0</v>
      </c>
      <c r="AF16" s="260">
        <v>0</v>
      </c>
      <c r="AG16" s="260">
        <v>0</v>
      </c>
      <c r="AH16" s="260">
        <v>0</v>
      </c>
    </row>
    <row r="17" spans="2:34">
      <c r="B17" s="427" t="s">
        <v>263</v>
      </c>
      <c r="C17" s="428">
        <v>4.4444444444444453E-2</v>
      </c>
      <c r="D17" s="263" t="s">
        <v>237</v>
      </c>
      <c r="E17" s="263" t="s">
        <v>237</v>
      </c>
      <c r="F17" s="263" t="s">
        <v>237</v>
      </c>
      <c r="G17" s="263" t="s">
        <v>237</v>
      </c>
      <c r="H17" s="263" t="s">
        <v>237</v>
      </c>
      <c r="I17" s="263" t="s">
        <v>237</v>
      </c>
      <c r="J17" s="263" t="s">
        <v>237</v>
      </c>
      <c r="K17" s="263" t="s">
        <v>237</v>
      </c>
      <c r="L17" s="263" t="s">
        <v>237</v>
      </c>
      <c r="M17" s="263" t="s">
        <v>237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6.25E-2</v>
      </c>
      <c r="V17" s="263">
        <v>0.1111111111111111</v>
      </c>
      <c r="W17" s="263">
        <v>0</v>
      </c>
      <c r="X17" s="263">
        <v>4.1666666666666657E-2</v>
      </c>
      <c r="Y17" s="263">
        <v>4.7619047619047623E-2</v>
      </c>
      <c r="Z17" s="263">
        <v>0</v>
      </c>
      <c r="AA17" s="263">
        <v>0</v>
      </c>
      <c r="AB17" s="263">
        <v>0</v>
      </c>
      <c r="AC17" s="263">
        <v>0</v>
      </c>
      <c r="AD17" s="263">
        <v>0</v>
      </c>
      <c r="AE17" s="263">
        <v>4.1666666666666657E-2</v>
      </c>
      <c r="AF17" s="263">
        <v>0.31818181818181818</v>
      </c>
      <c r="AG17" s="263">
        <v>0.1111111111111111</v>
      </c>
      <c r="AH17" s="263">
        <v>0</v>
      </c>
    </row>
    <row r="18" spans="2:34">
      <c r="B18" s="429" t="s">
        <v>264</v>
      </c>
      <c r="C18" s="430">
        <v>4.2553191489361701E-2</v>
      </c>
      <c r="D18" s="260">
        <v>0</v>
      </c>
      <c r="E18" s="260">
        <v>0</v>
      </c>
      <c r="F18" s="260">
        <v>0</v>
      </c>
      <c r="G18" s="260">
        <v>0</v>
      </c>
      <c r="H18" s="260">
        <v>0</v>
      </c>
      <c r="I18" s="260" t="s">
        <v>237</v>
      </c>
      <c r="J18" s="260" t="s">
        <v>237</v>
      </c>
      <c r="K18" s="260" t="s">
        <v>237</v>
      </c>
      <c r="L18" s="260" t="s">
        <v>237</v>
      </c>
      <c r="M18" s="260">
        <v>0</v>
      </c>
      <c r="N18" s="260">
        <v>0</v>
      </c>
      <c r="O18" s="260">
        <v>0</v>
      </c>
      <c r="P18" s="260">
        <v>0</v>
      </c>
      <c r="Q18" s="260">
        <v>0</v>
      </c>
      <c r="R18" s="260">
        <v>0</v>
      </c>
      <c r="S18" s="260">
        <v>0.33333333333333331</v>
      </c>
      <c r="T18" s="260">
        <v>0</v>
      </c>
      <c r="U18" s="260">
        <v>0</v>
      </c>
      <c r="V18" s="260">
        <v>0</v>
      </c>
      <c r="W18" s="260">
        <v>0</v>
      </c>
      <c r="X18" s="260">
        <v>0</v>
      </c>
      <c r="Y18" s="260">
        <v>0</v>
      </c>
      <c r="Z18" s="260">
        <v>9.0909090909090912E-2</v>
      </c>
      <c r="AA18" s="260">
        <v>0.1</v>
      </c>
      <c r="AB18" s="260">
        <v>0.1</v>
      </c>
      <c r="AC18" s="260">
        <v>9.0909090909090912E-2</v>
      </c>
      <c r="AD18" s="260">
        <v>9.0909090909090912E-2</v>
      </c>
      <c r="AE18" s="260">
        <v>0</v>
      </c>
      <c r="AF18" s="260">
        <v>0</v>
      </c>
      <c r="AG18" s="260">
        <v>0</v>
      </c>
      <c r="AH18" s="260">
        <v>0</v>
      </c>
    </row>
    <row r="19" spans="2:34">
      <c r="B19" s="427" t="s">
        <v>265</v>
      </c>
      <c r="C19" s="428">
        <v>8.8626292466765136E-2</v>
      </c>
      <c r="D19" s="263">
        <v>7.6923076923076927E-2</v>
      </c>
      <c r="E19" s="263">
        <v>0</v>
      </c>
      <c r="F19" s="263">
        <v>0</v>
      </c>
      <c r="G19" s="263">
        <v>9.0909090909090912E-2</v>
      </c>
      <c r="H19" s="263">
        <v>9.5238095238095233E-2</v>
      </c>
      <c r="I19" s="263">
        <v>0.13636363636363641</v>
      </c>
      <c r="J19" s="263">
        <v>0.1818181818181818</v>
      </c>
      <c r="K19" s="263">
        <v>0.15</v>
      </c>
      <c r="L19" s="263">
        <v>0.1176470588235294</v>
      </c>
      <c r="M19" s="263">
        <v>0.2142857142857143</v>
      </c>
      <c r="N19" s="263">
        <v>9.0909090909090912E-2</v>
      </c>
      <c r="O19" s="263">
        <v>0</v>
      </c>
      <c r="P19" s="263">
        <v>0.1818181818181818</v>
      </c>
      <c r="Q19" s="263">
        <v>0.1111111111111111</v>
      </c>
      <c r="R19" s="263">
        <v>0.22222222222222221</v>
      </c>
      <c r="S19" s="263">
        <v>0</v>
      </c>
      <c r="T19" s="263">
        <v>0.1111111111111111</v>
      </c>
      <c r="U19" s="263">
        <v>0.1111111111111111</v>
      </c>
      <c r="V19" s="263">
        <v>0</v>
      </c>
      <c r="W19" s="263">
        <v>6.6666666666666666E-2</v>
      </c>
      <c r="X19" s="263">
        <v>0.13636363636363641</v>
      </c>
      <c r="Y19" s="263">
        <v>0.16</v>
      </c>
      <c r="Z19" s="263">
        <v>7.6923076923076927E-2</v>
      </c>
      <c r="AA19" s="263">
        <v>3.7037037037037028E-2</v>
      </c>
      <c r="AB19" s="263">
        <v>3.5714285714285712E-2</v>
      </c>
      <c r="AC19" s="263">
        <v>9.375E-2</v>
      </c>
      <c r="AD19" s="263">
        <v>0.10526315789473679</v>
      </c>
      <c r="AE19" s="263">
        <v>6.5217391304347824E-2</v>
      </c>
      <c r="AF19" s="263">
        <v>6.5217391304347824E-2</v>
      </c>
      <c r="AG19" s="263">
        <v>6.5217391304347824E-2</v>
      </c>
      <c r="AH19" s="263">
        <v>7.407407407407407E-2</v>
      </c>
    </row>
    <row r="20" spans="2:34">
      <c r="B20" s="429" t="s">
        <v>266</v>
      </c>
      <c r="C20" s="430">
        <v>5.0108932461873638E-2</v>
      </c>
      <c r="D20" s="260">
        <v>0</v>
      </c>
      <c r="E20" s="260">
        <v>7.6923076923076927E-2</v>
      </c>
      <c r="F20" s="260">
        <v>7.1428571428571425E-2</v>
      </c>
      <c r="G20" s="260">
        <v>0</v>
      </c>
      <c r="H20" s="260">
        <v>7.6923076923076927E-2</v>
      </c>
      <c r="I20" s="260">
        <v>0</v>
      </c>
      <c r="J20" s="260">
        <v>0</v>
      </c>
      <c r="K20" s="260">
        <v>0</v>
      </c>
      <c r="L20" s="260">
        <v>0.2</v>
      </c>
      <c r="M20" s="260">
        <v>0</v>
      </c>
      <c r="N20" s="260">
        <v>0</v>
      </c>
      <c r="O20" s="260">
        <v>0</v>
      </c>
      <c r="P20" s="260">
        <v>0</v>
      </c>
      <c r="Q20" s="260">
        <v>0</v>
      </c>
      <c r="R20" s="260">
        <v>0</v>
      </c>
      <c r="S20" s="260">
        <v>0</v>
      </c>
      <c r="T20" s="260">
        <v>0</v>
      </c>
      <c r="U20" s="260">
        <v>0</v>
      </c>
      <c r="V20" s="260">
        <v>0</v>
      </c>
      <c r="W20" s="260">
        <v>0</v>
      </c>
      <c r="X20" s="260">
        <v>8.3333333333333329E-2</v>
      </c>
      <c r="Y20" s="260">
        <v>2.9411764705882349E-2</v>
      </c>
      <c r="Z20" s="260">
        <v>0.18421052631578949</v>
      </c>
      <c r="AA20" s="260">
        <v>0.14285714285714279</v>
      </c>
      <c r="AB20" s="260">
        <v>3.4482758620689648E-2</v>
      </c>
      <c r="AC20" s="260">
        <v>3.5714285714285712E-2</v>
      </c>
      <c r="AD20" s="260">
        <v>7.6923076923076927E-2</v>
      </c>
      <c r="AE20" s="260">
        <v>0</v>
      </c>
      <c r="AF20" s="260">
        <v>0</v>
      </c>
      <c r="AG20" s="260">
        <v>3.7037037037037028E-2</v>
      </c>
      <c r="AH20" s="260">
        <v>0</v>
      </c>
    </row>
    <row r="21" spans="2:34">
      <c r="B21" s="427" t="s">
        <v>267</v>
      </c>
      <c r="C21" s="428">
        <v>5.6511056511056507E-2</v>
      </c>
      <c r="D21" s="263">
        <v>0</v>
      </c>
      <c r="E21" s="263">
        <v>0</v>
      </c>
      <c r="F21" s="263">
        <v>0.14285714285714279</v>
      </c>
      <c r="G21" s="263">
        <v>0</v>
      </c>
      <c r="H21" s="263">
        <v>0</v>
      </c>
      <c r="I21" s="263">
        <v>0.16666666666666671</v>
      </c>
      <c r="J21" s="263">
        <v>0</v>
      </c>
      <c r="K21" s="263">
        <v>0.125</v>
      </c>
      <c r="L21" s="263">
        <v>0</v>
      </c>
      <c r="M21" s="263">
        <v>0</v>
      </c>
      <c r="N21" s="263">
        <v>8.3333333333333329E-2</v>
      </c>
      <c r="O21" s="263">
        <v>0</v>
      </c>
      <c r="P21" s="263">
        <v>0.33333333333333331</v>
      </c>
      <c r="Q21" s="263">
        <v>0.1818181818181818</v>
      </c>
      <c r="R21" s="263">
        <v>0</v>
      </c>
      <c r="S21" s="263">
        <v>9.0909090909090912E-2</v>
      </c>
      <c r="T21" s="263">
        <v>0.1</v>
      </c>
      <c r="U21" s="263">
        <v>0</v>
      </c>
      <c r="V21" s="263">
        <v>0</v>
      </c>
      <c r="W21" s="263">
        <v>0</v>
      </c>
      <c r="X21" s="263">
        <v>0</v>
      </c>
      <c r="Y21" s="263">
        <v>0</v>
      </c>
      <c r="Z21" s="263">
        <v>0.1764705882352941</v>
      </c>
      <c r="AA21" s="263">
        <v>6.6666666666666666E-2</v>
      </c>
      <c r="AB21" s="263">
        <v>0</v>
      </c>
      <c r="AC21" s="263">
        <v>9.0909090909090912E-2</v>
      </c>
      <c r="AD21" s="263">
        <v>0</v>
      </c>
      <c r="AE21" s="263">
        <v>0</v>
      </c>
      <c r="AF21" s="263">
        <v>0.08</v>
      </c>
      <c r="AG21" s="263">
        <v>0.16666666666666671</v>
      </c>
      <c r="AH21" s="263">
        <v>0</v>
      </c>
    </row>
    <row r="22" spans="2:34">
      <c r="B22" s="429" t="s">
        <v>268</v>
      </c>
      <c r="C22" s="430">
        <v>3.0154849225753871E-2</v>
      </c>
      <c r="D22" s="260">
        <v>0</v>
      </c>
      <c r="E22" s="260">
        <v>0.16666666666666671</v>
      </c>
      <c r="F22" s="260">
        <v>0.16666666666666671</v>
      </c>
      <c r="G22" s="260">
        <v>0</v>
      </c>
      <c r="H22" s="260">
        <v>0</v>
      </c>
      <c r="I22" s="260">
        <v>0</v>
      </c>
      <c r="J22" s="260">
        <v>0</v>
      </c>
      <c r="K22" s="260">
        <v>7.1428571428571425E-2</v>
      </c>
      <c r="L22" s="260">
        <v>0.05</v>
      </c>
      <c r="M22" s="260">
        <v>5.5555555555555552E-2</v>
      </c>
      <c r="N22" s="260">
        <v>0</v>
      </c>
      <c r="O22" s="260">
        <v>5.5555555555555552E-2</v>
      </c>
      <c r="P22" s="260">
        <v>0.13043478260869559</v>
      </c>
      <c r="Q22" s="260">
        <v>6.25E-2</v>
      </c>
      <c r="R22" s="260">
        <v>0</v>
      </c>
      <c r="S22" s="260">
        <v>3.7735849056603772E-2</v>
      </c>
      <c r="T22" s="260">
        <v>3.7037037037037028E-2</v>
      </c>
      <c r="U22" s="260">
        <v>1.785714285714286E-2</v>
      </c>
      <c r="V22" s="260">
        <v>0</v>
      </c>
      <c r="W22" s="260">
        <v>3.5087719298245612E-2</v>
      </c>
      <c r="X22" s="260">
        <v>0.10344827586206901</v>
      </c>
      <c r="Y22" s="260">
        <v>6.6666666666666666E-2</v>
      </c>
      <c r="Z22" s="260">
        <v>1.7241379310344831E-2</v>
      </c>
      <c r="AA22" s="260">
        <v>0</v>
      </c>
      <c r="AB22" s="260">
        <v>1.5873015873015869E-2</v>
      </c>
      <c r="AC22" s="260">
        <v>3.03030303030303E-2</v>
      </c>
      <c r="AD22" s="260">
        <v>3.125E-2</v>
      </c>
      <c r="AE22" s="260">
        <v>1.3698630136986301E-2</v>
      </c>
      <c r="AF22" s="260">
        <v>0</v>
      </c>
      <c r="AG22" s="260">
        <v>1.428571428571429E-2</v>
      </c>
      <c r="AH22" s="260">
        <v>1.515151515151515E-2</v>
      </c>
    </row>
    <row r="23" spans="2:34">
      <c r="B23" s="427" t="s">
        <v>269</v>
      </c>
      <c r="C23" s="428">
        <v>2.753623188405797E-2</v>
      </c>
      <c r="D23" s="263">
        <v>0</v>
      </c>
      <c r="E23" s="263">
        <v>0</v>
      </c>
      <c r="F23" s="263">
        <v>0</v>
      </c>
      <c r="G23" s="263">
        <v>0</v>
      </c>
      <c r="H23" s="263">
        <v>0</v>
      </c>
      <c r="I23" s="263">
        <v>0.1111111111111111</v>
      </c>
      <c r="J23" s="263">
        <v>0</v>
      </c>
      <c r="K23" s="263">
        <v>0</v>
      </c>
      <c r="L23" s="263">
        <v>0</v>
      </c>
      <c r="M23" s="263">
        <v>0.16666666666666671</v>
      </c>
      <c r="N23" s="263">
        <v>0</v>
      </c>
      <c r="O23" s="263">
        <v>0</v>
      </c>
      <c r="P23" s="263">
        <v>0</v>
      </c>
      <c r="Q23" s="263">
        <v>0</v>
      </c>
      <c r="R23" s="263">
        <v>0</v>
      </c>
      <c r="S23" s="263">
        <v>0</v>
      </c>
      <c r="T23" s="263">
        <v>0</v>
      </c>
      <c r="U23" s="263">
        <v>0</v>
      </c>
      <c r="V23" s="263">
        <v>0</v>
      </c>
      <c r="W23" s="263">
        <v>0</v>
      </c>
      <c r="X23" s="263">
        <v>0</v>
      </c>
      <c r="Y23" s="263">
        <v>2.564102564102564E-2</v>
      </c>
      <c r="Z23" s="263">
        <v>2.6315789473684209E-2</v>
      </c>
      <c r="AA23" s="263">
        <v>6.8181818181818177E-2</v>
      </c>
      <c r="AB23" s="263">
        <v>2.564102564102564E-2</v>
      </c>
      <c r="AC23" s="263">
        <v>0.1025641025641026</v>
      </c>
      <c r="AD23" s="263">
        <v>9.0909090909090912E-2</v>
      </c>
      <c r="AE23" s="263">
        <v>2.2727272727272731E-2</v>
      </c>
      <c r="AF23" s="263">
        <v>0</v>
      </c>
      <c r="AG23" s="263">
        <v>3.5714285714285712E-2</v>
      </c>
      <c r="AH23" s="263">
        <v>0</v>
      </c>
    </row>
    <row r="24" spans="2:34">
      <c r="B24" s="429" t="s">
        <v>270</v>
      </c>
      <c r="C24" s="430">
        <v>1.4104372355430181E-2</v>
      </c>
      <c r="D24" s="260">
        <v>0</v>
      </c>
      <c r="E24" s="260">
        <v>0</v>
      </c>
      <c r="F24" s="260">
        <v>0</v>
      </c>
      <c r="G24" s="260">
        <v>0</v>
      </c>
      <c r="H24" s="260">
        <v>0</v>
      </c>
      <c r="I24" s="260">
        <v>0</v>
      </c>
      <c r="J24" s="260">
        <v>0.16666666666666671</v>
      </c>
      <c r="K24" s="260">
        <v>0</v>
      </c>
      <c r="L24" s="260">
        <v>0</v>
      </c>
      <c r="M24" s="260">
        <v>0.2</v>
      </c>
      <c r="N24" s="260">
        <v>0</v>
      </c>
      <c r="O24" s="260">
        <v>0</v>
      </c>
      <c r="P24" s="260">
        <v>0</v>
      </c>
      <c r="Q24" s="260">
        <v>0</v>
      </c>
      <c r="R24" s="260">
        <v>0.16666666666666671</v>
      </c>
      <c r="S24" s="260">
        <v>0</v>
      </c>
      <c r="T24" s="260">
        <v>0</v>
      </c>
      <c r="U24" s="260">
        <v>0</v>
      </c>
      <c r="V24" s="260">
        <v>0</v>
      </c>
      <c r="W24" s="260">
        <v>6.6666666666666666E-2</v>
      </c>
      <c r="X24" s="260">
        <v>0</v>
      </c>
      <c r="Y24" s="260">
        <v>3.5714285714285712E-2</v>
      </c>
      <c r="Z24" s="260">
        <v>0</v>
      </c>
      <c r="AA24" s="260">
        <v>1.5384615384615391E-2</v>
      </c>
      <c r="AB24" s="260">
        <v>0</v>
      </c>
      <c r="AC24" s="260">
        <v>0</v>
      </c>
      <c r="AD24" s="260">
        <v>1.7241379310344831E-2</v>
      </c>
      <c r="AE24" s="260">
        <v>0</v>
      </c>
      <c r="AF24" s="260">
        <v>0</v>
      </c>
      <c r="AG24" s="260">
        <v>0</v>
      </c>
      <c r="AH24" s="260">
        <v>4.4444444444444453E-2</v>
      </c>
    </row>
    <row r="25" spans="2:34">
      <c r="B25" s="427" t="s">
        <v>271</v>
      </c>
      <c r="C25" s="428">
        <v>1.442307692307692E-2</v>
      </c>
      <c r="D25" s="263">
        <v>0</v>
      </c>
      <c r="E25" s="263">
        <v>0.1111111111111111</v>
      </c>
      <c r="F25" s="263">
        <v>8.3333333333333329E-2</v>
      </c>
      <c r="G25" s="263">
        <v>0</v>
      </c>
      <c r="H25" s="263">
        <v>0</v>
      </c>
      <c r="I25" s="263">
        <v>0</v>
      </c>
      <c r="J25" s="263">
        <v>0.16666666666666671</v>
      </c>
      <c r="K25" s="263">
        <v>0</v>
      </c>
      <c r="L25" s="263">
        <v>0</v>
      </c>
      <c r="M25" s="263">
        <v>0</v>
      </c>
      <c r="N25" s="263">
        <v>0</v>
      </c>
      <c r="O25" s="263">
        <v>0</v>
      </c>
      <c r="P25" s="263">
        <v>0</v>
      </c>
      <c r="Q25" s="263">
        <v>0</v>
      </c>
      <c r="R25" s="263">
        <v>0</v>
      </c>
      <c r="S25" s="263">
        <v>0</v>
      </c>
      <c r="T25" s="263">
        <v>0</v>
      </c>
      <c r="U25" s="263">
        <v>0</v>
      </c>
      <c r="V25" s="263">
        <v>0</v>
      </c>
      <c r="W25" s="263">
        <v>0</v>
      </c>
      <c r="X25" s="263">
        <v>0</v>
      </c>
      <c r="Y25" s="263">
        <v>0</v>
      </c>
      <c r="Z25" s="263">
        <v>0</v>
      </c>
      <c r="AA25" s="263">
        <v>0</v>
      </c>
      <c r="AB25" s="263">
        <v>0</v>
      </c>
      <c r="AC25" s="263">
        <v>0</v>
      </c>
      <c r="AD25" s="263">
        <v>0</v>
      </c>
      <c r="AE25" s="263">
        <v>0</v>
      </c>
      <c r="AF25" s="263">
        <v>0</v>
      </c>
      <c r="AG25" s="263">
        <v>0</v>
      </c>
      <c r="AH25" s="263">
        <v>0</v>
      </c>
    </row>
    <row r="26" spans="2:34">
      <c r="B26" s="429" t="s">
        <v>272</v>
      </c>
      <c r="C26" s="430">
        <v>2.552204176334107E-2</v>
      </c>
      <c r="D26" s="260">
        <v>0</v>
      </c>
      <c r="E26" s="260">
        <v>0</v>
      </c>
      <c r="F26" s="260">
        <v>0</v>
      </c>
      <c r="G26" s="260">
        <v>0</v>
      </c>
      <c r="H26" s="260">
        <v>0</v>
      </c>
      <c r="I26" s="260">
        <v>0</v>
      </c>
      <c r="J26" s="260">
        <v>0</v>
      </c>
      <c r="K26" s="260">
        <v>0.14285714285714279</v>
      </c>
      <c r="L26" s="260">
        <v>0</v>
      </c>
      <c r="M26" s="260">
        <v>0.14285714285714279</v>
      </c>
      <c r="N26" s="260">
        <v>0.375</v>
      </c>
      <c r="O26" s="260">
        <v>0</v>
      </c>
      <c r="P26" s="260">
        <v>8.3333333333333329E-2</v>
      </c>
      <c r="Q26" s="260">
        <v>0</v>
      </c>
      <c r="R26" s="260">
        <v>0</v>
      </c>
      <c r="S26" s="260">
        <v>0</v>
      </c>
      <c r="T26" s="260">
        <v>0</v>
      </c>
      <c r="U26" s="260">
        <v>0</v>
      </c>
      <c r="V26" s="260">
        <v>5.5555555555555552E-2</v>
      </c>
      <c r="W26" s="260">
        <v>0</v>
      </c>
      <c r="X26" s="260">
        <v>0</v>
      </c>
      <c r="Y26" s="260">
        <v>8.3333333333333329E-2</v>
      </c>
      <c r="Z26" s="260">
        <v>0</v>
      </c>
      <c r="AA26" s="260">
        <v>4.7619047619047623E-2</v>
      </c>
      <c r="AB26" s="260">
        <v>4.5454545454545463E-2</v>
      </c>
      <c r="AC26" s="260">
        <v>0</v>
      </c>
      <c r="AD26" s="260">
        <v>0</v>
      </c>
      <c r="AE26" s="260">
        <v>0</v>
      </c>
      <c r="AF26" s="260">
        <v>0</v>
      </c>
      <c r="AG26" s="260">
        <v>0</v>
      </c>
      <c r="AH26" s="260">
        <v>0</v>
      </c>
    </row>
    <row r="27" spans="2:34">
      <c r="B27" s="427" t="s">
        <v>273</v>
      </c>
      <c r="C27" s="428">
        <v>1.0706638115631689E-2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0.33333333333333331</v>
      </c>
      <c r="J27" s="263">
        <v>0.2</v>
      </c>
      <c r="K27" s="263">
        <v>0</v>
      </c>
      <c r="L27" s="263">
        <v>0.25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0.25</v>
      </c>
      <c r="T27" s="263">
        <v>0</v>
      </c>
      <c r="U27" s="263">
        <v>0</v>
      </c>
      <c r="V27" s="263">
        <v>0</v>
      </c>
      <c r="W27" s="263">
        <v>0</v>
      </c>
      <c r="X27" s="263">
        <v>0</v>
      </c>
      <c r="Y27" s="263">
        <v>0</v>
      </c>
      <c r="Z27" s="263">
        <v>2.9411764705882349E-2</v>
      </c>
      <c r="AA27" s="263">
        <v>0</v>
      </c>
      <c r="AB27" s="263">
        <v>0</v>
      </c>
      <c r="AC27" s="263">
        <v>0</v>
      </c>
      <c r="AD27" s="263">
        <v>0</v>
      </c>
      <c r="AE27" s="263">
        <v>0</v>
      </c>
      <c r="AF27" s="263">
        <v>0</v>
      </c>
      <c r="AG27" s="263">
        <v>0</v>
      </c>
      <c r="AH27" s="263">
        <v>0</v>
      </c>
    </row>
    <row r="28" spans="2:34">
      <c r="B28" s="429" t="s">
        <v>274</v>
      </c>
      <c r="C28" s="430">
        <v>2.3952095808383232E-2</v>
      </c>
      <c r="D28" s="260">
        <v>0.125</v>
      </c>
      <c r="E28" s="260">
        <v>0</v>
      </c>
      <c r="F28" s="260">
        <v>9.0909090909090912E-2</v>
      </c>
      <c r="G28" s="260">
        <v>0</v>
      </c>
      <c r="H28" s="260">
        <v>0</v>
      </c>
      <c r="I28" s="260">
        <v>5.8823529411764712E-2</v>
      </c>
      <c r="J28" s="260">
        <v>0</v>
      </c>
      <c r="K28" s="260">
        <v>7.1428571428571425E-2</v>
      </c>
      <c r="L28" s="260">
        <v>0.1764705882352941</v>
      </c>
      <c r="M28" s="260">
        <v>5.5555555555555552E-2</v>
      </c>
      <c r="N28" s="260">
        <v>0</v>
      </c>
      <c r="O28" s="260">
        <v>4.3478260869565223E-2</v>
      </c>
      <c r="P28" s="260">
        <v>0</v>
      </c>
      <c r="Q28" s="260">
        <v>0</v>
      </c>
      <c r="R28" s="260">
        <v>3.5714285714285712E-2</v>
      </c>
      <c r="S28" s="260">
        <v>3.8461538461538457E-2</v>
      </c>
      <c r="T28" s="260">
        <v>8.6956521739130432E-2</v>
      </c>
      <c r="U28" s="260">
        <v>4.5454545454545463E-2</v>
      </c>
      <c r="V28" s="260">
        <v>0</v>
      </c>
      <c r="W28" s="260">
        <v>0</v>
      </c>
      <c r="X28" s="260">
        <v>9.5238095238095233E-2</v>
      </c>
      <c r="Y28" s="260">
        <v>4.5454545454545463E-2</v>
      </c>
      <c r="Z28" s="260">
        <v>3.8461538461538457E-2</v>
      </c>
      <c r="AA28" s="260">
        <v>3.3333333333333333E-2</v>
      </c>
      <c r="AB28" s="260">
        <v>2.3809523809523812E-2</v>
      </c>
      <c r="AC28" s="260">
        <v>2.8571428571428571E-2</v>
      </c>
      <c r="AD28" s="260">
        <v>1.9230769230769228E-2</v>
      </c>
      <c r="AE28" s="260">
        <v>9.6153846153846159E-3</v>
      </c>
      <c r="AF28" s="260">
        <v>9.6153846153846159E-3</v>
      </c>
      <c r="AG28" s="260">
        <v>0</v>
      </c>
      <c r="AH28" s="260">
        <v>0</v>
      </c>
    </row>
    <row r="29" spans="2:34">
      <c r="B29" s="427" t="s">
        <v>275</v>
      </c>
      <c r="C29" s="428">
        <v>6.3157894736842107E-2</v>
      </c>
      <c r="D29" s="263">
        <v>0</v>
      </c>
      <c r="E29" s="263">
        <v>0</v>
      </c>
      <c r="F29" s="263">
        <v>0</v>
      </c>
      <c r="G29" s="263">
        <v>0.5</v>
      </c>
      <c r="H29" s="263" t="s">
        <v>237</v>
      </c>
      <c r="I29" s="263" t="s">
        <v>237</v>
      </c>
      <c r="J29" s="263" t="s">
        <v>237</v>
      </c>
      <c r="K29" s="263">
        <v>0</v>
      </c>
      <c r="L29" s="263">
        <v>0</v>
      </c>
      <c r="M29" s="263">
        <v>0</v>
      </c>
      <c r="N29" s="263">
        <v>0</v>
      </c>
      <c r="O29" s="263">
        <v>0.33333333333333331</v>
      </c>
      <c r="P29" s="263">
        <v>0</v>
      </c>
      <c r="Q29" s="263">
        <v>0</v>
      </c>
      <c r="R29" s="263">
        <v>0</v>
      </c>
      <c r="S29" s="263">
        <v>0</v>
      </c>
      <c r="T29" s="263">
        <v>0.5</v>
      </c>
      <c r="U29" s="263">
        <v>0</v>
      </c>
      <c r="V29" s="263">
        <v>0</v>
      </c>
      <c r="W29" s="263">
        <v>0</v>
      </c>
      <c r="X29" s="263">
        <v>0</v>
      </c>
      <c r="Y29" s="263">
        <v>0</v>
      </c>
      <c r="Z29" s="263">
        <v>0</v>
      </c>
      <c r="AA29" s="263">
        <v>0.5</v>
      </c>
      <c r="AB29" s="263">
        <v>0</v>
      </c>
      <c r="AC29" s="263">
        <v>0</v>
      </c>
      <c r="AD29" s="263">
        <v>0</v>
      </c>
      <c r="AE29" s="263">
        <v>0</v>
      </c>
      <c r="AF29" s="263">
        <v>0</v>
      </c>
      <c r="AG29" s="263">
        <v>8.3333333333333329E-2</v>
      </c>
      <c r="AH29" s="263">
        <v>7.6923076923076927E-2</v>
      </c>
    </row>
    <row r="30" spans="2:34">
      <c r="B30" s="429" t="s">
        <v>276</v>
      </c>
      <c r="C30" s="430">
        <v>2.7678571428571431E-2</v>
      </c>
      <c r="D30" s="260" t="s">
        <v>237</v>
      </c>
      <c r="E30" s="260" t="s">
        <v>237</v>
      </c>
      <c r="F30" s="260" t="s">
        <v>237</v>
      </c>
      <c r="G30" s="260" t="s">
        <v>237</v>
      </c>
      <c r="H30" s="260">
        <v>0</v>
      </c>
      <c r="I30" s="260">
        <v>0</v>
      </c>
      <c r="J30" s="260">
        <v>0</v>
      </c>
      <c r="K30" s="260">
        <v>0.25</v>
      </c>
      <c r="L30" s="260">
        <v>0.16666666666666671</v>
      </c>
      <c r="M30" s="260">
        <v>0</v>
      </c>
      <c r="N30" s="260">
        <v>0</v>
      </c>
      <c r="O30" s="260">
        <v>0</v>
      </c>
      <c r="P30" s="260">
        <v>0</v>
      </c>
      <c r="Q30" s="260">
        <v>0</v>
      </c>
      <c r="R30" s="260">
        <v>8.8235294117647065E-2</v>
      </c>
      <c r="S30" s="260">
        <v>2.564102564102564E-2</v>
      </c>
      <c r="T30" s="260">
        <v>4.878048780487805E-2</v>
      </c>
      <c r="U30" s="260">
        <v>6.5217391304347824E-2</v>
      </c>
      <c r="V30" s="260">
        <v>0</v>
      </c>
      <c r="W30" s="260">
        <v>0</v>
      </c>
      <c r="X30" s="260">
        <v>0</v>
      </c>
      <c r="Y30" s="260">
        <v>4.8387096774193547E-2</v>
      </c>
      <c r="Z30" s="260">
        <v>0</v>
      </c>
      <c r="AA30" s="260">
        <v>3.7037037037037028E-2</v>
      </c>
      <c r="AB30" s="260">
        <v>7.0588235294117646E-2</v>
      </c>
      <c r="AC30" s="260">
        <v>0</v>
      </c>
      <c r="AD30" s="260">
        <v>5.2631578947368418E-2</v>
      </c>
      <c r="AE30" s="260">
        <v>2.7027027027027029E-2</v>
      </c>
      <c r="AF30" s="260">
        <v>0</v>
      </c>
      <c r="AG30" s="260">
        <v>1.4492753623188409E-2</v>
      </c>
      <c r="AH30" s="260">
        <v>0</v>
      </c>
    </row>
    <row r="31" spans="2:34">
      <c r="B31" s="427" t="s">
        <v>277</v>
      </c>
      <c r="C31" s="428">
        <v>6.1328790459965928E-2</v>
      </c>
      <c r="D31" s="263">
        <v>0.1111111111111111</v>
      </c>
      <c r="E31" s="263">
        <v>0.1111111111111111</v>
      </c>
      <c r="F31" s="263">
        <v>0</v>
      </c>
      <c r="G31" s="263">
        <v>0</v>
      </c>
      <c r="H31" s="263">
        <v>0.14285714285714279</v>
      </c>
      <c r="I31" s="263">
        <v>0</v>
      </c>
      <c r="J31" s="263">
        <v>0</v>
      </c>
      <c r="K31" s="263">
        <v>0</v>
      </c>
      <c r="L31" s="263">
        <v>0</v>
      </c>
      <c r="M31" s="263">
        <v>0.2</v>
      </c>
      <c r="N31" s="263">
        <v>0</v>
      </c>
      <c r="O31" s="263">
        <v>0.2</v>
      </c>
      <c r="P31" s="263">
        <v>0</v>
      </c>
      <c r="Q31" s="263">
        <v>0</v>
      </c>
      <c r="R31" s="263">
        <v>8.3333333333333329E-2</v>
      </c>
      <c r="S31" s="263">
        <v>7.6923076923076927E-2</v>
      </c>
      <c r="T31" s="263">
        <v>5.5555555555555552E-2</v>
      </c>
      <c r="U31" s="263">
        <v>0</v>
      </c>
      <c r="V31" s="263">
        <v>4.3478260869565223E-2</v>
      </c>
      <c r="W31" s="263">
        <v>3.5714285714285712E-2</v>
      </c>
      <c r="X31" s="263">
        <v>3.5714285714285712E-2</v>
      </c>
      <c r="Y31" s="263">
        <v>6.25E-2</v>
      </c>
      <c r="Z31" s="263">
        <v>9.375E-2</v>
      </c>
      <c r="AA31" s="263">
        <v>2.8571428571428571E-2</v>
      </c>
      <c r="AB31" s="263">
        <v>7.6923076923076927E-2</v>
      </c>
      <c r="AC31" s="263">
        <v>2.6315789473684209E-2</v>
      </c>
      <c r="AD31" s="263">
        <v>2.777777777777778E-2</v>
      </c>
      <c r="AE31" s="263">
        <v>7.6923076923076927E-2</v>
      </c>
      <c r="AF31" s="263">
        <v>5.5555555555555552E-2</v>
      </c>
      <c r="AG31" s="263">
        <v>0.14285714285714279</v>
      </c>
      <c r="AH31" s="263">
        <v>0.1212121212121212</v>
      </c>
    </row>
    <row r="32" spans="2:34">
      <c r="B32" s="429" t="s">
        <v>278</v>
      </c>
      <c r="C32" s="430">
        <v>8.0357142857142863E-2</v>
      </c>
      <c r="D32" s="260">
        <v>0</v>
      </c>
      <c r="E32" s="260">
        <v>0</v>
      </c>
      <c r="F32" s="260">
        <v>0</v>
      </c>
      <c r="G32" s="260">
        <v>0.75</v>
      </c>
      <c r="H32" s="260">
        <v>0.5</v>
      </c>
      <c r="I32" s="260">
        <v>0</v>
      </c>
      <c r="J32" s="260">
        <v>0</v>
      </c>
      <c r="K32" s="260">
        <v>0.5</v>
      </c>
      <c r="L32" s="260">
        <v>0</v>
      </c>
      <c r="M32" s="260">
        <v>0</v>
      </c>
      <c r="N32" s="260">
        <v>0</v>
      </c>
      <c r="O32" s="260">
        <v>0</v>
      </c>
      <c r="P32" s="260">
        <v>0.5</v>
      </c>
      <c r="Q32" s="260">
        <v>0</v>
      </c>
      <c r="R32" s="260">
        <v>0</v>
      </c>
      <c r="S32" s="260">
        <v>0</v>
      </c>
      <c r="T32" s="260">
        <v>0</v>
      </c>
      <c r="U32" s="260">
        <v>0</v>
      </c>
      <c r="V32" s="260">
        <v>0</v>
      </c>
      <c r="W32" s="260">
        <v>0</v>
      </c>
      <c r="X32" s="260">
        <v>0</v>
      </c>
      <c r="Y32" s="260">
        <v>0</v>
      </c>
      <c r="Z32" s="260">
        <v>0</v>
      </c>
      <c r="AA32" s="260">
        <v>0</v>
      </c>
      <c r="AB32" s="260">
        <v>0</v>
      </c>
      <c r="AC32" s="260">
        <v>0</v>
      </c>
      <c r="AD32" s="260">
        <v>0.16666666666666671</v>
      </c>
      <c r="AE32" s="260">
        <v>9.0909090909090912E-2</v>
      </c>
      <c r="AF32" s="260">
        <v>0</v>
      </c>
      <c r="AG32" s="260">
        <v>0</v>
      </c>
      <c r="AH32" s="260">
        <v>0</v>
      </c>
    </row>
    <row r="33" spans="2:34">
      <c r="B33" s="427" t="s">
        <v>279</v>
      </c>
      <c r="C33" s="428">
        <v>1.8264840182648401E-2</v>
      </c>
      <c r="D33" s="263">
        <v>0</v>
      </c>
      <c r="E33" s="263">
        <v>0</v>
      </c>
      <c r="F33" s="263">
        <v>0</v>
      </c>
      <c r="G33" s="263">
        <v>0</v>
      </c>
      <c r="H33" s="263">
        <v>0</v>
      </c>
      <c r="I33" s="263">
        <v>0</v>
      </c>
      <c r="J33" s="263">
        <v>0</v>
      </c>
      <c r="K33" s="263">
        <v>0</v>
      </c>
      <c r="L33" s="263">
        <v>0</v>
      </c>
      <c r="M33" s="263">
        <v>0</v>
      </c>
      <c r="N33" s="263">
        <v>0</v>
      </c>
      <c r="O33" s="263">
        <v>0</v>
      </c>
      <c r="P33" s="263">
        <v>0</v>
      </c>
      <c r="Q33" s="263">
        <v>0</v>
      </c>
      <c r="R33" s="263">
        <v>0</v>
      </c>
      <c r="S33" s="263">
        <v>0</v>
      </c>
      <c r="T33" s="263">
        <v>0</v>
      </c>
      <c r="U33" s="263">
        <v>0</v>
      </c>
      <c r="V33" s="263">
        <v>0</v>
      </c>
      <c r="W33" s="263">
        <v>0</v>
      </c>
      <c r="X33" s="263">
        <v>0</v>
      </c>
      <c r="Y33" s="263">
        <v>2.6315789473684209E-2</v>
      </c>
      <c r="Z33" s="263">
        <v>2.777777777777778E-2</v>
      </c>
      <c r="AA33" s="263">
        <v>3.2258064516129031E-2</v>
      </c>
      <c r="AB33" s="263">
        <v>0.10344827586206901</v>
      </c>
      <c r="AC33" s="263">
        <v>3.5714285714285712E-2</v>
      </c>
      <c r="AD33" s="263">
        <v>4.1666666666666657E-2</v>
      </c>
      <c r="AE33" s="263">
        <v>0</v>
      </c>
      <c r="AF33" s="263">
        <v>0</v>
      </c>
      <c r="AG33" s="263">
        <v>0</v>
      </c>
      <c r="AH33" s="263">
        <v>0</v>
      </c>
    </row>
    <row r="34" spans="2:34">
      <c r="B34" s="429" t="s">
        <v>280</v>
      </c>
      <c r="C34" s="430">
        <v>2.1825396825396821E-2</v>
      </c>
      <c r="D34" s="260" t="s">
        <v>237</v>
      </c>
      <c r="E34" s="260">
        <v>0</v>
      </c>
      <c r="F34" s="260">
        <v>0</v>
      </c>
      <c r="G34" s="260">
        <v>0</v>
      </c>
      <c r="H34" s="260">
        <v>0</v>
      </c>
      <c r="I34" s="260">
        <v>0</v>
      </c>
      <c r="J34" s="260">
        <v>0</v>
      </c>
      <c r="K34" s="260">
        <v>0</v>
      </c>
      <c r="L34" s="260">
        <v>0</v>
      </c>
      <c r="M34" s="260">
        <v>0.33333333333333331</v>
      </c>
      <c r="N34" s="260">
        <v>0</v>
      </c>
      <c r="O34" s="260">
        <v>0</v>
      </c>
      <c r="P34" s="260">
        <v>0</v>
      </c>
      <c r="Q34" s="260">
        <v>0</v>
      </c>
      <c r="R34" s="260">
        <v>0</v>
      </c>
      <c r="S34" s="260">
        <v>0</v>
      </c>
      <c r="T34" s="260">
        <v>0</v>
      </c>
      <c r="U34" s="260">
        <v>0</v>
      </c>
      <c r="V34" s="260">
        <v>0</v>
      </c>
      <c r="W34" s="260">
        <v>0</v>
      </c>
      <c r="X34" s="260">
        <v>0</v>
      </c>
      <c r="Y34" s="260">
        <v>3.4482758620689648E-2</v>
      </c>
      <c r="Z34" s="260">
        <v>5.4545454545454543E-2</v>
      </c>
      <c r="AA34" s="260">
        <v>0</v>
      </c>
      <c r="AB34" s="260">
        <v>0.02</v>
      </c>
      <c r="AC34" s="260">
        <v>2.222222222222222E-2</v>
      </c>
      <c r="AD34" s="260">
        <v>0</v>
      </c>
      <c r="AE34" s="260">
        <v>0</v>
      </c>
      <c r="AF34" s="260">
        <v>0</v>
      </c>
      <c r="AG34" s="260">
        <v>0.1153846153846154</v>
      </c>
      <c r="AH34" s="260">
        <v>0</v>
      </c>
    </row>
    <row r="35" spans="2:34">
      <c r="B35" s="427" t="s">
        <v>281</v>
      </c>
      <c r="C35" s="428">
        <v>2.2271714922049001E-2</v>
      </c>
      <c r="D35" s="263" t="s">
        <v>237</v>
      </c>
      <c r="E35" s="263" t="s">
        <v>237</v>
      </c>
      <c r="F35" s="263">
        <v>0</v>
      </c>
      <c r="G35" s="263">
        <v>0</v>
      </c>
      <c r="H35" s="263">
        <v>0</v>
      </c>
      <c r="I35" s="263">
        <v>0.1111111111111111</v>
      </c>
      <c r="J35" s="263">
        <v>0.22222222222222221</v>
      </c>
      <c r="K35" s="263">
        <v>0</v>
      </c>
      <c r="L35" s="263">
        <v>6.6666666666666666E-2</v>
      </c>
      <c r="M35" s="263">
        <v>6.25E-2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5.5555555555555552E-2</v>
      </c>
      <c r="T35" s="263">
        <v>0</v>
      </c>
      <c r="U35" s="263">
        <v>5.2631578947368418E-2</v>
      </c>
      <c r="V35" s="263">
        <v>5.8823529411764712E-2</v>
      </c>
      <c r="W35" s="263">
        <v>0</v>
      </c>
      <c r="X35" s="263">
        <v>0</v>
      </c>
      <c r="Y35" s="263">
        <v>0</v>
      </c>
      <c r="Z35" s="263">
        <v>0</v>
      </c>
      <c r="AA35" s="263">
        <v>0</v>
      </c>
      <c r="AB35" s="263">
        <v>0</v>
      </c>
      <c r="AC35" s="263">
        <v>0</v>
      </c>
      <c r="AD35" s="263">
        <v>4.5454545454545463E-2</v>
      </c>
      <c r="AE35" s="263">
        <v>7.1428571428571425E-2</v>
      </c>
      <c r="AF35" s="263">
        <v>0</v>
      </c>
      <c r="AG35" s="263">
        <v>0</v>
      </c>
      <c r="AH35" s="263">
        <v>0</v>
      </c>
    </row>
    <row r="36" spans="2:34">
      <c r="B36" s="429" t="s">
        <v>282</v>
      </c>
      <c r="C36" s="430">
        <v>9.0909090909090912E-2</v>
      </c>
      <c r="D36" s="260" t="s">
        <v>237</v>
      </c>
      <c r="E36" s="260" t="s">
        <v>237</v>
      </c>
      <c r="F36" s="260">
        <v>0</v>
      </c>
      <c r="G36" s="260">
        <v>0</v>
      </c>
      <c r="H36" s="260">
        <v>0</v>
      </c>
      <c r="I36" s="260">
        <v>0</v>
      </c>
      <c r="J36" s="260">
        <v>0</v>
      </c>
      <c r="K36" s="260">
        <v>0</v>
      </c>
      <c r="L36" s="260">
        <v>0</v>
      </c>
      <c r="M36" s="260">
        <v>0</v>
      </c>
      <c r="N36" s="260">
        <v>0</v>
      </c>
      <c r="O36" s="260">
        <v>0</v>
      </c>
      <c r="P36" s="260">
        <v>0</v>
      </c>
      <c r="Q36" s="260">
        <v>0</v>
      </c>
      <c r="R36" s="260" t="s">
        <v>237</v>
      </c>
      <c r="S36" s="260" t="s">
        <v>237</v>
      </c>
      <c r="T36" s="260">
        <v>0</v>
      </c>
      <c r="U36" s="260">
        <v>0</v>
      </c>
      <c r="V36" s="260">
        <v>0</v>
      </c>
      <c r="W36" s="260">
        <v>0.2</v>
      </c>
      <c r="X36" s="260">
        <v>0</v>
      </c>
      <c r="Y36" s="260">
        <v>0</v>
      </c>
      <c r="Z36" s="260">
        <v>6.25E-2</v>
      </c>
      <c r="AA36" s="260">
        <v>6.6666666666666666E-2</v>
      </c>
      <c r="AB36" s="260">
        <v>0</v>
      </c>
      <c r="AC36" s="260">
        <v>0.41666666666666669</v>
      </c>
      <c r="AD36" s="260">
        <v>0.1</v>
      </c>
      <c r="AE36" s="260">
        <v>0.1</v>
      </c>
      <c r="AF36" s="260">
        <v>0</v>
      </c>
      <c r="AG36" s="260">
        <v>0.33333333333333331</v>
      </c>
      <c r="AH36" s="260">
        <v>0</v>
      </c>
    </row>
    <row r="37" spans="2:34">
      <c r="B37" s="427" t="s">
        <v>283</v>
      </c>
      <c r="C37" s="428">
        <v>1.9417475728155342E-2</v>
      </c>
      <c r="D37" s="263">
        <v>0</v>
      </c>
      <c r="E37" s="263">
        <v>0</v>
      </c>
      <c r="F37" s="263">
        <v>5.5555555555555552E-2</v>
      </c>
      <c r="G37" s="263">
        <v>5.8823529411764712E-2</v>
      </c>
      <c r="H37" s="263">
        <v>0</v>
      </c>
      <c r="I37" s="263">
        <v>0</v>
      </c>
      <c r="J37" s="263">
        <v>0</v>
      </c>
      <c r="K37" s="263">
        <v>9.0909090909090912E-2</v>
      </c>
      <c r="L37" s="263">
        <v>0.1</v>
      </c>
      <c r="M37" s="263">
        <v>0</v>
      </c>
      <c r="N37" s="263">
        <v>0</v>
      </c>
      <c r="O37" s="263">
        <v>0</v>
      </c>
      <c r="P37" s="263">
        <v>0</v>
      </c>
      <c r="Q37" s="263">
        <v>0</v>
      </c>
      <c r="R37" s="263">
        <v>0</v>
      </c>
      <c r="S37" s="263">
        <v>0</v>
      </c>
      <c r="T37" s="263">
        <v>0</v>
      </c>
      <c r="U37" s="263">
        <v>0</v>
      </c>
      <c r="V37" s="263">
        <v>7.6923076923076927E-2</v>
      </c>
      <c r="W37" s="263">
        <v>0</v>
      </c>
      <c r="X37" s="263">
        <v>0</v>
      </c>
      <c r="Y37" s="263">
        <v>0</v>
      </c>
      <c r="Z37" s="263">
        <v>0</v>
      </c>
      <c r="AA37" s="263">
        <v>0</v>
      </c>
      <c r="AB37" s="263">
        <v>0</v>
      </c>
      <c r="AC37" s="263">
        <v>0</v>
      </c>
      <c r="AD37" s="263">
        <v>0</v>
      </c>
      <c r="AE37" s="263">
        <v>0</v>
      </c>
      <c r="AF37" s="263">
        <v>0</v>
      </c>
      <c r="AG37" s="263">
        <v>0</v>
      </c>
      <c r="AH37" s="263">
        <v>0.25</v>
      </c>
    </row>
    <row r="38" spans="2:34">
      <c r="B38" s="429" t="s">
        <v>284</v>
      </c>
      <c r="C38" s="430">
        <v>4.4285714285714282E-2</v>
      </c>
      <c r="D38" s="260">
        <v>0</v>
      </c>
      <c r="E38" s="260">
        <v>0</v>
      </c>
      <c r="F38" s="260">
        <v>0</v>
      </c>
      <c r="G38" s="260">
        <v>0</v>
      </c>
      <c r="H38" s="260">
        <v>0.41379310344827591</v>
      </c>
      <c r="I38" s="260">
        <v>5.8823529411764712E-2</v>
      </c>
      <c r="J38" s="260">
        <v>6.25E-2</v>
      </c>
      <c r="K38" s="260">
        <v>7.1428571428571425E-2</v>
      </c>
      <c r="L38" s="260">
        <v>7.1428571428571425E-2</v>
      </c>
      <c r="M38" s="260">
        <v>0</v>
      </c>
      <c r="N38" s="260">
        <v>0.14285714285714279</v>
      </c>
      <c r="O38" s="260">
        <v>0</v>
      </c>
      <c r="P38" s="260">
        <v>0</v>
      </c>
      <c r="Q38" s="260">
        <v>0</v>
      </c>
      <c r="R38" s="260">
        <v>0</v>
      </c>
      <c r="S38" s="260">
        <v>0</v>
      </c>
      <c r="T38" s="260">
        <v>0</v>
      </c>
      <c r="U38" s="260">
        <v>0</v>
      </c>
      <c r="V38" s="260">
        <v>4.7619047619047623E-2</v>
      </c>
      <c r="W38" s="260">
        <v>0</v>
      </c>
      <c r="X38" s="260">
        <v>0</v>
      </c>
      <c r="Y38" s="260">
        <v>0</v>
      </c>
      <c r="Z38" s="260">
        <v>3.8461538461538457E-2</v>
      </c>
      <c r="AA38" s="260">
        <v>3.4482758620689648E-2</v>
      </c>
      <c r="AB38" s="260">
        <v>3.125E-2</v>
      </c>
      <c r="AC38" s="260">
        <v>2.9411764705882349E-2</v>
      </c>
      <c r="AD38" s="260">
        <v>0.14285714285714279</v>
      </c>
      <c r="AE38" s="260">
        <v>3.4482758620689648E-2</v>
      </c>
      <c r="AF38" s="260">
        <v>0</v>
      </c>
      <c r="AG38" s="260">
        <v>0</v>
      </c>
      <c r="AH38" s="260">
        <v>5.7142857142857141E-2</v>
      </c>
    </row>
    <row r="39" spans="2:34">
      <c r="B39" s="427" t="s">
        <v>285</v>
      </c>
      <c r="C39" s="428">
        <v>2.635486265775798E-2</v>
      </c>
      <c r="D39" s="263">
        <v>0</v>
      </c>
      <c r="E39" s="263">
        <v>0</v>
      </c>
      <c r="F39" s="263">
        <v>0</v>
      </c>
      <c r="G39" s="263">
        <v>7.1428571428571425E-2</v>
      </c>
      <c r="H39" s="263">
        <v>9.6774193548387094E-2</v>
      </c>
      <c r="I39" s="263">
        <v>0</v>
      </c>
      <c r="J39" s="263">
        <v>0</v>
      </c>
      <c r="K39" s="263">
        <v>9.5238095238095233E-2</v>
      </c>
      <c r="L39" s="263">
        <v>0.13636363636363641</v>
      </c>
      <c r="M39" s="263">
        <v>0.125</v>
      </c>
      <c r="N39" s="263">
        <v>0.14285714285714279</v>
      </c>
      <c r="O39" s="263">
        <v>3.8461538461538457E-2</v>
      </c>
      <c r="P39" s="263">
        <v>0</v>
      </c>
      <c r="Q39" s="263">
        <v>0</v>
      </c>
      <c r="R39" s="263">
        <v>4.5454545454545463E-2</v>
      </c>
      <c r="S39" s="263">
        <v>3.4482758620689648E-2</v>
      </c>
      <c r="T39" s="263">
        <v>1.492537313432836E-2</v>
      </c>
      <c r="U39" s="263">
        <v>5.1948051948051951E-2</v>
      </c>
      <c r="V39" s="263">
        <v>0</v>
      </c>
      <c r="W39" s="263">
        <v>4.0404040404040407E-2</v>
      </c>
      <c r="X39" s="263">
        <v>5.4054054054054057E-2</v>
      </c>
      <c r="Y39" s="263">
        <v>6.9444444444444441E-3</v>
      </c>
      <c r="Z39" s="263">
        <v>3.0864197530864199E-2</v>
      </c>
      <c r="AA39" s="263">
        <v>0</v>
      </c>
      <c r="AB39" s="263">
        <v>2.9585798816568049E-2</v>
      </c>
      <c r="AC39" s="263">
        <v>5.027932960893855E-2</v>
      </c>
      <c r="AD39" s="263">
        <v>4.712041884816754E-2</v>
      </c>
      <c r="AE39" s="263">
        <v>1.6216216216216221E-2</v>
      </c>
      <c r="AF39" s="263">
        <v>5.4644808743169399E-3</v>
      </c>
      <c r="AG39" s="263">
        <v>1.01010101010101E-2</v>
      </c>
      <c r="AH39" s="263">
        <v>4.8780487804878049E-3</v>
      </c>
    </row>
    <row r="40" spans="2:34">
      <c r="B40" s="429" t="s">
        <v>286</v>
      </c>
      <c r="C40" s="430">
        <v>2.197802197802198E-2</v>
      </c>
      <c r="D40" s="260">
        <v>0</v>
      </c>
      <c r="E40" s="260">
        <v>0</v>
      </c>
      <c r="F40" s="260">
        <v>0</v>
      </c>
      <c r="G40" s="260">
        <v>0</v>
      </c>
      <c r="H40" s="260">
        <v>0.25</v>
      </c>
      <c r="I40" s="260">
        <v>0</v>
      </c>
      <c r="J40" s="260">
        <v>0.5</v>
      </c>
      <c r="K40" s="260">
        <v>0</v>
      </c>
      <c r="L40" s="260">
        <v>0</v>
      </c>
      <c r="M40" s="260">
        <v>0.2857142857142857</v>
      </c>
      <c r="N40" s="260">
        <v>0</v>
      </c>
      <c r="O40" s="260">
        <v>0</v>
      </c>
      <c r="P40" s="260">
        <v>0</v>
      </c>
      <c r="Q40" s="260">
        <v>0</v>
      </c>
      <c r="R40" s="260">
        <v>0</v>
      </c>
      <c r="S40" s="260">
        <v>0</v>
      </c>
      <c r="T40" s="260">
        <v>0</v>
      </c>
      <c r="U40" s="260">
        <v>0</v>
      </c>
      <c r="V40" s="260">
        <v>7.1428571428571425E-2</v>
      </c>
      <c r="W40" s="260">
        <v>0</v>
      </c>
      <c r="X40" s="260">
        <v>0</v>
      </c>
      <c r="Y40" s="260">
        <v>0</v>
      </c>
      <c r="Z40" s="260">
        <v>0</v>
      </c>
      <c r="AA40" s="260">
        <v>0</v>
      </c>
      <c r="AB40" s="260">
        <v>0</v>
      </c>
      <c r="AC40" s="260">
        <v>0</v>
      </c>
      <c r="AD40" s="260">
        <v>0</v>
      </c>
      <c r="AE40" s="260">
        <v>0</v>
      </c>
      <c r="AF40" s="260">
        <v>0</v>
      </c>
      <c r="AG40" s="260">
        <v>0.125</v>
      </c>
      <c r="AH40" s="260">
        <v>0</v>
      </c>
    </row>
    <row r="41" spans="2:34">
      <c r="B41" s="427" t="s">
        <v>287</v>
      </c>
      <c r="C41" s="428">
        <v>1.6883116883116878E-2</v>
      </c>
      <c r="D41" s="263">
        <v>0</v>
      </c>
      <c r="E41" s="263">
        <v>0</v>
      </c>
      <c r="F41" s="263">
        <v>0.5</v>
      </c>
      <c r="G41" s="263">
        <v>0</v>
      </c>
      <c r="H41" s="263">
        <v>0</v>
      </c>
      <c r="I41" s="263">
        <v>0</v>
      </c>
      <c r="J41" s="263">
        <v>0</v>
      </c>
      <c r="K41" s="263">
        <v>0</v>
      </c>
      <c r="L41" s="263">
        <v>0.16666666666666671</v>
      </c>
      <c r="M41" s="263">
        <v>0</v>
      </c>
      <c r="N41" s="263">
        <v>9.0909090909090912E-2</v>
      </c>
      <c r="O41" s="263">
        <v>0.125</v>
      </c>
      <c r="P41" s="263">
        <v>0</v>
      </c>
      <c r="Q41" s="263">
        <v>0</v>
      </c>
      <c r="R41" s="263">
        <v>0</v>
      </c>
      <c r="S41" s="263">
        <v>0</v>
      </c>
      <c r="T41" s="263">
        <v>0</v>
      </c>
      <c r="U41" s="263">
        <v>0</v>
      </c>
      <c r="V41" s="263">
        <v>0</v>
      </c>
      <c r="W41" s="263">
        <v>5.2631578947368418E-2</v>
      </c>
      <c r="X41" s="263">
        <v>0</v>
      </c>
      <c r="Y41" s="263">
        <v>0</v>
      </c>
      <c r="Z41" s="263">
        <v>0</v>
      </c>
      <c r="AA41" s="263">
        <v>1.754385964912281E-2</v>
      </c>
      <c r="AB41" s="263">
        <v>0</v>
      </c>
      <c r="AC41" s="263">
        <v>1.666666666666667E-2</v>
      </c>
      <c r="AD41" s="263">
        <v>1.5873015873015869E-2</v>
      </c>
      <c r="AE41" s="263">
        <v>1.5873015873015869E-2</v>
      </c>
      <c r="AF41" s="263">
        <v>1.5873015873015869E-2</v>
      </c>
      <c r="AG41" s="263">
        <v>1.6949152542372881E-2</v>
      </c>
      <c r="AH41" s="263">
        <v>0</v>
      </c>
    </row>
    <row r="42" spans="2:34">
      <c r="B42" s="429" t="s">
        <v>288</v>
      </c>
      <c r="C42" s="430">
        <v>3.8787878787878788E-2</v>
      </c>
      <c r="D42" s="260">
        <v>0</v>
      </c>
      <c r="E42" s="260">
        <v>0</v>
      </c>
      <c r="F42" s="260">
        <v>0</v>
      </c>
      <c r="G42" s="260">
        <v>0</v>
      </c>
      <c r="H42" s="260">
        <v>0.2</v>
      </c>
      <c r="I42" s="260">
        <v>0</v>
      </c>
      <c r="J42" s="260">
        <v>0.1111111111111111</v>
      </c>
      <c r="K42" s="260">
        <v>0.16666666666666671</v>
      </c>
      <c r="L42" s="260">
        <v>0</v>
      </c>
      <c r="M42" s="260">
        <v>0.1111111111111111</v>
      </c>
      <c r="N42" s="260">
        <v>0</v>
      </c>
      <c r="O42" s="260">
        <v>0.1</v>
      </c>
      <c r="P42" s="260">
        <v>0</v>
      </c>
      <c r="Q42" s="260">
        <v>9.0909090909090912E-2</v>
      </c>
      <c r="R42" s="260">
        <v>8.3333333333333329E-2</v>
      </c>
      <c r="S42" s="260">
        <v>0</v>
      </c>
      <c r="T42" s="260">
        <v>0</v>
      </c>
      <c r="U42" s="260">
        <v>0</v>
      </c>
      <c r="V42" s="260">
        <v>0.05</v>
      </c>
      <c r="W42" s="260">
        <v>0</v>
      </c>
      <c r="X42" s="260">
        <v>5.5555555555555552E-2</v>
      </c>
      <c r="Y42" s="260">
        <v>0</v>
      </c>
      <c r="Z42" s="260">
        <v>0.06</v>
      </c>
      <c r="AA42" s="260">
        <v>0.04</v>
      </c>
      <c r="AB42" s="260">
        <v>6.1224489795918373E-2</v>
      </c>
      <c r="AC42" s="260">
        <v>3.2786885245901641E-2</v>
      </c>
      <c r="AD42" s="260">
        <v>5.9701492537313432E-2</v>
      </c>
      <c r="AE42" s="260">
        <v>1.6393442622950821E-2</v>
      </c>
      <c r="AF42" s="260">
        <v>0</v>
      </c>
      <c r="AG42" s="260">
        <v>7.0422535211267609E-2</v>
      </c>
      <c r="AH42" s="260">
        <v>1.298701298701299E-2</v>
      </c>
    </row>
    <row r="43" spans="2:34">
      <c r="B43" s="427" t="s">
        <v>289</v>
      </c>
      <c r="C43" s="428">
        <v>2.5188916876574311E-3</v>
      </c>
      <c r="D43" s="263" t="s">
        <v>237</v>
      </c>
      <c r="E43" s="263" t="s">
        <v>237</v>
      </c>
      <c r="F43" s="263">
        <v>0</v>
      </c>
      <c r="G43" s="263">
        <v>0</v>
      </c>
      <c r="H43" s="263">
        <v>0</v>
      </c>
      <c r="I43" s="263">
        <v>0</v>
      </c>
      <c r="J43" s="263">
        <v>0</v>
      </c>
      <c r="K43" s="263">
        <v>0</v>
      </c>
      <c r="L43" s="263">
        <v>0</v>
      </c>
      <c r="M43" s="263">
        <v>0</v>
      </c>
      <c r="N43" s="263">
        <v>0</v>
      </c>
      <c r="O43" s="263">
        <v>0</v>
      </c>
      <c r="P43" s="263">
        <v>0</v>
      </c>
      <c r="Q43" s="263">
        <v>0</v>
      </c>
      <c r="R43" s="263">
        <v>0</v>
      </c>
      <c r="S43" s="263">
        <v>0</v>
      </c>
      <c r="T43" s="263">
        <v>0</v>
      </c>
      <c r="U43" s="263">
        <v>0</v>
      </c>
      <c r="V43" s="263">
        <v>0</v>
      </c>
      <c r="W43" s="263">
        <v>3.7037037037037028E-2</v>
      </c>
      <c r="X43" s="263">
        <v>0</v>
      </c>
      <c r="Y43" s="263">
        <v>0</v>
      </c>
      <c r="Z43" s="263">
        <v>0</v>
      </c>
      <c r="AA43" s="263">
        <v>0</v>
      </c>
      <c r="AB43" s="263">
        <v>0</v>
      </c>
      <c r="AC43" s="263">
        <v>0</v>
      </c>
      <c r="AD43" s="263">
        <v>0</v>
      </c>
      <c r="AE43" s="263">
        <v>0</v>
      </c>
      <c r="AF43" s="263">
        <v>0</v>
      </c>
      <c r="AG43" s="263">
        <v>0</v>
      </c>
      <c r="AH43" s="263">
        <v>0</v>
      </c>
    </row>
    <row r="44" spans="2:34">
      <c r="B44" s="429" t="s">
        <v>290</v>
      </c>
      <c r="C44" s="430">
        <v>1.119402985074627E-2</v>
      </c>
      <c r="D44" s="260" t="s">
        <v>237</v>
      </c>
      <c r="E44" s="260" t="s">
        <v>237</v>
      </c>
      <c r="F44" s="260" t="s">
        <v>237</v>
      </c>
      <c r="G44" s="260" t="s">
        <v>237</v>
      </c>
      <c r="H44" s="260" t="s">
        <v>237</v>
      </c>
      <c r="I44" s="260" t="s">
        <v>237</v>
      </c>
      <c r="J44" s="260" t="s">
        <v>237</v>
      </c>
      <c r="K44" s="260" t="s">
        <v>237</v>
      </c>
      <c r="L44" s="260" t="s">
        <v>237</v>
      </c>
      <c r="M44" s="260" t="s">
        <v>237</v>
      </c>
      <c r="N44" s="260" t="s">
        <v>237</v>
      </c>
      <c r="O44" s="260">
        <v>0</v>
      </c>
      <c r="P44" s="260">
        <v>0</v>
      </c>
      <c r="Q44" s="260">
        <v>0</v>
      </c>
      <c r="R44" s="260">
        <v>0</v>
      </c>
      <c r="S44" s="260">
        <v>0</v>
      </c>
      <c r="T44" s="260">
        <v>0</v>
      </c>
      <c r="U44" s="260">
        <v>0</v>
      </c>
      <c r="V44" s="260">
        <v>0</v>
      </c>
      <c r="W44" s="260">
        <v>0</v>
      </c>
      <c r="X44" s="260">
        <v>0</v>
      </c>
      <c r="Y44" s="260">
        <v>0</v>
      </c>
      <c r="Z44" s="260">
        <v>0</v>
      </c>
      <c r="AA44" s="260">
        <v>0</v>
      </c>
      <c r="AB44" s="260">
        <v>0</v>
      </c>
      <c r="AC44" s="260">
        <v>0</v>
      </c>
      <c r="AD44" s="260">
        <v>4.5454545454545463E-2</v>
      </c>
      <c r="AE44" s="260">
        <v>0.05</v>
      </c>
      <c r="AF44" s="260">
        <v>0</v>
      </c>
      <c r="AG44" s="260">
        <v>0</v>
      </c>
      <c r="AH44" s="260">
        <v>3.2258064516129031E-2</v>
      </c>
    </row>
    <row r="45" spans="2:34">
      <c r="B45" s="427" t="s">
        <v>291</v>
      </c>
      <c r="C45" s="428">
        <v>1.5892420537897311E-2</v>
      </c>
      <c r="D45" s="263" t="s">
        <v>237</v>
      </c>
      <c r="E45" s="263" t="s">
        <v>237</v>
      </c>
      <c r="F45" s="263" t="s">
        <v>237</v>
      </c>
      <c r="G45" s="263">
        <v>0</v>
      </c>
      <c r="H45" s="263">
        <v>0</v>
      </c>
      <c r="I45" s="263">
        <v>0</v>
      </c>
      <c r="J45" s="263">
        <v>0</v>
      </c>
      <c r="K45" s="263">
        <v>0.1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6.25E-2</v>
      </c>
      <c r="T45" s="263">
        <v>6.6666666666666666E-2</v>
      </c>
      <c r="U45" s="263">
        <v>6.8965517241379309E-2</v>
      </c>
      <c r="V45" s="263">
        <v>6.8965517241379309E-2</v>
      </c>
      <c r="W45" s="263">
        <v>0</v>
      </c>
      <c r="X45" s="263">
        <v>4.878048780487805E-2</v>
      </c>
      <c r="Y45" s="263">
        <v>0</v>
      </c>
      <c r="Z45" s="263">
        <v>0</v>
      </c>
      <c r="AA45" s="263">
        <v>0</v>
      </c>
      <c r="AB45" s="263">
        <v>0</v>
      </c>
      <c r="AC45" s="263">
        <v>0</v>
      </c>
      <c r="AD45" s="263">
        <v>0.04</v>
      </c>
      <c r="AE45" s="263">
        <v>0</v>
      </c>
      <c r="AF45" s="263">
        <v>0</v>
      </c>
      <c r="AG45" s="263">
        <v>0</v>
      </c>
      <c r="AH45" s="263">
        <v>0</v>
      </c>
    </row>
    <row r="46" spans="2:34">
      <c r="B46" s="429" t="s">
        <v>292</v>
      </c>
      <c r="C46" s="430">
        <v>9.947643979057591E-2</v>
      </c>
      <c r="D46" s="260">
        <v>0</v>
      </c>
      <c r="E46" s="260">
        <v>0</v>
      </c>
      <c r="F46" s="260">
        <v>0</v>
      </c>
      <c r="G46" s="260">
        <v>0</v>
      </c>
      <c r="H46" s="260">
        <v>8.3333333333333329E-2</v>
      </c>
      <c r="I46" s="260">
        <v>0</v>
      </c>
      <c r="J46" s="260">
        <v>0</v>
      </c>
      <c r="K46" s="260">
        <v>0.14285714285714279</v>
      </c>
      <c r="L46" s="260">
        <v>0.15384615384615391</v>
      </c>
      <c r="M46" s="260">
        <v>0</v>
      </c>
      <c r="N46" s="260">
        <v>0.22222222222222221</v>
      </c>
      <c r="O46" s="260">
        <v>0</v>
      </c>
      <c r="P46" s="260">
        <v>0</v>
      </c>
      <c r="Q46" s="260">
        <v>0</v>
      </c>
      <c r="R46" s="260">
        <v>0</v>
      </c>
      <c r="S46" s="260">
        <v>7.1428571428571425E-2</v>
      </c>
      <c r="T46" s="260">
        <v>0</v>
      </c>
      <c r="U46" s="260">
        <v>0</v>
      </c>
      <c r="V46" s="260">
        <v>0</v>
      </c>
      <c r="W46" s="260">
        <v>0</v>
      </c>
      <c r="X46" s="260">
        <v>0</v>
      </c>
      <c r="Y46" s="260">
        <v>0</v>
      </c>
      <c r="Z46" s="260">
        <v>0.05</v>
      </c>
      <c r="AA46" s="260">
        <v>0</v>
      </c>
      <c r="AB46" s="260">
        <v>0</v>
      </c>
      <c r="AC46" s="260">
        <v>0.3</v>
      </c>
      <c r="AD46" s="260">
        <v>0.73913043478260865</v>
      </c>
      <c r="AE46" s="260">
        <v>0.5</v>
      </c>
      <c r="AF46" s="260">
        <v>0</v>
      </c>
      <c r="AG46" s="260">
        <v>0</v>
      </c>
      <c r="AH46" s="260">
        <v>0</v>
      </c>
    </row>
    <row r="47" spans="2:34">
      <c r="B47" s="427" t="s">
        <v>293</v>
      </c>
      <c r="C47" s="428">
        <v>5.3254437869822487E-2</v>
      </c>
      <c r="D47" s="263">
        <v>0</v>
      </c>
      <c r="E47" s="263" t="s">
        <v>237</v>
      </c>
      <c r="F47" s="263" t="s">
        <v>237</v>
      </c>
      <c r="G47" s="263">
        <v>0</v>
      </c>
      <c r="H47" s="263">
        <v>0</v>
      </c>
      <c r="I47" s="263">
        <v>0</v>
      </c>
      <c r="J47" s="263">
        <v>0</v>
      </c>
      <c r="K47" s="263">
        <v>0</v>
      </c>
      <c r="L47" s="263">
        <v>0</v>
      </c>
      <c r="M47" s="263">
        <v>0</v>
      </c>
      <c r="N47" s="263">
        <v>0</v>
      </c>
      <c r="O47" s="263">
        <v>0</v>
      </c>
      <c r="P47" s="263">
        <v>0</v>
      </c>
      <c r="Q47" s="263">
        <v>0</v>
      </c>
      <c r="R47" s="263">
        <v>0</v>
      </c>
      <c r="S47" s="263">
        <v>0</v>
      </c>
      <c r="T47" s="263">
        <v>0</v>
      </c>
      <c r="U47" s="263">
        <v>0</v>
      </c>
      <c r="V47" s="263">
        <v>0</v>
      </c>
      <c r="W47" s="263">
        <v>0</v>
      </c>
      <c r="X47" s="263">
        <v>6.25E-2</v>
      </c>
      <c r="Y47" s="263">
        <v>0</v>
      </c>
      <c r="Z47" s="263">
        <v>0</v>
      </c>
      <c r="AA47" s="263">
        <v>0</v>
      </c>
      <c r="AB47" s="263">
        <v>0</v>
      </c>
      <c r="AC47" s="263">
        <v>0</v>
      </c>
      <c r="AD47" s="263">
        <v>0</v>
      </c>
      <c r="AE47" s="263">
        <v>8.3333333333333329E-2</v>
      </c>
      <c r="AF47" s="263">
        <v>0.55555555555555558</v>
      </c>
      <c r="AG47" s="263">
        <v>0</v>
      </c>
      <c r="AH47" s="263">
        <v>0</v>
      </c>
    </row>
    <row r="48" spans="2:34">
      <c r="B48" s="429" t="s">
        <v>294</v>
      </c>
      <c r="C48" s="430">
        <v>5.2083333333333343E-2</v>
      </c>
      <c r="D48" s="260" t="s">
        <v>237</v>
      </c>
      <c r="E48" s="260" t="s">
        <v>237</v>
      </c>
      <c r="F48" s="260">
        <v>0</v>
      </c>
      <c r="G48" s="260">
        <v>0.25</v>
      </c>
      <c r="H48" s="260">
        <v>0</v>
      </c>
      <c r="I48" s="260">
        <v>0</v>
      </c>
      <c r="J48" s="260">
        <v>0</v>
      </c>
      <c r="K48" s="260">
        <v>0</v>
      </c>
      <c r="L48" s="260">
        <v>0.125</v>
      </c>
      <c r="M48" s="260">
        <v>0.125</v>
      </c>
      <c r="N48" s="260">
        <v>0</v>
      </c>
      <c r="O48" s="260">
        <v>0</v>
      </c>
      <c r="P48" s="260">
        <v>0</v>
      </c>
      <c r="Q48" s="260">
        <v>0</v>
      </c>
      <c r="R48" s="260">
        <v>0</v>
      </c>
      <c r="S48" s="260">
        <v>0</v>
      </c>
      <c r="T48" s="260">
        <v>0</v>
      </c>
      <c r="U48" s="260">
        <v>0</v>
      </c>
      <c r="V48" s="260">
        <v>0</v>
      </c>
      <c r="W48" s="260">
        <v>0</v>
      </c>
      <c r="X48" s="260">
        <v>0</v>
      </c>
      <c r="Y48" s="260">
        <v>0</v>
      </c>
      <c r="Z48" s="260">
        <v>0</v>
      </c>
      <c r="AA48" s="260">
        <v>0</v>
      </c>
      <c r="AB48" s="260" t="s">
        <v>237</v>
      </c>
      <c r="AC48" s="260" t="s">
        <v>237</v>
      </c>
      <c r="AD48" s="260">
        <v>0</v>
      </c>
      <c r="AE48" s="260">
        <v>0</v>
      </c>
      <c r="AF48" s="260">
        <v>0.33333333333333331</v>
      </c>
      <c r="AG48" s="260">
        <v>0</v>
      </c>
      <c r="AH48" s="260">
        <v>0.14285714285714279</v>
      </c>
    </row>
    <row r="49" spans="2:34">
      <c r="B49" s="427" t="s">
        <v>295</v>
      </c>
      <c r="C49" s="428">
        <v>2.0522388059701489E-2</v>
      </c>
      <c r="D49" s="263">
        <v>8.3333333333333329E-2</v>
      </c>
      <c r="E49" s="263">
        <v>0</v>
      </c>
      <c r="F49" s="263">
        <v>0</v>
      </c>
      <c r="G49" s="263">
        <v>0</v>
      </c>
      <c r="H49" s="263">
        <v>0</v>
      </c>
      <c r="I49" s="263">
        <v>0</v>
      </c>
      <c r="J49" s="263">
        <v>0</v>
      </c>
      <c r="K49" s="263">
        <v>0</v>
      </c>
      <c r="L49" s="263">
        <v>0</v>
      </c>
      <c r="M49" s="263">
        <v>0</v>
      </c>
      <c r="N49" s="263">
        <v>0</v>
      </c>
      <c r="O49" s="263">
        <v>8.3333333333333329E-2</v>
      </c>
      <c r="P49" s="263">
        <v>0</v>
      </c>
      <c r="Q49" s="263">
        <v>0</v>
      </c>
      <c r="R49" s="263">
        <v>0</v>
      </c>
      <c r="S49" s="263">
        <v>0</v>
      </c>
      <c r="T49" s="263">
        <v>8.3333333333333329E-2</v>
      </c>
      <c r="U49" s="263">
        <v>0</v>
      </c>
      <c r="V49" s="263">
        <v>0.25</v>
      </c>
      <c r="W49" s="263">
        <v>0</v>
      </c>
      <c r="X49" s="263">
        <v>0</v>
      </c>
      <c r="Y49" s="263">
        <v>0</v>
      </c>
      <c r="Z49" s="263">
        <v>8.6956521739130432E-2</v>
      </c>
      <c r="AA49" s="263">
        <v>0</v>
      </c>
      <c r="AB49" s="263">
        <v>0</v>
      </c>
      <c r="AC49" s="263">
        <v>0</v>
      </c>
      <c r="AD49" s="263">
        <v>4.6511627906976737E-2</v>
      </c>
      <c r="AE49" s="263">
        <v>0</v>
      </c>
      <c r="AF49" s="263">
        <v>0</v>
      </c>
      <c r="AG49" s="263">
        <v>5.128205128205128E-2</v>
      </c>
      <c r="AH49" s="263">
        <v>0</v>
      </c>
    </row>
    <row r="50" spans="2:34">
      <c r="B50" s="429" t="s">
        <v>296</v>
      </c>
      <c r="C50" s="430">
        <v>1.3333333333333331E-2</v>
      </c>
      <c r="D50" s="260" t="s">
        <v>237</v>
      </c>
      <c r="E50" s="260" t="s">
        <v>237</v>
      </c>
      <c r="F50" s="260">
        <v>0</v>
      </c>
      <c r="G50" s="260">
        <v>0</v>
      </c>
      <c r="H50" s="260">
        <v>0</v>
      </c>
      <c r="I50" s="260">
        <v>0.16666666666666671</v>
      </c>
      <c r="J50" s="260">
        <v>0</v>
      </c>
      <c r="K50" s="260">
        <v>0</v>
      </c>
      <c r="L50" s="260">
        <v>0</v>
      </c>
      <c r="M50" s="260">
        <v>0</v>
      </c>
      <c r="N50" s="260">
        <v>0</v>
      </c>
      <c r="O50" s="260">
        <v>0</v>
      </c>
      <c r="P50" s="260">
        <v>0</v>
      </c>
      <c r="Q50" s="260">
        <v>0</v>
      </c>
      <c r="R50" s="260">
        <v>0</v>
      </c>
      <c r="S50" s="260">
        <v>0</v>
      </c>
      <c r="T50" s="260">
        <v>4.5454545454545463E-2</v>
      </c>
      <c r="U50" s="260">
        <v>4.3478260869565223E-2</v>
      </c>
      <c r="V50" s="260">
        <v>0</v>
      </c>
      <c r="W50" s="260">
        <v>0</v>
      </c>
      <c r="X50" s="260">
        <v>3.125E-2</v>
      </c>
      <c r="Y50" s="260">
        <v>6.0606060606060608E-2</v>
      </c>
      <c r="Z50" s="260">
        <v>3.4482758620689648E-2</v>
      </c>
      <c r="AA50" s="260">
        <v>0</v>
      </c>
      <c r="AB50" s="260">
        <v>0</v>
      </c>
      <c r="AC50" s="260">
        <v>0</v>
      </c>
      <c r="AD50" s="260">
        <v>0</v>
      </c>
      <c r="AE50" s="260">
        <v>0</v>
      </c>
      <c r="AF50" s="260">
        <v>0</v>
      </c>
      <c r="AG50" s="260">
        <v>0</v>
      </c>
      <c r="AH50" s="260">
        <v>0</v>
      </c>
    </row>
    <row r="51" spans="2:34">
      <c r="B51" s="427" t="s">
        <v>297</v>
      </c>
      <c r="C51" s="428">
        <v>2.3346303501945529E-2</v>
      </c>
      <c r="D51" s="263" t="s">
        <v>237</v>
      </c>
      <c r="E51" s="263" t="s">
        <v>237</v>
      </c>
      <c r="F51" s="263" t="s">
        <v>237</v>
      </c>
      <c r="G51" s="263" t="s">
        <v>237</v>
      </c>
      <c r="H51" s="263" t="s">
        <v>237</v>
      </c>
      <c r="I51" s="263" t="s">
        <v>237</v>
      </c>
      <c r="J51" s="263" t="s">
        <v>237</v>
      </c>
      <c r="K51" s="263" t="s">
        <v>237</v>
      </c>
      <c r="L51" s="263" t="s">
        <v>237</v>
      </c>
      <c r="M51" s="263">
        <v>0</v>
      </c>
      <c r="N51" s="263">
        <v>0</v>
      </c>
      <c r="O51" s="263">
        <v>0</v>
      </c>
      <c r="P51" s="263">
        <v>0.25</v>
      </c>
      <c r="Q51" s="263">
        <v>0</v>
      </c>
      <c r="R51" s="263">
        <v>0</v>
      </c>
      <c r="S51" s="263">
        <v>0</v>
      </c>
      <c r="T51" s="263">
        <v>7.6923076923076927E-2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Z51" s="263">
        <v>4.5454545454545463E-2</v>
      </c>
      <c r="AA51" s="263">
        <v>0</v>
      </c>
      <c r="AB51" s="263">
        <v>0.10526315789473679</v>
      </c>
      <c r="AC51" s="263">
        <v>0</v>
      </c>
      <c r="AD51" s="263">
        <v>0</v>
      </c>
      <c r="AE51" s="263">
        <v>5.5555555555555552E-2</v>
      </c>
      <c r="AF51" s="263">
        <v>0</v>
      </c>
      <c r="AG51" s="263">
        <v>0</v>
      </c>
      <c r="AH51" s="263">
        <v>0</v>
      </c>
    </row>
    <row r="52" spans="2:34">
      <c r="B52" s="429" t="s">
        <v>298</v>
      </c>
      <c r="C52" s="430">
        <v>6.6666666666666666E-2</v>
      </c>
      <c r="D52" s="260">
        <v>0</v>
      </c>
      <c r="E52" s="260">
        <v>0</v>
      </c>
      <c r="F52" s="260">
        <v>0</v>
      </c>
      <c r="G52" s="260">
        <v>0</v>
      </c>
      <c r="H52" s="260">
        <v>0</v>
      </c>
      <c r="I52" s="260">
        <v>0</v>
      </c>
      <c r="J52" s="260">
        <v>0</v>
      </c>
      <c r="K52" s="260">
        <v>0</v>
      </c>
      <c r="L52" s="260">
        <v>0.1</v>
      </c>
      <c r="M52" s="260">
        <v>0</v>
      </c>
      <c r="N52" s="260">
        <v>0</v>
      </c>
      <c r="O52" s="260">
        <v>0.44444444444444442</v>
      </c>
      <c r="P52" s="260">
        <v>0.14285714285714279</v>
      </c>
      <c r="Q52" s="260">
        <v>0</v>
      </c>
      <c r="R52" s="260">
        <v>0</v>
      </c>
      <c r="S52" s="260">
        <v>0</v>
      </c>
      <c r="T52" s="260">
        <v>0.1111111111111111</v>
      </c>
      <c r="U52" s="260">
        <v>0</v>
      </c>
      <c r="V52" s="260">
        <v>0.22222222222222221</v>
      </c>
      <c r="W52" s="260">
        <v>0</v>
      </c>
      <c r="X52" s="260">
        <v>0</v>
      </c>
      <c r="Y52" s="260">
        <v>0</v>
      </c>
      <c r="Z52" s="260">
        <v>0.75</v>
      </c>
      <c r="AA52" s="260">
        <v>0</v>
      </c>
      <c r="AB52" s="260">
        <v>0.33333333333333331</v>
      </c>
      <c r="AC52" s="260">
        <v>0</v>
      </c>
      <c r="AD52" s="260">
        <v>0</v>
      </c>
      <c r="AE52" s="260">
        <v>0.33333333333333331</v>
      </c>
      <c r="AF52" s="260">
        <v>0</v>
      </c>
      <c r="AG52" s="260">
        <v>0</v>
      </c>
      <c r="AH52" s="260">
        <v>0</v>
      </c>
    </row>
    <row r="53" spans="2:34">
      <c r="B53" s="427" t="s">
        <v>299</v>
      </c>
      <c r="C53" s="428">
        <v>1.26984126984127E-2</v>
      </c>
      <c r="D53" s="263" t="s">
        <v>237</v>
      </c>
      <c r="E53" s="263" t="s">
        <v>237</v>
      </c>
      <c r="F53" s="263">
        <v>0</v>
      </c>
      <c r="G53" s="263">
        <v>0</v>
      </c>
      <c r="H53" s="263">
        <v>0</v>
      </c>
      <c r="I53" s="263">
        <v>0</v>
      </c>
      <c r="J53" s="263">
        <v>0.16666666666666671</v>
      </c>
      <c r="K53" s="263">
        <v>0</v>
      </c>
      <c r="L53" s="263">
        <v>0.125</v>
      </c>
      <c r="M53" s="263">
        <v>0</v>
      </c>
      <c r="N53" s="263">
        <v>0</v>
      </c>
      <c r="O53" s="263">
        <v>0</v>
      </c>
      <c r="P53" s="263">
        <v>0</v>
      </c>
      <c r="Q53" s="263">
        <v>0</v>
      </c>
      <c r="R53" s="263">
        <v>0</v>
      </c>
      <c r="S53" s="263">
        <v>0</v>
      </c>
      <c r="T53" s="263">
        <v>0.25</v>
      </c>
      <c r="U53" s="263">
        <v>0</v>
      </c>
      <c r="V53" s="263">
        <v>0</v>
      </c>
      <c r="W53" s="263">
        <v>0</v>
      </c>
      <c r="X53" s="263">
        <v>0</v>
      </c>
      <c r="Y53" s="263">
        <v>0</v>
      </c>
      <c r="Z53" s="263">
        <v>0</v>
      </c>
      <c r="AA53" s="263">
        <v>0</v>
      </c>
      <c r="AB53" s="263">
        <v>0</v>
      </c>
      <c r="AC53" s="263">
        <v>0</v>
      </c>
      <c r="AD53" s="263">
        <v>0</v>
      </c>
      <c r="AE53" s="263">
        <v>0</v>
      </c>
      <c r="AF53" s="263">
        <v>0</v>
      </c>
      <c r="AG53" s="263">
        <v>0</v>
      </c>
      <c r="AH53" s="263">
        <v>0</v>
      </c>
    </row>
    <row r="54" spans="2:34">
      <c r="B54" s="429" t="s">
        <v>300</v>
      </c>
      <c r="C54" s="430">
        <v>0.12968299711815559</v>
      </c>
      <c r="D54" s="260">
        <v>0</v>
      </c>
      <c r="E54" s="260">
        <v>0</v>
      </c>
      <c r="F54" s="260">
        <v>0</v>
      </c>
      <c r="G54" s="260">
        <v>9.0909090909090912E-2</v>
      </c>
      <c r="H54" s="260">
        <v>0.16666666666666671</v>
      </c>
      <c r="I54" s="260">
        <v>0.1818181818181818</v>
      </c>
      <c r="J54" s="260">
        <v>0</v>
      </c>
      <c r="K54" s="260">
        <v>9.0909090909090912E-2</v>
      </c>
      <c r="L54" s="260">
        <v>0.1333333333333333</v>
      </c>
      <c r="M54" s="260">
        <v>0.35714285714285721</v>
      </c>
      <c r="N54" s="260">
        <v>0.25</v>
      </c>
      <c r="O54" s="260">
        <v>0.1818181818181818</v>
      </c>
      <c r="P54" s="260">
        <v>0.125</v>
      </c>
      <c r="Q54" s="260">
        <v>0</v>
      </c>
      <c r="R54" s="260">
        <v>0</v>
      </c>
      <c r="S54" s="260">
        <v>0</v>
      </c>
      <c r="T54" s="260">
        <v>0.1</v>
      </c>
      <c r="U54" s="260">
        <v>0.25</v>
      </c>
      <c r="V54" s="260">
        <v>0</v>
      </c>
      <c r="W54" s="260">
        <v>0</v>
      </c>
      <c r="X54" s="260">
        <v>0.14285714285714279</v>
      </c>
      <c r="Y54" s="260">
        <v>0.1</v>
      </c>
      <c r="Z54" s="260">
        <v>6.25E-2</v>
      </c>
      <c r="AA54" s="260">
        <v>7.1428571428571425E-2</v>
      </c>
      <c r="AB54" s="260">
        <v>0.16666666666666671</v>
      </c>
      <c r="AC54" s="260">
        <v>0.16666666666666671</v>
      </c>
      <c r="AD54" s="260">
        <v>6.6666666666666666E-2</v>
      </c>
      <c r="AE54" s="260">
        <v>6.6666666666666666E-2</v>
      </c>
      <c r="AF54" s="260">
        <v>0.1764705882352941</v>
      </c>
      <c r="AG54" s="260">
        <v>0.1875</v>
      </c>
      <c r="AH54" s="260">
        <v>0.35714285714285721</v>
      </c>
    </row>
    <row r="55" spans="2:34" ht="15" thickBot="1"/>
    <row r="56" spans="2:34" ht="43.8" thickBot="1">
      <c r="B56" s="127" t="str">
        <f t="shared" ref="B56:AH56" si="0">B4</f>
        <v>ISO country code</v>
      </c>
      <c r="C56" s="136" t="str">
        <f t="shared" si="0"/>
        <v>Average default rate</v>
      </c>
      <c r="D56" s="421">
        <f t="shared" si="0"/>
        <v>1994</v>
      </c>
      <c r="E56" s="422">
        <f t="shared" si="0"/>
        <v>1995</v>
      </c>
      <c r="F56" s="422">
        <f t="shared" si="0"/>
        <v>1996</v>
      </c>
      <c r="G56" s="422">
        <f t="shared" si="0"/>
        <v>1997</v>
      </c>
      <c r="H56" s="422">
        <f t="shared" si="0"/>
        <v>1998</v>
      </c>
      <c r="I56" s="422">
        <f t="shared" si="0"/>
        <v>1999</v>
      </c>
      <c r="J56" s="422">
        <f t="shared" si="0"/>
        <v>2000</v>
      </c>
      <c r="K56" s="422">
        <f t="shared" si="0"/>
        <v>2001</v>
      </c>
      <c r="L56" s="422">
        <f t="shared" si="0"/>
        <v>2002</v>
      </c>
      <c r="M56" s="422">
        <f t="shared" si="0"/>
        <v>2003</v>
      </c>
      <c r="N56" s="422">
        <f t="shared" si="0"/>
        <v>2004</v>
      </c>
      <c r="O56" s="422">
        <f t="shared" si="0"/>
        <v>2005</v>
      </c>
      <c r="P56" s="422">
        <f t="shared" si="0"/>
        <v>2006</v>
      </c>
      <c r="Q56" s="422">
        <f t="shared" si="0"/>
        <v>2007</v>
      </c>
      <c r="R56" s="422">
        <f t="shared" si="0"/>
        <v>2008</v>
      </c>
      <c r="S56" s="422">
        <f t="shared" si="0"/>
        <v>2009</v>
      </c>
      <c r="T56" s="422">
        <f t="shared" si="0"/>
        <v>2010</v>
      </c>
      <c r="U56" s="422">
        <f t="shared" si="0"/>
        <v>2011</v>
      </c>
      <c r="V56" s="422">
        <f t="shared" si="0"/>
        <v>2012</v>
      </c>
      <c r="W56" s="422">
        <f t="shared" si="0"/>
        <v>2013</v>
      </c>
      <c r="X56" s="422">
        <f t="shared" si="0"/>
        <v>2014</v>
      </c>
      <c r="Y56" s="422">
        <f t="shared" si="0"/>
        <v>2015</v>
      </c>
      <c r="Z56" s="422">
        <f t="shared" si="0"/>
        <v>2016</v>
      </c>
      <c r="AA56" s="422">
        <f t="shared" si="0"/>
        <v>2017</v>
      </c>
      <c r="AB56" s="422">
        <f t="shared" si="0"/>
        <v>2018</v>
      </c>
      <c r="AC56" s="422">
        <f t="shared" si="0"/>
        <v>2019</v>
      </c>
      <c r="AD56" s="422">
        <f t="shared" si="0"/>
        <v>2020</v>
      </c>
      <c r="AE56" s="422">
        <f t="shared" si="0"/>
        <v>2021</v>
      </c>
      <c r="AF56" s="422">
        <f t="shared" si="0"/>
        <v>2022</v>
      </c>
      <c r="AG56" s="422">
        <f t="shared" si="0"/>
        <v>2023</v>
      </c>
      <c r="AH56" s="423">
        <f t="shared" si="0"/>
        <v>2024</v>
      </c>
    </row>
    <row r="57" spans="2:34">
      <c r="B57" s="87" t="s">
        <v>301</v>
      </c>
      <c r="C57" s="253">
        <v>0.1526315789473684</v>
      </c>
      <c r="D57" s="262" t="s">
        <v>237</v>
      </c>
      <c r="E57" s="263" t="s">
        <v>237</v>
      </c>
      <c r="F57" s="263" t="s">
        <v>237</v>
      </c>
      <c r="G57" s="263" t="s">
        <v>237</v>
      </c>
      <c r="H57" s="263" t="s">
        <v>237</v>
      </c>
      <c r="I57" s="263" t="s">
        <v>237</v>
      </c>
      <c r="J57" s="263" t="s">
        <v>237</v>
      </c>
      <c r="K57" s="263" t="s">
        <v>237</v>
      </c>
      <c r="L57" s="263" t="s">
        <v>237</v>
      </c>
      <c r="M57" s="263" t="s">
        <v>237</v>
      </c>
      <c r="N57" s="263" t="s">
        <v>237</v>
      </c>
      <c r="O57" s="263" t="s">
        <v>237</v>
      </c>
      <c r="P57" s="263" t="s">
        <v>237</v>
      </c>
      <c r="Q57" s="263" t="s">
        <v>237</v>
      </c>
      <c r="R57" s="263" t="s">
        <v>237</v>
      </c>
      <c r="S57" s="263" t="s">
        <v>237</v>
      </c>
      <c r="T57" s="263" t="s">
        <v>237</v>
      </c>
      <c r="U57" s="263" t="s">
        <v>237</v>
      </c>
      <c r="V57" s="263" t="s">
        <v>237</v>
      </c>
      <c r="W57" s="263" t="s">
        <v>237</v>
      </c>
      <c r="X57" s="263">
        <v>0</v>
      </c>
      <c r="Y57" s="263">
        <v>0</v>
      </c>
      <c r="Z57" s="263">
        <v>0</v>
      </c>
      <c r="AA57" s="263">
        <v>0</v>
      </c>
      <c r="AB57" s="263">
        <v>0</v>
      </c>
      <c r="AC57" s="263">
        <v>2.777777777777778E-2</v>
      </c>
      <c r="AD57" s="263">
        <v>5.7142857142857141E-2</v>
      </c>
      <c r="AE57" s="263">
        <v>0.51515151515151514</v>
      </c>
      <c r="AF57" s="263">
        <v>0.375</v>
      </c>
      <c r="AG57" s="263">
        <v>0.375</v>
      </c>
      <c r="AH57" s="264">
        <v>0</v>
      </c>
    </row>
    <row r="58" spans="2:34">
      <c r="B58" s="196" t="s">
        <v>302</v>
      </c>
      <c r="C58" s="252">
        <v>3.3783783783783793E-2</v>
      </c>
      <c r="D58" s="259" t="s">
        <v>237</v>
      </c>
      <c r="E58" s="260" t="s">
        <v>237</v>
      </c>
      <c r="F58" s="260" t="s">
        <v>237</v>
      </c>
      <c r="G58" s="260" t="s">
        <v>237</v>
      </c>
      <c r="H58" s="260" t="s">
        <v>237</v>
      </c>
      <c r="I58" s="260" t="s">
        <v>237</v>
      </c>
      <c r="J58" s="260" t="s">
        <v>237</v>
      </c>
      <c r="K58" s="260" t="s">
        <v>237</v>
      </c>
      <c r="L58" s="260" t="s">
        <v>237</v>
      </c>
      <c r="M58" s="260">
        <v>0</v>
      </c>
      <c r="N58" s="260">
        <v>0</v>
      </c>
      <c r="O58" s="260">
        <v>0</v>
      </c>
      <c r="P58" s="260">
        <v>0</v>
      </c>
      <c r="Q58" s="260">
        <v>0</v>
      </c>
      <c r="R58" s="260">
        <v>0</v>
      </c>
      <c r="S58" s="260">
        <v>0</v>
      </c>
      <c r="T58" s="260">
        <v>0</v>
      </c>
      <c r="U58" s="260">
        <v>0</v>
      </c>
      <c r="V58" s="260">
        <v>0</v>
      </c>
      <c r="W58" s="260">
        <v>2.9411764705882349E-2</v>
      </c>
      <c r="X58" s="260">
        <v>7.3170731707317069E-2</v>
      </c>
      <c r="Y58" s="260">
        <v>4.878048780487805E-2</v>
      </c>
      <c r="Z58" s="260">
        <v>7.1428571428571425E-2</v>
      </c>
      <c r="AA58" s="260">
        <v>0</v>
      </c>
      <c r="AB58" s="260">
        <v>6.8181818181818177E-2</v>
      </c>
      <c r="AC58" s="260">
        <v>0</v>
      </c>
      <c r="AD58" s="260">
        <v>0.1111111111111111</v>
      </c>
      <c r="AE58" s="260">
        <v>2.4390243902439029E-2</v>
      </c>
      <c r="AF58" s="260">
        <v>0</v>
      </c>
      <c r="AG58" s="260">
        <v>4.7619047619047623E-2</v>
      </c>
      <c r="AH58" s="261">
        <v>0</v>
      </c>
    </row>
    <row r="59" spans="2:34">
      <c r="B59" s="87" t="s">
        <v>303</v>
      </c>
      <c r="C59" s="253">
        <v>8.5271317829457363E-2</v>
      </c>
      <c r="D59" s="262" t="s">
        <v>237</v>
      </c>
      <c r="E59" s="263" t="s">
        <v>237</v>
      </c>
      <c r="F59" s="263" t="s">
        <v>237</v>
      </c>
      <c r="G59" s="263" t="s">
        <v>237</v>
      </c>
      <c r="H59" s="263">
        <v>0</v>
      </c>
      <c r="I59" s="263">
        <v>0.25</v>
      </c>
      <c r="J59" s="263">
        <v>0</v>
      </c>
      <c r="K59" s="263">
        <v>0</v>
      </c>
      <c r="L59" s="263">
        <v>0.2</v>
      </c>
      <c r="M59" s="263">
        <v>0</v>
      </c>
      <c r="N59" s="263">
        <v>0</v>
      </c>
      <c r="O59" s="263">
        <v>0.2857142857142857</v>
      </c>
      <c r="P59" s="263">
        <v>0.1111111111111111</v>
      </c>
      <c r="Q59" s="263">
        <v>0.1111111111111111</v>
      </c>
      <c r="R59" s="263">
        <v>0</v>
      </c>
      <c r="S59" s="263">
        <v>0.42857142857142849</v>
      </c>
      <c r="T59" s="263">
        <v>0</v>
      </c>
      <c r="U59" s="263">
        <v>0</v>
      </c>
      <c r="V59" s="263">
        <v>0.4</v>
      </c>
      <c r="W59" s="263">
        <v>0</v>
      </c>
      <c r="X59" s="263">
        <v>0</v>
      </c>
      <c r="Y59" s="263">
        <v>0</v>
      </c>
      <c r="Z59" s="263">
        <v>0</v>
      </c>
      <c r="AA59" s="263">
        <v>0</v>
      </c>
      <c r="AB59" s="263">
        <v>0</v>
      </c>
      <c r="AC59" s="263">
        <v>0</v>
      </c>
      <c r="AD59" s="263">
        <v>0</v>
      </c>
      <c r="AE59" s="263">
        <v>0</v>
      </c>
      <c r="AF59" s="263">
        <v>0</v>
      </c>
      <c r="AG59" s="263">
        <v>0</v>
      </c>
      <c r="AH59" s="264">
        <v>0</v>
      </c>
    </row>
    <row r="60" spans="2:34">
      <c r="B60" s="196" t="s">
        <v>304</v>
      </c>
      <c r="C60" s="252">
        <v>2.479338842975207E-2</v>
      </c>
      <c r="D60" s="259">
        <v>0</v>
      </c>
      <c r="E60" s="260">
        <v>0</v>
      </c>
      <c r="F60" s="260">
        <v>0</v>
      </c>
      <c r="G60" s="260">
        <v>0</v>
      </c>
      <c r="H60" s="260">
        <v>0</v>
      </c>
      <c r="I60" s="260">
        <v>0</v>
      </c>
      <c r="J60" s="260">
        <v>0</v>
      </c>
      <c r="K60" s="260">
        <v>0</v>
      </c>
      <c r="L60" s="260">
        <v>0</v>
      </c>
      <c r="M60" s="260">
        <v>0</v>
      </c>
      <c r="N60" s="260">
        <v>0</v>
      </c>
      <c r="O60" s="260">
        <v>0</v>
      </c>
      <c r="P60" s="260">
        <v>0</v>
      </c>
      <c r="Q60" s="260">
        <v>0</v>
      </c>
      <c r="R60" s="260">
        <v>0</v>
      </c>
      <c r="S60" s="260">
        <v>0</v>
      </c>
      <c r="T60" s="260">
        <v>0</v>
      </c>
      <c r="U60" s="260">
        <v>0</v>
      </c>
      <c r="V60" s="260">
        <v>0</v>
      </c>
      <c r="W60" s="260">
        <v>7.6923076923076927E-2</v>
      </c>
      <c r="X60" s="260">
        <v>7.6923076923076927E-2</v>
      </c>
      <c r="Y60" s="260">
        <v>0</v>
      </c>
      <c r="Z60" s="260">
        <v>0.1111111111111111</v>
      </c>
      <c r="AA60" s="260">
        <v>0</v>
      </c>
      <c r="AB60" s="260">
        <v>0.2857142857142857</v>
      </c>
      <c r="AC60" s="260">
        <v>0</v>
      </c>
      <c r="AD60" s="260">
        <v>0</v>
      </c>
      <c r="AE60" s="260">
        <v>0</v>
      </c>
      <c r="AF60" s="260">
        <v>0</v>
      </c>
      <c r="AG60" s="260">
        <v>0</v>
      </c>
      <c r="AH60" s="261">
        <v>0.1111111111111111</v>
      </c>
    </row>
    <row r="61" spans="2:34">
      <c r="B61" s="87" t="s">
        <v>305</v>
      </c>
      <c r="C61" s="253">
        <v>4.2181818181818181E-2</v>
      </c>
      <c r="D61" s="262">
        <v>0</v>
      </c>
      <c r="E61" s="263">
        <v>0</v>
      </c>
      <c r="F61" s="263">
        <v>0</v>
      </c>
      <c r="G61" s="263">
        <v>0</v>
      </c>
      <c r="H61" s="263">
        <v>0</v>
      </c>
      <c r="I61" s="263">
        <v>0</v>
      </c>
      <c r="J61" s="263">
        <v>0</v>
      </c>
      <c r="K61" s="263">
        <v>3.03030303030303E-2</v>
      </c>
      <c r="L61" s="263">
        <v>9.375E-2</v>
      </c>
      <c r="M61" s="263">
        <v>3.2258064516129031E-2</v>
      </c>
      <c r="N61" s="263">
        <v>9.0909090909090912E-2</v>
      </c>
      <c r="O61" s="263">
        <v>3.3333333333333333E-2</v>
      </c>
      <c r="P61" s="263">
        <v>0</v>
      </c>
      <c r="Q61" s="263">
        <v>6.25E-2</v>
      </c>
      <c r="R61" s="263">
        <v>0</v>
      </c>
      <c r="S61" s="263">
        <v>0.19230769230769229</v>
      </c>
      <c r="T61" s="263">
        <v>0.1</v>
      </c>
      <c r="U61" s="263">
        <v>0</v>
      </c>
      <c r="V61" s="263">
        <v>4.7619047619047623E-2</v>
      </c>
      <c r="W61" s="263">
        <v>0.13793103448275859</v>
      </c>
      <c r="X61" s="263">
        <v>3.7037037037037028E-2</v>
      </c>
      <c r="Y61" s="263">
        <v>1.6949152542372881E-2</v>
      </c>
      <c r="Z61" s="263">
        <v>4.2253521126760563E-2</v>
      </c>
      <c r="AA61" s="263">
        <v>5.6338028169014093E-2</v>
      </c>
      <c r="AB61" s="263">
        <v>1.492537313432836E-2</v>
      </c>
      <c r="AC61" s="263">
        <v>5.0632911392405063E-2</v>
      </c>
      <c r="AD61" s="263">
        <v>8.3333333333333329E-2</v>
      </c>
      <c r="AE61" s="263">
        <v>6.6666666666666666E-2</v>
      </c>
      <c r="AF61" s="263">
        <v>3.5714285714285712E-2</v>
      </c>
      <c r="AG61" s="263">
        <v>2.3809523809523812E-2</v>
      </c>
      <c r="AH61" s="264">
        <v>3.4482758620689648E-2</v>
      </c>
    </row>
    <row r="62" spans="2:34">
      <c r="B62" s="196" t="s">
        <v>306</v>
      </c>
      <c r="C62" s="252">
        <v>7.2916666666666671E-2</v>
      </c>
      <c r="D62" s="259">
        <v>0</v>
      </c>
      <c r="E62" s="260">
        <v>0</v>
      </c>
      <c r="F62" s="260">
        <v>0</v>
      </c>
      <c r="G62" s="260">
        <v>0.33333333333333331</v>
      </c>
      <c r="H62" s="260">
        <v>0</v>
      </c>
      <c r="I62" s="260">
        <v>0</v>
      </c>
      <c r="J62" s="260">
        <v>0</v>
      </c>
      <c r="K62" s="260">
        <v>0.22222222222222221</v>
      </c>
      <c r="L62" s="260">
        <v>0.1111111111111111</v>
      </c>
      <c r="M62" s="260">
        <v>0</v>
      </c>
      <c r="N62" s="260">
        <v>0</v>
      </c>
      <c r="O62" s="260">
        <v>8.3333333333333329E-2</v>
      </c>
      <c r="P62" s="260">
        <v>0</v>
      </c>
      <c r="Q62" s="260">
        <v>8.3333333333333329E-2</v>
      </c>
      <c r="R62" s="260">
        <v>9.0909090909090912E-2</v>
      </c>
      <c r="S62" s="260">
        <v>7.6923076923076927E-2</v>
      </c>
      <c r="T62" s="260">
        <v>7.1428571428571425E-2</v>
      </c>
      <c r="U62" s="260">
        <v>0</v>
      </c>
      <c r="V62" s="260">
        <v>0</v>
      </c>
      <c r="W62" s="260">
        <v>0</v>
      </c>
      <c r="X62" s="260">
        <v>0.1818181818181818</v>
      </c>
      <c r="Y62" s="260">
        <v>0.1818181818181818</v>
      </c>
      <c r="Z62" s="260">
        <v>0.1</v>
      </c>
      <c r="AA62" s="260">
        <v>0.1111111111111111</v>
      </c>
      <c r="AB62" s="260">
        <v>9.0909090909090912E-2</v>
      </c>
      <c r="AC62" s="260">
        <v>0</v>
      </c>
      <c r="AD62" s="260">
        <v>0.1</v>
      </c>
      <c r="AE62" s="260">
        <v>0.22222222222222221</v>
      </c>
      <c r="AF62" s="260">
        <v>0</v>
      </c>
      <c r="AG62" s="260">
        <v>9.0909090909090912E-2</v>
      </c>
      <c r="AH62" s="261">
        <v>8.3333333333333329E-2</v>
      </c>
    </row>
    <row r="63" spans="2:34">
      <c r="B63" s="87" t="s">
        <v>307</v>
      </c>
      <c r="C63" s="253">
        <v>4.6485260770975062E-2</v>
      </c>
      <c r="D63" s="262">
        <v>0.25</v>
      </c>
      <c r="E63" s="263">
        <v>0</v>
      </c>
      <c r="F63" s="263">
        <v>0</v>
      </c>
      <c r="G63" s="263">
        <v>0</v>
      </c>
      <c r="H63" s="263">
        <v>0.33333333333333331</v>
      </c>
      <c r="I63" s="263">
        <v>0</v>
      </c>
      <c r="J63" s="263">
        <v>0</v>
      </c>
      <c r="K63" s="263">
        <v>0</v>
      </c>
      <c r="L63" s="263">
        <v>0</v>
      </c>
      <c r="M63" s="263">
        <v>0.1111111111111111</v>
      </c>
      <c r="N63" s="263">
        <v>0.2</v>
      </c>
      <c r="O63" s="263">
        <v>0</v>
      </c>
      <c r="P63" s="263">
        <v>0</v>
      </c>
      <c r="Q63" s="263">
        <v>8.6956521739130432E-2</v>
      </c>
      <c r="R63" s="263">
        <v>3.5714285714285712E-2</v>
      </c>
      <c r="S63" s="263">
        <v>7.6923076923076927E-2</v>
      </c>
      <c r="T63" s="263">
        <v>0</v>
      </c>
      <c r="U63" s="263">
        <v>3.2258064516129031E-2</v>
      </c>
      <c r="V63" s="263">
        <v>9.6774193548387094E-2</v>
      </c>
      <c r="W63" s="263">
        <v>0</v>
      </c>
      <c r="X63" s="263">
        <v>2.564102564102564E-2</v>
      </c>
      <c r="Y63" s="263">
        <v>5.3571428571428568E-2</v>
      </c>
      <c r="Z63" s="263">
        <v>6.5573770491803282E-2</v>
      </c>
      <c r="AA63" s="263">
        <v>9.5238095238095233E-2</v>
      </c>
      <c r="AB63" s="263">
        <v>0.05</v>
      </c>
      <c r="AC63" s="263">
        <v>1.5873015873015869E-2</v>
      </c>
      <c r="AD63" s="263">
        <v>1.785714285714286E-2</v>
      </c>
      <c r="AE63" s="263">
        <v>5.1724137931034482E-2</v>
      </c>
      <c r="AF63" s="263">
        <v>1.8518518518518521E-2</v>
      </c>
      <c r="AG63" s="263">
        <v>3.9215686274509803E-2</v>
      </c>
      <c r="AH63" s="264">
        <v>0.04</v>
      </c>
    </row>
    <row r="64" spans="2:34">
      <c r="B64" s="196" t="s">
        <v>308</v>
      </c>
      <c r="C64" s="252">
        <v>2.9465930018416211E-2</v>
      </c>
      <c r="D64" s="259" t="s">
        <v>237</v>
      </c>
      <c r="E64" s="260" t="s">
        <v>237</v>
      </c>
      <c r="F64" s="260" t="s">
        <v>237</v>
      </c>
      <c r="G64" s="260" t="s">
        <v>237</v>
      </c>
      <c r="H64" s="260" t="s">
        <v>237</v>
      </c>
      <c r="I64" s="260">
        <v>0</v>
      </c>
      <c r="J64" s="260">
        <v>0</v>
      </c>
      <c r="K64" s="260">
        <v>0</v>
      </c>
      <c r="L64" s="260">
        <v>0</v>
      </c>
      <c r="M64" s="260">
        <v>0.33333333333333331</v>
      </c>
      <c r="N64" s="260">
        <v>0</v>
      </c>
      <c r="O64" s="260">
        <v>0</v>
      </c>
      <c r="P64" s="260">
        <v>0</v>
      </c>
      <c r="Q64" s="260">
        <v>0</v>
      </c>
      <c r="R64" s="260">
        <v>0</v>
      </c>
      <c r="S64" s="260">
        <v>0.1818181818181818</v>
      </c>
      <c r="T64" s="260">
        <v>0.1111111111111111</v>
      </c>
      <c r="U64" s="260">
        <v>0</v>
      </c>
      <c r="V64" s="260">
        <v>0</v>
      </c>
      <c r="W64" s="260">
        <v>8.3333333333333329E-2</v>
      </c>
      <c r="X64" s="260">
        <v>8.3333333333333329E-2</v>
      </c>
      <c r="Y64" s="260">
        <v>0</v>
      </c>
      <c r="Z64" s="260">
        <v>0</v>
      </c>
      <c r="AA64" s="260">
        <v>0</v>
      </c>
      <c r="AB64" s="260">
        <v>6.25E-2</v>
      </c>
      <c r="AC64" s="260">
        <v>4.4444444444444453E-2</v>
      </c>
      <c r="AD64" s="260">
        <v>6.5217391304347824E-2</v>
      </c>
      <c r="AE64" s="260">
        <v>0</v>
      </c>
      <c r="AF64" s="260">
        <v>0</v>
      </c>
      <c r="AG64" s="260">
        <v>0.05</v>
      </c>
      <c r="AH64" s="261">
        <v>0</v>
      </c>
    </row>
    <row r="65" spans="2:34">
      <c r="B65" s="87" t="s">
        <v>309</v>
      </c>
      <c r="C65" s="253">
        <v>4.4776119402985072E-2</v>
      </c>
      <c r="D65" s="262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0.33333333333333331</v>
      </c>
      <c r="K65" s="263">
        <v>0.5</v>
      </c>
      <c r="L65" s="263">
        <v>0</v>
      </c>
      <c r="M65" s="263">
        <v>0</v>
      </c>
      <c r="N65" s="263">
        <v>0</v>
      </c>
      <c r="O65" s="263">
        <v>0</v>
      </c>
      <c r="P65" s="263">
        <v>0</v>
      </c>
      <c r="Q65" s="263">
        <v>0</v>
      </c>
      <c r="R65" s="263">
        <v>0</v>
      </c>
      <c r="S65" s="263">
        <v>0</v>
      </c>
      <c r="T65" s="263">
        <v>0</v>
      </c>
      <c r="U65" s="263">
        <v>0</v>
      </c>
      <c r="V65" s="263">
        <v>0</v>
      </c>
      <c r="W65" s="263">
        <v>0</v>
      </c>
      <c r="X65" s="263">
        <v>0</v>
      </c>
      <c r="Y65" s="263">
        <v>0</v>
      </c>
      <c r="Z65" s="263">
        <v>0</v>
      </c>
      <c r="AA65" s="263">
        <v>0</v>
      </c>
      <c r="AB65" s="263">
        <v>0</v>
      </c>
      <c r="AC65" s="263">
        <v>0</v>
      </c>
      <c r="AD65" s="263">
        <v>0.33333333333333331</v>
      </c>
      <c r="AE65" s="263">
        <v>0</v>
      </c>
      <c r="AF65" s="263">
        <v>0</v>
      </c>
      <c r="AG65" s="263">
        <v>0</v>
      </c>
      <c r="AH65" s="264">
        <v>0</v>
      </c>
    </row>
    <row r="66" spans="2:34">
      <c r="B66" s="196" t="s">
        <v>310</v>
      </c>
      <c r="C66" s="252">
        <v>2.7816411682892912E-2</v>
      </c>
      <c r="D66" s="259" t="s">
        <v>237</v>
      </c>
      <c r="E66" s="260" t="s">
        <v>237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0.5</v>
      </c>
      <c r="M66" s="260">
        <v>0</v>
      </c>
      <c r="N66" s="260" t="s">
        <v>237</v>
      </c>
      <c r="O66" s="260">
        <v>0</v>
      </c>
      <c r="P66" s="260">
        <v>0</v>
      </c>
      <c r="Q66" s="260">
        <v>0</v>
      </c>
      <c r="R66" s="260">
        <v>4.1666666666666657E-2</v>
      </c>
      <c r="S66" s="260">
        <v>3.2258064516129031E-2</v>
      </c>
      <c r="T66" s="260">
        <v>4.7619047619047623E-2</v>
      </c>
      <c r="U66" s="260">
        <v>9.4339622641509441E-2</v>
      </c>
      <c r="V66" s="260">
        <v>1.8181818181818181E-2</v>
      </c>
      <c r="W66" s="260">
        <v>5.9701492537313432E-2</v>
      </c>
      <c r="X66" s="260">
        <v>6.3291139240506333E-2</v>
      </c>
      <c r="Y66" s="260">
        <v>1.136363636363636E-2</v>
      </c>
      <c r="Z66" s="260">
        <v>2.298850574712644E-2</v>
      </c>
      <c r="AA66" s="260">
        <v>3.1914893617021267E-2</v>
      </c>
      <c r="AB66" s="260">
        <v>2.0618556701030931E-2</v>
      </c>
      <c r="AC66" s="260">
        <v>0.02</v>
      </c>
      <c r="AD66" s="260">
        <v>0.02</v>
      </c>
      <c r="AE66" s="260">
        <v>1.9417475728155342E-2</v>
      </c>
      <c r="AF66" s="260">
        <v>0</v>
      </c>
      <c r="AG66" s="260">
        <v>1.6393442622950821E-2</v>
      </c>
      <c r="AH66" s="261">
        <v>2.8169014084507039E-2</v>
      </c>
    </row>
    <row r="67" spans="2:34">
      <c r="B67" s="87" t="s">
        <v>311</v>
      </c>
      <c r="C67" s="253">
        <v>2.5229357798165139E-2</v>
      </c>
      <c r="D67" s="262">
        <v>0</v>
      </c>
      <c r="E67" s="263">
        <v>0</v>
      </c>
      <c r="F67" s="263">
        <v>0</v>
      </c>
      <c r="G67" s="263">
        <v>0</v>
      </c>
      <c r="H67" s="263">
        <v>0</v>
      </c>
      <c r="I67" s="263">
        <v>0</v>
      </c>
      <c r="J67" s="263">
        <v>0</v>
      </c>
      <c r="K67" s="263">
        <v>0</v>
      </c>
      <c r="L67" s="263">
        <v>0.14285714285714279</v>
      </c>
      <c r="M67" s="263">
        <v>0</v>
      </c>
      <c r="N67" s="263">
        <v>0</v>
      </c>
      <c r="O67" s="263">
        <v>0</v>
      </c>
      <c r="P67" s="263">
        <v>0</v>
      </c>
      <c r="Q67" s="263">
        <v>0</v>
      </c>
      <c r="R67" s="263">
        <v>0</v>
      </c>
      <c r="S67" s="263">
        <v>0</v>
      </c>
      <c r="T67" s="263">
        <v>0</v>
      </c>
      <c r="U67" s="263">
        <v>0</v>
      </c>
      <c r="V67" s="263">
        <v>0.125</v>
      </c>
      <c r="W67" s="263">
        <v>0</v>
      </c>
      <c r="X67" s="263">
        <v>0</v>
      </c>
      <c r="Y67" s="263">
        <v>6.8965517241379309E-2</v>
      </c>
      <c r="Z67" s="263">
        <v>0</v>
      </c>
      <c r="AA67" s="263">
        <v>2.777777777777778E-2</v>
      </c>
      <c r="AB67" s="263">
        <v>2.9411764705882349E-2</v>
      </c>
      <c r="AC67" s="263">
        <v>0</v>
      </c>
      <c r="AD67" s="263">
        <v>2.8571428571428571E-2</v>
      </c>
      <c r="AE67" s="263">
        <v>9.6774193548387094E-2</v>
      </c>
      <c r="AF67" s="263">
        <v>0</v>
      </c>
      <c r="AG67" s="263">
        <v>3.2258064516129031E-2</v>
      </c>
      <c r="AH67" s="264">
        <v>0</v>
      </c>
    </row>
    <row r="68" spans="2:34">
      <c r="B68" s="196" t="s">
        <v>312</v>
      </c>
      <c r="C68" s="252">
        <v>2.486187845303867E-2</v>
      </c>
      <c r="D68" s="259">
        <v>0</v>
      </c>
      <c r="E68" s="260">
        <v>0</v>
      </c>
      <c r="F68" s="260">
        <v>0</v>
      </c>
      <c r="G68" s="260">
        <v>0</v>
      </c>
      <c r="H68" s="260">
        <v>0</v>
      </c>
      <c r="I68" s="260">
        <v>0</v>
      </c>
      <c r="J68" s="260">
        <v>9.0909090909090912E-2</v>
      </c>
      <c r="K68" s="260">
        <v>0.16666666666666671</v>
      </c>
      <c r="L68" s="260">
        <v>7.6923076923076927E-2</v>
      </c>
      <c r="M68" s="260">
        <v>6.6666666666666666E-2</v>
      </c>
      <c r="N68" s="260">
        <v>0</v>
      </c>
      <c r="O68" s="260">
        <v>0</v>
      </c>
      <c r="P68" s="260">
        <v>0</v>
      </c>
      <c r="Q68" s="260">
        <v>0</v>
      </c>
      <c r="R68" s="260">
        <v>0</v>
      </c>
      <c r="S68" s="260">
        <v>0</v>
      </c>
      <c r="T68" s="260">
        <v>0.05</v>
      </c>
      <c r="U68" s="260">
        <v>0</v>
      </c>
      <c r="V68" s="260">
        <v>0</v>
      </c>
      <c r="W68" s="260">
        <v>0</v>
      </c>
      <c r="X68" s="260">
        <v>0</v>
      </c>
      <c r="Y68" s="260">
        <v>0</v>
      </c>
      <c r="Z68" s="260">
        <v>1.9607843137254902E-2</v>
      </c>
      <c r="AA68" s="260">
        <v>4.3478260869565223E-2</v>
      </c>
      <c r="AB68" s="260">
        <v>0</v>
      </c>
      <c r="AC68" s="260">
        <v>0</v>
      </c>
      <c r="AD68" s="260">
        <v>3.125E-2</v>
      </c>
      <c r="AE68" s="260">
        <v>2.9411764705882349E-2</v>
      </c>
      <c r="AF68" s="260">
        <v>2.3255813953488368E-2</v>
      </c>
      <c r="AG68" s="260">
        <v>7.8431372549019607E-2</v>
      </c>
      <c r="AH68" s="261">
        <v>4.2553191489361701E-2</v>
      </c>
    </row>
    <row r="69" spans="2:34">
      <c r="B69" s="87" t="s">
        <v>313</v>
      </c>
      <c r="C69" s="253">
        <v>5.4545454545454543E-2</v>
      </c>
      <c r="D69" s="262">
        <v>0</v>
      </c>
      <c r="E69" s="263">
        <v>8.3333333333333329E-2</v>
      </c>
      <c r="F69" s="263">
        <v>0</v>
      </c>
      <c r="G69" s="263">
        <v>0.1111111111111111</v>
      </c>
      <c r="H69" s="263">
        <v>0</v>
      </c>
      <c r="I69" s="263">
        <v>0</v>
      </c>
      <c r="J69" s="263">
        <v>7.1428571428571425E-2</v>
      </c>
      <c r="K69" s="263">
        <v>7.1428571428571425E-2</v>
      </c>
      <c r="L69" s="263">
        <v>0.15384615384615391</v>
      </c>
      <c r="M69" s="263">
        <v>0.38461538461538458</v>
      </c>
      <c r="N69" s="263">
        <v>0.1818181818181818</v>
      </c>
      <c r="O69" s="263">
        <v>0</v>
      </c>
      <c r="P69" s="263">
        <v>6.25E-2</v>
      </c>
      <c r="Q69" s="263">
        <v>9.0909090909090912E-2</v>
      </c>
      <c r="R69" s="263">
        <v>9.0909090909090912E-2</v>
      </c>
      <c r="S69" s="263">
        <v>0</v>
      </c>
      <c r="T69" s="263">
        <v>6.25E-2</v>
      </c>
      <c r="U69" s="263">
        <v>0</v>
      </c>
      <c r="V69" s="263">
        <v>0</v>
      </c>
      <c r="W69" s="263">
        <v>0</v>
      </c>
      <c r="X69" s="263">
        <v>0</v>
      </c>
      <c r="Y69" s="263">
        <v>0</v>
      </c>
      <c r="Z69" s="263">
        <v>0</v>
      </c>
      <c r="AA69" s="263">
        <v>9.0909090909090912E-2</v>
      </c>
      <c r="AB69" s="263">
        <v>0</v>
      </c>
      <c r="AC69" s="263">
        <v>0.1875</v>
      </c>
      <c r="AD69" s="263">
        <v>6.25E-2</v>
      </c>
      <c r="AE69" s="263">
        <v>7.1428571428571425E-2</v>
      </c>
      <c r="AF69" s="263">
        <v>0</v>
      </c>
      <c r="AG69" s="263">
        <v>0</v>
      </c>
      <c r="AH69" s="264">
        <v>0</v>
      </c>
    </row>
    <row r="70" spans="2:34">
      <c r="B70" s="196" t="s">
        <v>314</v>
      </c>
      <c r="C70" s="252">
        <v>4.5751633986928102E-2</v>
      </c>
      <c r="D70" s="259">
        <v>0</v>
      </c>
      <c r="E70" s="260">
        <v>0</v>
      </c>
      <c r="F70" s="260">
        <v>0</v>
      </c>
      <c r="G70" s="260">
        <v>2.9411764705882349E-2</v>
      </c>
      <c r="H70" s="260">
        <v>0.44444444444444442</v>
      </c>
      <c r="I70" s="260">
        <v>0.05</v>
      </c>
      <c r="J70" s="260">
        <v>0</v>
      </c>
      <c r="K70" s="260">
        <v>0</v>
      </c>
      <c r="L70" s="260">
        <v>5.8823529411764712E-2</v>
      </c>
      <c r="M70" s="260">
        <v>6.6666666666666666E-2</v>
      </c>
      <c r="N70" s="260">
        <v>0.3</v>
      </c>
      <c r="O70" s="260">
        <v>0</v>
      </c>
      <c r="P70" s="260">
        <v>0.1</v>
      </c>
      <c r="Q70" s="260">
        <v>0</v>
      </c>
      <c r="R70" s="260">
        <v>0.16666666666666671</v>
      </c>
      <c r="S70" s="260">
        <v>0.1875</v>
      </c>
      <c r="T70" s="260">
        <v>0</v>
      </c>
      <c r="U70" s="260">
        <v>0</v>
      </c>
      <c r="V70" s="260">
        <v>4.5454545454545463E-2</v>
      </c>
      <c r="W70" s="260">
        <v>0</v>
      </c>
      <c r="X70" s="260">
        <v>0.04</v>
      </c>
      <c r="Y70" s="260">
        <v>0</v>
      </c>
      <c r="Z70" s="260">
        <v>2.3255813953488368E-2</v>
      </c>
      <c r="AA70" s="260">
        <v>0</v>
      </c>
      <c r="AB70" s="260">
        <v>1.9230769230769228E-2</v>
      </c>
      <c r="AC70" s="260">
        <v>0.02</v>
      </c>
      <c r="AD70" s="260">
        <v>0</v>
      </c>
      <c r="AE70" s="260">
        <v>0</v>
      </c>
      <c r="AF70" s="260">
        <v>0</v>
      </c>
      <c r="AG70" s="260">
        <v>0.10606060606060611</v>
      </c>
      <c r="AH70" s="261">
        <v>0</v>
      </c>
    </row>
    <row r="71" spans="2:34">
      <c r="B71" s="87" t="s">
        <v>315</v>
      </c>
      <c r="C71" s="253">
        <v>1.6528925619834711E-2</v>
      </c>
      <c r="D71" s="262">
        <v>9.375E-2</v>
      </c>
      <c r="E71" s="263">
        <v>3.3333333333333333E-2</v>
      </c>
      <c r="F71" s="263">
        <v>3.125E-2</v>
      </c>
      <c r="G71" s="263">
        <v>0</v>
      </c>
      <c r="H71" s="263">
        <v>0</v>
      </c>
      <c r="I71" s="263">
        <v>4.3478260869565223E-2</v>
      </c>
      <c r="J71" s="263">
        <v>0</v>
      </c>
      <c r="K71" s="263">
        <v>3.7037037037037028E-2</v>
      </c>
      <c r="L71" s="263">
        <v>3.7037037037037028E-2</v>
      </c>
      <c r="M71" s="263">
        <v>0</v>
      </c>
      <c r="N71" s="263">
        <v>0</v>
      </c>
      <c r="O71" s="263">
        <v>0</v>
      </c>
      <c r="P71" s="263">
        <v>0</v>
      </c>
      <c r="Q71" s="263">
        <v>0.05</v>
      </c>
      <c r="R71" s="263">
        <v>0</v>
      </c>
      <c r="S71" s="263">
        <v>0</v>
      </c>
      <c r="T71" s="263">
        <v>5.5555555555555552E-2</v>
      </c>
      <c r="U71" s="263">
        <v>0</v>
      </c>
      <c r="V71" s="263">
        <v>0</v>
      </c>
      <c r="W71" s="263">
        <v>0</v>
      </c>
      <c r="X71" s="263">
        <v>0</v>
      </c>
      <c r="Y71" s="263">
        <v>0</v>
      </c>
      <c r="Z71" s="263">
        <v>0</v>
      </c>
      <c r="AA71" s="263">
        <v>6.5217391304347824E-2</v>
      </c>
      <c r="AB71" s="263">
        <v>0</v>
      </c>
      <c r="AC71" s="263">
        <v>0</v>
      </c>
      <c r="AD71" s="263">
        <v>2.222222222222222E-2</v>
      </c>
      <c r="AE71" s="263">
        <v>0</v>
      </c>
      <c r="AF71" s="263">
        <v>0</v>
      </c>
      <c r="AG71" s="263">
        <v>3.6363636363636362E-2</v>
      </c>
      <c r="AH71" s="264">
        <v>0</v>
      </c>
    </row>
    <row r="72" spans="2:34">
      <c r="B72" s="196" t="s">
        <v>316</v>
      </c>
      <c r="C72" s="252">
        <v>9.3567251461988299E-2</v>
      </c>
      <c r="D72" s="259" t="s">
        <v>237</v>
      </c>
      <c r="E72" s="260" t="s">
        <v>237</v>
      </c>
      <c r="F72" s="260" t="s">
        <v>237</v>
      </c>
      <c r="G72" s="260" t="s">
        <v>237</v>
      </c>
      <c r="H72" s="260">
        <v>0</v>
      </c>
      <c r="I72" s="260">
        <v>0</v>
      </c>
      <c r="J72" s="260">
        <v>0</v>
      </c>
      <c r="K72" s="260">
        <v>0</v>
      </c>
      <c r="L72" s="260">
        <v>0.25</v>
      </c>
      <c r="M72" s="260">
        <v>0</v>
      </c>
      <c r="N72" s="260">
        <v>0</v>
      </c>
      <c r="O72" s="260">
        <v>0</v>
      </c>
      <c r="P72" s="260">
        <v>0</v>
      </c>
      <c r="Q72" s="260">
        <v>0.66666666666666663</v>
      </c>
      <c r="R72" s="260">
        <v>0</v>
      </c>
      <c r="S72" s="260">
        <v>0.5</v>
      </c>
      <c r="T72" s="260">
        <v>0</v>
      </c>
      <c r="U72" s="260">
        <v>0</v>
      </c>
      <c r="V72" s="260">
        <v>0</v>
      </c>
      <c r="W72" s="260">
        <v>0</v>
      </c>
      <c r="X72" s="260">
        <v>0</v>
      </c>
      <c r="Y72" s="260">
        <v>0.14285714285714279</v>
      </c>
      <c r="Z72" s="260">
        <v>0</v>
      </c>
      <c r="AA72" s="260">
        <v>0.2</v>
      </c>
      <c r="AB72" s="260">
        <v>0.16666666666666671</v>
      </c>
      <c r="AC72" s="260">
        <v>0</v>
      </c>
      <c r="AD72" s="260">
        <v>0</v>
      </c>
      <c r="AE72" s="260">
        <v>0</v>
      </c>
      <c r="AF72" s="260">
        <v>0</v>
      </c>
      <c r="AG72" s="260">
        <v>0.26666666666666672</v>
      </c>
      <c r="AH72" s="261">
        <v>0.15384615384615391</v>
      </c>
    </row>
    <row r="73" spans="2:34">
      <c r="B73" s="87" t="s">
        <v>317</v>
      </c>
      <c r="C73" s="253">
        <v>3.0120481927710841E-3</v>
      </c>
      <c r="D73" s="262" t="s">
        <v>237</v>
      </c>
      <c r="E73" s="263" t="s">
        <v>237</v>
      </c>
      <c r="F73" s="263" t="s">
        <v>237</v>
      </c>
      <c r="G73" s="263" t="s">
        <v>237</v>
      </c>
      <c r="H73" s="263" t="s">
        <v>237</v>
      </c>
      <c r="I73" s="263" t="s">
        <v>237</v>
      </c>
      <c r="J73" s="263" t="s">
        <v>237</v>
      </c>
      <c r="K73" s="263" t="s">
        <v>237</v>
      </c>
      <c r="L73" s="263" t="s">
        <v>237</v>
      </c>
      <c r="M73" s="263" t="s">
        <v>237</v>
      </c>
      <c r="N73" s="263" t="s">
        <v>237</v>
      </c>
      <c r="O73" s="263" t="s">
        <v>237</v>
      </c>
      <c r="P73" s="263">
        <v>0</v>
      </c>
      <c r="Q73" s="263">
        <v>0</v>
      </c>
      <c r="R73" s="263" t="s">
        <v>237</v>
      </c>
      <c r="S73" s="263">
        <v>0</v>
      </c>
      <c r="T73" s="263">
        <v>0</v>
      </c>
      <c r="U73" s="263">
        <v>0</v>
      </c>
      <c r="V73" s="263">
        <v>0</v>
      </c>
      <c r="W73" s="263">
        <v>0</v>
      </c>
      <c r="X73" s="263">
        <v>0</v>
      </c>
      <c r="Y73" s="263">
        <v>3.3333333333333333E-2</v>
      </c>
      <c r="Z73" s="263">
        <v>0</v>
      </c>
      <c r="AA73" s="263">
        <v>0</v>
      </c>
      <c r="AB73" s="263">
        <v>0</v>
      </c>
      <c r="AC73" s="263">
        <v>0</v>
      </c>
      <c r="AD73" s="263">
        <v>0</v>
      </c>
      <c r="AE73" s="263">
        <v>0</v>
      </c>
      <c r="AF73" s="263">
        <v>0</v>
      </c>
      <c r="AG73" s="263">
        <v>0</v>
      </c>
      <c r="AH73" s="264">
        <v>0</v>
      </c>
    </row>
    <row r="74" spans="2:34">
      <c r="B74" s="196" t="s">
        <v>318</v>
      </c>
      <c r="C74" s="252">
        <v>3.1070195627157651E-2</v>
      </c>
      <c r="D74" s="259">
        <v>0</v>
      </c>
      <c r="E74" s="260">
        <v>0</v>
      </c>
      <c r="F74" s="260">
        <v>0</v>
      </c>
      <c r="G74" s="260">
        <v>0</v>
      </c>
      <c r="H74" s="260">
        <v>0</v>
      </c>
      <c r="I74" s="260">
        <v>0</v>
      </c>
      <c r="J74" s="260">
        <v>8.3333333333333329E-2</v>
      </c>
      <c r="K74" s="260">
        <v>6.6666666666666666E-2</v>
      </c>
      <c r="L74" s="260">
        <v>0</v>
      </c>
      <c r="M74" s="260">
        <v>3.8461538461538457E-2</v>
      </c>
      <c r="N74" s="260">
        <v>8.5714285714285715E-2</v>
      </c>
      <c r="O74" s="260">
        <v>0</v>
      </c>
      <c r="P74" s="260">
        <v>0</v>
      </c>
      <c r="Q74" s="260">
        <v>0</v>
      </c>
      <c r="R74" s="260">
        <v>2.3255813953488368E-2</v>
      </c>
      <c r="S74" s="260">
        <v>9.0909090909090912E-2</v>
      </c>
      <c r="T74" s="260">
        <v>4.1666666666666657E-2</v>
      </c>
      <c r="U74" s="260">
        <v>0</v>
      </c>
      <c r="V74" s="260">
        <v>1.5625E-2</v>
      </c>
      <c r="W74" s="260">
        <v>2.7027027027027029E-2</v>
      </c>
      <c r="X74" s="260">
        <v>6.3291139240506333E-2</v>
      </c>
      <c r="Y74" s="260">
        <v>3.7383177570093462E-2</v>
      </c>
      <c r="Z74" s="260">
        <v>3.8834951456310683E-2</v>
      </c>
      <c r="AA74" s="260">
        <v>4.3956043956043959E-2</v>
      </c>
      <c r="AB74" s="260">
        <v>2.3529411764705879E-2</v>
      </c>
      <c r="AC74" s="260">
        <v>2.1739130434782612E-2</v>
      </c>
      <c r="AD74" s="260">
        <v>2.150537634408602E-2</v>
      </c>
      <c r="AE74" s="260">
        <v>3.03030303030303E-2</v>
      </c>
      <c r="AF74" s="260">
        <v>0</v>
      </c>
      <c r="AG74" s="260">
        <v>5.0724637681159417E-2</v>
      </c>
      <c r="AH74" s="261">
        <v>3.3112582781456963E-2</v>
      </c>
    </row>
    <row r="75" spans="2:34">
      <c r="B75" s="87" t="s">
        <v>319</v>
      </c>
      <c r="C75" s="253">
        <v>9.9502487562189053E-3</v>
      </c>
      <c r="D75" s="262">
        <v>0</v>
      </c>
      <c r="E75" s="263">
        <v>0</v>
      </c>
      <c r="F75" s="263">
        <v>0</v>
      </c>
      <c r="G75" s="263">
        <v>0</v>
      </c>
      <c r="H75" s="263">
        <v>0</v>
      </c>
      <c r="I75" s="263">
        <v>5.5555555555555552E-2</v>
      </c>
      <c r="J75" s="263">
        <v>0</v>
      </c>
      <c r="K75" s="263">
        <v>4.3478260869565223E-2</v>
      </c>
      <c r="L75" s="263">
        <v>4.5454545454545463E-2</v>
      </c>
      <c r="M75" s="263">
        <v>0</v>
      </c>
      <c r="N75" s="263">
        <v>0</v>
      </c>
      <c r="O75" s="263">
        <v>0</v>
      </c>
      <c r="P75" s="263">
        <v>0</v>
      </c>
      <c r="Q75" s="263">
        <v>0</v>
      </c>
      <c r="R75" s="263">
        <v>0</v>
      </c>
      <c r="S75" s="263">
        <v>0</v>
      </c>
      <c r="T75" s="263">
        <v>2.1276595744680851E-2</v>
      </c>
      <c r="U75" s="263">
        <v>2.0833333333333329E-2</v>
      </c>
      <c r="V75" s="263">
        <v>5.5555555555555552E-2</v>
      </c>
      <c r="W75" s="263">
        <v>0</v>
      </c>
      <c r="X75" s="263">
        <v>0</v>
      </c>
      <c r="Y75" s="263">
        <v>0</v>
      </c>
      <c r="Z75" s="263">
        <v>5.0847457627118647E-2</v>
      </c>
      <c r="AA75" s="263">
        <v>2.1276595744680851E-2</v>
      </c>
      <c r="AB75" s="263">
        <v>0</v>
      </c>
      <c r="AC75" s="263">
        <v>0</v>
      </c>
      <c r="AD75" s="263">
        <v>0</v>
      </c>
      <c r="AE75" s="263">
        <v>0</v>
      </c>
      <c r="AF75" s="263">
        <v>0</v>
      </c>
      <c r="AG75" s="263">
        <v>0</v>
      </c>
      <c r="AH75" s="264">
        <v>0</v>
      </c>
    </row>
    <row r="76" spans="2:34">
      <c r="B76" s="196" t="s">
        <v>320</v>
      </c>
      <c r="C76" s="252">
        <v>1.8181818181818181E-2</v>
      </c>
      <c r="D76" s="259" t="s">
        <v>237</v>
      </c>
      <c r="E76" s="260" t="s">
        <v>237</v>
      </c>
      <c r="F76" s="260" t="s">
        <v>237</v>
      </c>
      <c r="G76" s="260" t="s">
        <v>237</v>
      </c>
      <c r="H76" s="260" t="s">
        <v>237</v>
      </c>
      <c r="I76" s="260" t="s">
        <v>237</v>
      </c>
      <c r="J76" s="260" t="s">
        <v>237</v>
      </c>
      <c r="K76" s="260" t="s">
        <v>237</v>
      </c>
      <c r="L76" s="260">
        <v>0</v>
      </c>
      <c r="M76" s="260">
        <v>0</v>
      </c>
      <c r="N76" s="260">
        <v>0</v>
      </c>
      <c r="O76" s="260">
        <v>0</v>
      </c>
      <c r="P76" s="260">
        <v>0</v>
      </c>
      <c r="Q76" s="260">
        <v>0</v>
      </c>
      <c r="R76" s="260">
        <v>0</v>
      </c>
      <c r="S76" s="260">
        <v>0</v>
      </c>
      <c r="T76" s="260">
        <v>5.4054054054054057E-2</v>
      </c>
      <c r="U76" s="260">
        <v>0</v>
      </c>
      <c r="V76" s="260">
        <v>5.2631578947368418E-2</v>
      </c>
      <c r="W76" s="260">
        <v>3.3898305084745763E-2</v>
      </c>
      <c r="X76" s="260">
        <v>6.4516129032258063E-2</v>
      </c>
      <c r="Y76" s="260">
        <v>1.886792452830189E-2</v>
      </c>
      <c r="Z76" s="260">
        <v>0</v>
      </c>
      <c r="AA76" s="260">
        <v>0.02</v>
      </c>
      <c r="AB76" s="260">
        <v>0</v>
      </c>
      <c r="AC76" s="260">
        <v>0</v>
      </c>
      <c r="AD76" s="260">
        <v>0.04</v>
      </c>
      <c r="AE76" s="260">
        <v>0</v>
      </c>
      <c r="AF76" s="260">
        <v>0</v>
      </c>
      <c r="AG76" s="260">
        <v>0</v>
      </c>
      <c r="AH76" s="261">
        <v>2.1276595744680851E-2</v>
      </c>
    </row>
    <row r="77" spans="2:34">
      <c r="B77" s="87" t="s">
        <v>321</v>
      </c>
      <c r="C77" s="253">
        <v>2.387813915191437E-2</v>
      </c>
      <c r="D77" s="262">
        <v>0</v>
      </c>
      <c r="E77" s="263">
        <v>0</v>
      </c>
      <c r="F77" s="263">
        <v>6.4516129032258063E-2</v>
      </c>
      <c r="G77" s="263">
        <v>2.7027027027027029E-2</v>
      </c>
      <c r="H77" s="263">
        <v>0.24390243902439021</v>
      </c>
      <c r="I77" s="263">
        <v>0.1081081081081081</v>
      </c>
      <c r="J77" s="263">
        <v>4.6511627906976737E-2</v>
      </c>
      <c r="K77" s="263">
        <v>0</v>
      </c>
      <c r="L77" s="263">
        <v>0</v>
      </c>
      <c r="M77" s="263">
        <v>0</v>
      </c>
      <c r="N77" s="263">
        <v>0</v>
      </c>
      <c r="O77" s="263">
        <v>0</v>
      </c>
      <c r="P77" s="263">
        <v>0</v>
      </c>
      <c r="Q77" s="263">
        <v>8.0000000000000002E-3</v>
      </c>
      <c r="R77" s="263">
        <v>2.0689655172413789E-2</v>
      </c>
      <c r="S77" s="263">
        <v>2.5157232704402521E-2</v>
      </c>
      <c r="T77" s="263">
        <v>3.03030303030303E-2</v>
      </c>
      <c r="U77" s="263">
        <v>2.5316455696202531E-2</v>
      </c>
      <c r="V77" s="263">
        <v>1.2195121951219509E-2</v>
      </c>
      <c r="W77" s="263">
        <v>0</v>
      </c>
      <c r="X77" s="263">
        <v>3.3557046979865772E-2</v>
      </c>
      <c r="Y77" s="263">
        <v>5.1094890510948912E-2</v>
      </c>
      <c r="Z77" s="263">
        <v>2.0618556701030931E-2</v>
      </c>
      <c r="AA77" s="263">
        <v>4.3478260869565223E-2</v>
      </c>
      <c r="AB77" s="263">
        <v>0</v>
      </c>
      <c r="AC77" s="263">
        <v>0</v>
      </c>
      <c r="AD77" s="263">
        <v>0</v>
      </c>
      <c r="AE77" s="263">
        <v>4.1666666666666657E-2</v>
      </c>
      <c r="AF77" s="263">
        <v>0</v>
      </c>
      <c r="AG77" s="263">
        <v>0</v>
      </c>
      <c r="AH77" s="264">
        <v>0.2857142857142857</v>
      </c>
    </row>
    <row r="78" spans="2:34">
      <c r="B78" s="196" t="s">
        <v>322</v>
      </c>
      <c r="C78" s="252">
        <v>7.0000000000000007E-2</v>
      </c>
      <c r="D78" s="259" t="s">
        <v>237</v>
      </c>
      <c r="E78" s="260">
        <v>1</v>
      </c>
      <c r="F78" s="260" t="s">
        <v>237</v>
      </c>
      <c r="G78" s="260" t="s">
        <v>237</v>
      </c>
      <c r="H78" s="260" t="s">
        <v>237</v>
      </c>
      <c r="I78" s="260" t="s">
        <v>237</v>
      </c>
      <c r="J78" s="260" t="s">
        <v>237</v>
      </c>
      <c r="K78" s="260" t="s">
        <v>237</v>
      </c>
      <c r="L78" s="260" t="s">
        <v>237</v>
      </c>
      <c r="M78" s="260" t="s">
        <v>237</v>
      </c>
      <c r="N78" s="260" t="s">
        <v>237</v>
      </c>
      <c r="O78" s="260" t="s">
        <v>237</v>
      </c>
      <c r="P78" s="260" t="s">
        <v>237</v>
      </c>
      <c r="Q78" s="260">
        <v>0</v>
      </c>
      <c r="R78" s="260">
        <v>0</v>
      </c>
      <c r="S78" s="260">
        <v>0.33333333333333331</v>
      </c>
      <c r="T78" s="260">
        <v>0</v>
      </c>
      <c r="U78" s="260">
        <v>0</v>
      </c>
      <c r="V78" s="260">
        <v>0</v>
      </c>
      <c r="W78" s="260">
        <v>0</v>
      </c>
      <c r="X78" s="260">
        <v>0</v>
      </c>
      <c r="Y78" s="260">
        <v>0.1875</v>
      </c>
      <c r="Z78" s="260">
        <v>0.05</v>
      </c>
      <c r="AA78" s="260">
        <v>0</v>
      </c>
      <c r="AB78" s="260">
        <v>0</v>
      </c>
      <c r="AC78" s="260">
        <v>0.2857142857142857</v>
      </c>
      <c r="AD78" s="260">
        <v>0</v>
      </c>
      <c r="AE78" s="260">
        <v>0</v>
      </c>
      <c r="AF78" s="260">
        <v>0</v>
      </c>
      <c r="AG78" s="260">
        <v>9.0909090909090912E-2</v>
      </c>
      <c r="AH78" s="261">
        <v>0.1</v>
      </c>
    </row>
    <row r="79" spans="2:34">
      <c r="B79" s="87" t="s">
        <v>323</v>
      </c>
      <c r="C79" s="253">
        <v>8.8888888888888889E-3</v>
      </c>
      <c r="D79" s="262">
        <v>0</v>
      </c>
      <c r="E79" s="263">
        <v>0</v>
      </c>
      <c r="F79" s="263">
        <v>0</v>
      </c>
      <c r="G79" s="263">
        <v>0</v>
      </c>
      <c r="H79" s="263">
        <v>0</v>
      </c>
      <c r="I79" s="263">
        <v>0</v>
      </c>
      <c r="J79" s="263">
        <v>0</v>
      </c>
      <c r="K79" s="263">
        <v>0</v>
      </c>
      <c r="L79" s="263">
        <v>0</v>
      </c>
      <c r="M79" s="263">
        <v>0</v>
      </c>
      <c r="N79" s="263">
        <v>0</v>
      </c>
      <c r="O79" s="263">
        <v>0</v>
      </c>
      <c r="P79" s="263">
        <v>0</v>
      </c>
      <c r="Q79" s="263">
        <v>0</v>
      </c>
      <c r="R79" s="263">
        <v>0</v>
      </c>
      <c r="S79" s="263">
        <v>0</v>
      </c>
      <c r="T79" s="263">
        <v>0</v>
      </c>
      <c r="U79" s="263">
        <v>0</v>
      </c>
      <c r="V79" s="263">
        <v>0</v>
      </c>
      <c r="W79" s="263">
        <v>0</v>
      </c>
      <c r="X79" s="263">
        <v>0</v>
      </c>
      <c r="Y79" s="263">
        <v>0</v>
      </c>
      <c r="Z79" s="263">
        <v>0</v>
      </c>
      <c r="AA79" s="263">
        <v>0</v>
      </c>
      <c r="AB79" s="263">
        <v>0.1111111111111111</v>
      </c>
      <c r="AC79" s="263">
        <v>0</v>
      </c>
      <c r="AD79" s="263">
        <v>0</v>
      </c>
      <c r="AE79" s="263">
        <v>0</v>
      </c>
      <c r="AF79" s="263">
        <v>0</v>
      </c>
      <c r="AG79" s="263">
        <v>0</v>
      </c>
      <c r="AH79" s="264">
        <v>0.2</v>
      </c>
    </row>
    <row r="80" spans="2:34">
      <c r="B80" s="196" t="s">
        <v>324</v>
      </c>
      <c r="C80" s="252">
        <v>4.0000000000000001E-3</v>
      </c>
      <c r="D80" s="259" t="s">
        <v>237</v>
      </c>
      <c r="E80" s="260">
        <v>0</v>
      </c>
      <c r="F80" s="260">
        <v>0</v>
      </c>
      <c r="G80" s="260">
        <v>0</v>
      </c>
      <c r="H80" s="260">
        <v>0.1</v>
      </c>
      <c r="I80" s="260">
        <v>0</v>
      </c>
      <c r="J80" s="260">
        <v>0</v>
      </c>
      <c r="K80" s="260">
        <v>0</v>
      </c>
      <c r="L80" s="260">
        <v>0</v>
      </c>
      <c r="M80" s="260">
        <v>0</v>
      </c>
      <c r="N80" s="260">
        <v>0</v>
      </c>
      <c r="O80" s="260">
        <v>0</v>
      </c>
      <c r="P80" s="260">
        <v>0</v>
      </c>
      <c r="Q80" s="260">
        <v>0</v>
      </c>
      <c r="R80" s="260">
        <v>0</v>
      </c>
      <c r="S80" s="260">
        <v>0</v>
      </c>
      <c r="T80" s="260">
        <v>0</v>
      </c>
      <c r="U80" s="260">
        <v>0</v>
      </c>
      <c r="V80" s="260">
        <v>0</v>
      </c>
      <c r="W80" s="260">
        <v>0</v>
      </c>
      <c r="X80" s="260">
        <v>0</v>
      </c>
      <c r="Y80" s="260">
        <v>0</v>
      </c>
      <c r="Z80" s="260">
        <v>0</v>
      </c>
      <c r="AA80" s="260">
        <v>0</v>
      </c>
      <c r="AB80" s="260">
        <v>0</v>
      </c>
      <c r="AC80" s="260">
        <v>0</v>
      </c>
      <c r="AD80" s="260">
        <v>0</v>
      </c>
      <c r="AE80" s="260">
        <v>0</v>
      </c>
      <c r="AF80" s="260">
        <v>0</v>
      </c>
      <c r="AG80" s="260">
        <v>0</v>
      </c>
      <c r="AH80" s="261">
        <v>0</v>
      </c>
    </row>
    <row r="81" spans="2:34">
      <c r="B81" s="87" t="s">
        <v>325</v>
      </c>
      <c r="C81" s="253">
        <v>7.3099415204678359E-2</v>
      </c>
      <c r="D81" s="262">
        <v>0</v>
      </c>
      <c r="E81" s="263">
        <v>0</v>
      </c>
      <c r="F81" s="263">
        <v>0</v>
      </c>
      <c r="G81" s="263">
        <v>0</v>
      </c>
      <c r="H81" s="263">
        <v>0.16666666666666671</v>
      </c>
      <c r="I81" s="263">
        <v>0</v>
      </c>
      <c r="J81" s="263">
        <v>0.1111111111111111</v>
      </c>
      <c r="K81" s="263">
        <v>0</v>
      </c>
      <c r="L81" s="263">
        <v>7.1428571428571425E-2</v>
      </c>
      <c r="M81" s="263">
        <v>0</v>
      </c>
      <c r="N81" s="263">
        <v>7.1428571428571425E-2</v>
      </c>
      <c r="O81" s="263">
        <v>0</v>
      </c>
      <c r="P81" s="263">
        <v>5.8823529411764712E-2</v>
      </c>
      <c r="Q81" s="263">
        <v>6.25E-2</v>
      </c>
      <c r="R81" s="263">
        <v>0.3</v>
      </c>
      <c r="S81" s="263">
        <v>0.1764705882352941</v>
      </c>
      <c r="T81" s="263">
        <v>0</v>
      </c>
      <c r="U81" s="263">
        <v>0.125</v>
      </c>
      <c r="V81" s="263">
        <v>4.3478260869565223E-2</v>
      </c>
      <c r="W81" s="263">
        <v>0</v>
      </c>
      <c r="X81" s="263">
        <v>0.1111111111111111</v>
      </c>
      <c r="Y81" s="263">
        <v>6.8965517241379309E-2</v>
      </c>
      <c r="Z81" s="263">
        <v>0</v>
      </c>
      <c r="AA81" s="263">
        <v>0.1142857142857143</v>
      </c>
      <c r="AB81" s="263">
        <v>5.8823529411764712E-2</v>
      </c>
      <c r="AC81" s="263">
        <v>6.0606060606060608E-2</v>
      </c>
      <c r="AD81" s="263">
        <v>0.12195121951219511</v>
      </c>
      <c r="AE81" s="263">
        <v>5.2631578947368418E-2</v>
      </c>
      <c r="AF81" s="263">
        <v>7.1428571428571425E-2</v>
      </c>
      <c r="AG81" s="263">
        <v>8.8888888888888892E-2</v>
      </c>
      <c r="AH81" s="264">
        <v>0.08</v>
      </c>
    </row>
    <row r="82" spans="2:34">
      <c r="B82" s="196" t="s">
        <v>326</v>
      </c>
      <c r="C82" s="252">
        <v>1.6366612111292961E-3</v>
      </c>
      <c r="D82" s="259" t="s">
        <v>237</v>
      </c>
      <c r="E82" s="260">
        <v>0</v>
      </c>
      <c r="F82" s="260">
        <v>0</v>
      </c>
      <c r="G82" s="260">
        <v>0</v>
      </c>
      <c r="H82" s="260">
        <v>0</v>
      </c>
      <c r="I82" s="260">
        <v>0</v>
      </c>
      <c r="J82" s="260">
        <v>0</v>
      </c>
      <c r="K82" s="260">
        <v>0</v>
      </c>
      <c r="L82" s="260">
        <v>0</v>
      </c>
      <c r="M82" s="260">
        <v>0</v>
      </c>
      <c r="N82" s="260">
        <v>0</v>
      </c>
      <c r="O82" s="260">
        <v>0</v>
      </c>
      <c r="P82" s="260">
        <v>0</v>
      </c>
      <c r="Q82" s="260">
        <v>0</v>
      </c>
      <c r="R82" s="260">
        <v>0</v>
      </c>
      <c r="S82" s="260">
        <v>0</v>
      </c>
      <c r="T82" s="260">
        <v>0</v>
      </c>
      <c r="U82" s="260">
        <v>0</v>
      </c>
      <c r="V82" s="260">
        <v>0</v>
      </c>
      <c r="W82" s="260">
        <v>0</v>
      </c>
      <c r="X82" s="260">
        <v>0</v>
      </c>
      <c r="Y82" s="260">
        <v>0</v>
      </c>
      <c r="Z82" s="260">
        <v>0</v>
      </c>
      <c r="AA82" s="260">
        <v>0</v>
      </c>
      <c r="AB82" s="260">
        <v>0</v>
      </c>
      <c r="AC82" s="260">
        <v>0</v>
      </c>
      <c r="AD82" s="260">
        <v>0</v>
      </c>
      <c r="AE82" s="260">
        <v>0</v>
      </c>
      <c r="AF82" s="260">
        <v>1.6949152542372881E-2</v>
      </c>
      <c r="AG82" s="260">
        <v>0</v>
      </c>
      <c r="AH82" s="261">
        <v>0</v>
      </c>
    </row>
    <row r="83" spans="2:34">
      <c r="B83" s="87" t="s">
        <v>327</v>
      </c>
      <c r="C83" s="253">
        <v>6.25E-2</v>
      </c>
      <c r="D83" s="262">
        <v>0</v>
      </c>
      <c r="E83" s="263">
        <v>0</v>
      </c>
      <c r="F83" s="263">
        <v>0</v>
      </c>
      <c r="G83" s="263">
        <v>0</v>
      </c>
      <c r="H83" s="263">
        <v>0.5</v>
      </c>
      <c r="I83" s="263">
        <v>0</v>
      </c>
      <c r="J83" s="263">
        <v>0</v>
      </c>
      <c r="K83" s="263">
        <v>0</v>
      </c>
      <c r="L83" s="263">
        <v>0.25</v>
      </c>
      <c r="M83" s="263">
        <v>0</v>
      </c>
      <c r="N83" s="263">
        <v>0.2</v>
      </c>
      <c r="O83" s="263">
        <v>0</v>
      </c>
      <c r="P83" s="263">
        <v>0</v>
      </c>
      <c r="Q83" s="263">
        <v>0.25</v>
      </c>
      <c r="R83" s="263">
        <v>0</v>
      </c>
      <c r="S83" s="263">
        <v>0</v>
      </c>
      <c r="T83" s="263">
        <v>0</v>
      </c>
      <c r="U83" s="263">
        <v>0</v>
      </c>
      <c r="V83" s="263">
        <v>0</v>
      </c>
      <c r="W83" s="263">
        <v>0.25</v>
      </c>
      <c r="X83" s="263">
        <v>0.125</v>
      </c>
      <c r="Y83" s="263">
        <v>0</v>
      </c>
      <c r="Z83" s="263">
        <v>0.1111111111111111</v>
      </c>
      <c r="AA83" s="263">
        <v>0</v>
      </c>
      <c r="AB83" s="263">
        <v>0.125</v>
      </c>
      <c r="AC83" s="263">
        <v>0</v>
      </c>
      <c r="AD83" s="263">
        <v>0</v>
      </c>
      <c r="AE83" s="263">
        <v>0</v>
      </c>
      <c r="AF83" s="263">
        <v>0</v>
      </c>
      <c r="AG83" s="263">
        <v>0.1111111111111111</v>
      </c>
      <c r="AH83" s="264">
        <v>0</v>
      </c>
    </row>
    <row r="84" spans="2:34">
      <c r="B84" s="196" t="s">
        <v>328</v>
      </c>
      <c r="C84" s="252">
        <v>2.8571428571428571E-2</v>
      </c>
      <c r="D84" s="259">
        <v>0</v>
      </c>
      <c r="E84" s="260">
        <v>8.3333333333333329E-2</v>
      </c>
      <c r="F84" s="260">
        <v>0</v>
      </c>
      <c r="G84" s="260">
        <v>0.1176470588235294</v>
      </c>
      <c r="H84" s="260">
        <v>0.2</v>
      </c>
      <c r="I84" s="260">
        <v>0</v>
      </c>
      <c r="J84" s="260">
        <v>0.16666666666666671</v>
      </c>
      <c r="K84" s="260">
        <v>0</v>
      </c>
      <c r="L84" s="260">
        <v>0</v>
      </c>
      <c r="M84" s="260">
        <v>0.2</v>
      </c>
      <c r="N84" s="260">
        <v>0</v>
      </c>
      <c r="O84" s="260">
        <v>0</v>
      </c>
      <c r="P84" s="260">
        <v>0</v>
      </c>
      <c r="Q84" s="260">
        <v>0</v>
      </c>
      <c r="R84" s="260">
        <v>0</v>
      </c>
      <c r="S84" s="260">
        <v>0</v>
      </c>
      <c r="T84" s="260">
        <v>0</v>
      </c>
      <c r="U84" s="260">
        <v>0</v>
      </c>
      <c r="V84" s="260">
        <v>0</v>
      </c>
      <c r="W84" s="260">
        <v>0</v>
      </c>
      <c r="X84" s="260">
        <v>0</v>
      </c>
      <c r="Y84" s="260">
        <v>0</v>
      </c>
      <c r="Z84" s="260">
        <v>0</v>
      </c>
      <c r="AA84" s="260">
        <v>0</v>
      </c>
      <c r="AB84" s="260">
        <v>7.1428571428571425E-2</v>
      </c>
      <c r="AC84" s="260">
        <v>5.2631578947368418E-2</v>
      </c>
      <c r="AD84" s="260">
        <v>0</v>
      </c>
      <c r="AE84" s="260">
        <v>0</v>
      </c>
      <c r="AF84" s="260">
        <v>0</v>
      </c>
      <c r="AG84" s="260">
        <v>0</v>
      </c>
      <c r="AH84" s="261">
        <v>0</v>
      </c>
    </row>
    <row r="85" spans="2:34">
      <c r="B85" s="87" t="s">
        <v>329</v>
      </c>
      <c r="C85" s="253">
        <v>4.4009779951100253E-2</v>
      </c>
      <c r="D85" s="262" t="s">
        <v>237</v>
      </c>
      <c r="E85" s="263" t="s">
        <v>237</v>
      </c>
      <c r="F85" s="263" t="s">
        <v>237</v>
      </c>
      <c r="G85" s="263" t="s">
        <v>237</v>
      </c>
      <c r="H85" s="263">
        <v>0</v>
      </c>
      <c r="I85" s="263">
        <v>0</v>
      </c>
      <c r="J85" s="263">
        <v>0</v>
      </c>
      <c r="K85" s="263">
        <v>0</v>
      </c>
      <c r="L85" s="263">
        <v>0</v>
      </c>
      <c r="M85" s="263">
        <v>0.25</v>
      </c>
      <c r="N85" s="263">
        <v>0</v>
      </c>
      <c r="O85" s="263">
        <v>0</v>
      </c>
      <c r="P85" s="263">
        <v>0.22222222222222221</v>
      </c>
      <c r="Q85" s="263">
        <v>9.0909090909090912E-2</v>
      </c>
      <c r="R85" s="263">
        <v>0</v>
      </c>
      <c r="S85" s="263">
        <v>6.25E-2</v>
      </c>
      <c r="T85" s="263">
        <v>5.8823529411764712E-2</v>
      </c>
      <c r="U85" s="263">
        <v>0.1</v>
      </c>
      <c r="V85" s="263">
        <v>0.05</v>
      </c>
      <c r="W85" s="263">
        <v>0</v>
      </c>
      <c r="X85" s="263">
        <v>4.5454545454545463E-2</v>
      </c>
      <c r="Y85" s="263">
        <v>3.8461538461538457E-2</v>
      </c>
      <c r="Z85" s="263">
        <v>0.1111111111111111</v>
      </c>
      <c r="AA85" s="263">
        <v>9.0909090909090912E-2</v>
      </c>
      <c r="AB85" s="263">
        <v>0</v>
      </c>
      <c r="AC85" s="263">
        <v>0</v>
      </c>
      <c r="AD85" s="263">
        <v>0</v>
      </c>
      <c r="AE85" s="263">
        <v>0</v>
      </c>
      <c r="AF85" s="263">
        <v>0</v>
      </c>
      <c r="AG85" s="263">
        <v>4.5454545454545463E-2</v>
      </c>
      <c r="AH85" s="264">
        <v>5.2631578947368418E-2</v>
      </c>
    </row>
    <row r="86" spans="2:34">
      <c r="B86" s="196" t="s">
        <v>330</v>
      </c>
      <c r="C86" s="252">
        <v>0.13636363636363641</v>
      </c>
      <c r="D86" s="259" t="s">
        <v>237</v>
      </c>
      <c r="E86" s="260" t="s">
        <v>237</v>
      </c>
      <c r="F86" s="260" t="s">
        <v>237</v>
      </c>
      <c r="G86" s="260" t="s">
        <v>237</v>
      </c>
      <c r="H86" s="260" t="s">
        <v>237</v>
      </c>
      <c r="I86" s="260" t="s">
        <v>237</v>
      </c>
      <c r="J86" s="260">
        <v>0</v>
      </c>
      <c r="K86" s="260">
        <v>0</v>
      </c>
      <c r="L86" s="260">
        <v>0</v>
      </c>
      <c r="M86" s="260">
        <v>0</v>
      </c>
      <c r="N86" s="260">
        <v>0</v>
      </c>
      <c r="O86" s="260">
        <v>0</v>
      </c>
      <c r="P86" s="260">
        <v>0</v>
      </c>
      <c r="Q86" s="260" t="s">
        <v>237</v>
      </c>
      <c r="R86" s="260" t="s">
        <v>237</v>
      </c>
      <c r="S86" s="260" t="s">
        <v>237</v>
      </c>
      <c r="T86" s="260">
        <v>0</v>
      </c>
      <c r="U86" s="260">
        <v>0</v>
      </c>
      <c r="V86" s="260">
        <v>8.3333333333333329E-2</v>
      </c>
      <c r="W86" s="260">
        <v>0</v>
      </c>
      <c r="X86" s="260">
        <v>6.25E-2</v>
      </c>
      <c r="Y86" s="260">
        <v>6.6666666666666666E-2</v>
      </c>
      <c r="Z86" s="260">
        <v>0</v>
      </c>
      <c r="AA86" s="260">
        <v>0</v>
      </c>
      <c r="AB86" s="260">
        <v>0</v>
      </c>
      <c r="AC86" s="260">
        <v>0.33333333333333331</v>
      </c>
      <c r="AD86" s="260">
        <v>0.125</v>
      </c>
      <c r="AE86" s="260">
        <v>0.31818181818181818</v>
      </c>
      <c r="AF86" s="260">
        <v>0.6470588235294118</v>
      </c>
      <c r="AG86" s="260">
        <v>0</v>
      </c>
      <c r="AH86" s="261">
        <v>0</v>
      </c>
    </row>
    <row r="87" spans="2:34">
      <c r="B87" s="87" t="s">
        <v>331</v>
      </c>
      <c r="C87" s="253">
        <v>2.222222222222222E-2</v>
      </c>
      <c r="D87" s="262">
        <v>0</v>
      </c>
      <c r="E87" s="263">
        <v>0</v>
      </c>
      <c r="F87" s="263">
        <v>0</v>
      </c>
      <c r="G87" s="263">
        <v>0</v>
      </c>
      <c r="H87" s="263">
        <v>0</v>
      </c>
      <c r="I87" s="263">
        <v>0</v>
      </c>
      <c r="J87" s="263">
        <v>0</v>
      </c>
      <c r="K87" s="263">
        <v>0.33333333333333331</v>
      </c>
      <c r="L87" s="263">
        <v>0</v>
      </c>
      <c r="M87" s="263">
        <v>0</v>
      </c>
      <c r="N87" s="263">
        <v>0</v>
      </c>
      <c r="O87" s="263">
        <v>0</v>
      </c>
      <c r="P87" s="263">
        <v>5.2631578947368418E-2</v>
      </c>
      <c r="Q87" s="263">
        <v>5.8823529411764712E-2</v>
      </c>
      <c r="R87" s="263">
        <v>0</v>
      </c>
      <c r="S87" s="263">
        <v>0</v>
      </c>
      <c r="T87" s="263">
        <v>0</v>
      </c>
      <c r="U87" s="263">
        <v>4.5454545454545463E-2</v>
      </c>
      <c r="V87" s="263">
        <v>0</v>
      </c>
      <c r="W87" s="263">
        <v>4.3478260869565223E-2</v>
      </c>
      <c r="X87" s="263">
        <v>0</v>
      </c>
      <c r="Y87" s="263">
        <v>9.375E-2</v>
      </c>
      <c r="Z87" s="263">
        <v>3.2258064516129031E-2</v>
      </c>
      <c r="AA87" s="263">
        <v>0</v>
      </c>
      <c r="AB87" s="263">
        <v>2.5000000000000001E-2</v>
      </c>
      <c r="AC87" s="263">
        <v>2.5000000000000001E-2</v>
      </c>
      <c r="AD87" s="263">
        <v>4.6511627906976737E-2</v>
      </c>
      <c r="AE87" s="263">
        <v>0</v>
      </c>
      <c r="AF87" s="263">
        <v>0</v>
      </c>
      <c r="AG87" s="263">
        <v>2.564102564102564E-2</v>
      </c>
      <c r="AH87" s="264">
        <v>0</v>
      </c>
    </row>
    <row r="88" spans="2:34">
      <c r="B88" s="196" t="s">
        <v>332</v>
      </c>
      <c r="C88" s="252">
        <v>2.17767023850674E-2</v>
      </c>
      <c r="D88" s="259">
        <v>3.4482758620689648E-2</v>
      </c>
      <c r="E88" s="260">
        <v>6.8965517241379309E-2</v>
      </c>
      <c r="F88" s="260">
        <v>0</v>
      </c>
      <c r="G88" s="260">
        <v>5.2631578947368418E-2</v>
      </c>
      <c r="H88" s="260">
        <v>0</v>
      </c>
      <c r="I88" s="260">
        <v>7.1428571428571425E-2</v>
      </c>
      <c r="J88" s="260">
        <v>0</v>
      </c>
      <c r="K88" s="260">
        <v>4.2553191489361701E-2</v>
      </c>
      <c r="L88" s="260">
        <v>0</v>
      </c>
      <c r="M88" s="260">
        <v>9.5238095238095233E-2</v>
      </c>
      <c r="N88" s="260">
        <v>0</v>
      </c>
      <c r="O88" s="260">
        <v>4.6511627906976737E-2</v>
      </c>
      <c r="P88" s="260">
        <v>0</v>
      </c>
      <c r="Q88" s="260">
        <v>0</v>
      </c>
      <c r="R88" s="260">
        <v>0.06</v>
      </c>
      <c r="S88" s="260">
        <v>2.0833333333333329E-2</v>
      </c>
      <c r="T88" s="260">
        <v>1.785714285714286E-2</v>
      </c>
      <c r="U88" s="260">
        <v>0</v>
      </c>
      <c r="V88" s="260">
        <v>1.149425287356322E-2</v>
      </c>
      <c r="W88" s="260">
        <v>0</v>
      </c>
      <c r="X88" s="260">
        <v>1.503759398496241E-2</v>
      </c>
      <c r="Y88" s="260">
        <v>1.324503311258278E-2</v>
      </c>
      <c r="Z88" s="260">
        <v>2.4844720496894412E-2</v>
      </c>
      <c r="AA88" s="260">
        <v>5.7142857142857143E-3</v>
      </c>
      <c r="AB88" s="260">
        <v>3.9603960396039598E-2</v>
      </c>
      <c r="AC88" s="260">
        <v>0.03</v>
      </c>
      <c r="AD88" s="260">
        <v>6.5989847715736044E-2</v>
      </c>
      <c r="AE88" s="260">
        <v>1.11731843575419E-2</v>
      </c>
      <c r="AF88" s="260">
        <v>0</v>
      </c>
      <c r="AG88" s="260">
        <v>5.9523809523809521E-3</v>
      </c>
      <c r="AH88" s="261">
        <v>1.183431952662722E-2</v>
      </c>
    </row>
    <row r="89" spans="2:34">
      <c r="B89" s="87" t="s">
        <v>333</v>
      </c>
      <c r="C89" s="253">
        <v>6.7226890756302518E-2</v>
      </c>
      <c r="D89" s="262">
        <v>0.33333333333333331</v>
      </c>
      <c r="E89" s="263">
        <v>0</v>
      </c>
      <c r="F89" s="263">
        <v>0</v>
      </c>
      <c r="G89" s="263">
        <v>0</v>
      </c>
      <c r="H89" s="263">
        <v>0</v>
      </c>
      <c r="I89" s="263">
        <v>0</v>
      </c>
      <c r="J89" s="263">
        <v>0</v>
      </c>
      <c r="K89" s="263">
        <v>0</v>
      </c>
      <c r="L89" s="263">
        <v>0</v>
      </c>
      <c r="M89" s="263">
        <v>0</v>
      </c>
      <c r="N89" s="263">
        <v>0</v>
      </c>
      <c r="O89" s="263">
        <v>0</v>
      </c>
      <c r="P89" s="263">
        <v>0.2</v>
      </c>
      <c r="Q89" s="263">
        <v>0</v>
      </c>
      <c r="R89" s="263">
        <v>0</v>
      </c>
      <c r="S89" s="263">
        <v>0</v>
      </c>
      <c r="T89" s="263">
        <v>0.25</v>
      </c>
      <c r="U89" s="263">
        <v>0</v>
      </c>
      <c r="V89" s="263">
        <v>0.6</v>
      </c>
      <c r="W89" s="263">
        <v>0</v>
      </c>
      <c r="X89" s="263">
        <v>0</v>
      </c>
      <c r="Y89" s="263">
        <v>0</v>
      </c>
      <c r="Z89" s="263" t="s">
        <v>237</v>
      </c>
      <c r="AA89" s="263" t="s">
        <v>237</v>
      </c>
      <c r="AB89" s="263" t="s">
        <v>237</v>
      </c>
      <c r="AC89" s="263">
        <v>0</v>
      </c>
      <c r="AD89" s="263">
        <v>0</v>
      </c>
      <c r="AE89" s="263">
        <v>0</v>
      </c>
      <c r="AF89" s="263">
        <v>0</v>
      </c>
      <c r="AG89" s="263">
        <v>0</v>
      </c>
      <c r="AH89" s="264">
        <v>0</v>
      </c>
    </row>
    <row r="90" spans="2:34">
      <c r="B90" s="196" t="s">
        <v>334</v>
      </c>
      <c r="C90" s="252">
        <v>6.5281899109792291E-2</v>
      </c>
      <c r="D90" s="259">
        <v>0</v>
      </c>
      <c r="E90" s="260">
        <v>0.16666666666666671</v>
      </c>
      <c r="F90" s="260">
        <v>0</v>
      </c>
      <c r="G90" s="260">
        <v>0.33333333333333331</v>
      </c>
      <c r="H90" s="260">
        <v>0.2</v>
      </c>
      <c r="I90" s="260">
        <v>0</v>
      </c>
      <c r="J90" s="260">
        <v>0.16666666666666671</v>
      </c>
      <c r="K90" s="260">
        <v>0</v>
      </c>
      <c r="L90" s="260">
        <v>0.66666666666666663</v>
      </c>
      <c r="M90" s="260">
        <v>0</v>
      </c>
      <c r="N90" s="260">
        <v>0</v>
      </c>
      <c r="O90" s="260">
        <v>0</v>
      </c>
      <c r="P90" s="260">
        <v>0</v>
      </c>
      <c r="Q90" s="260">
        <v>0</v>
      </c>
      <c r="R90" s="260">
        <v>0</v>
      </c>
      <c r="S90" s="260">
        <v>0</v>
      </c>
      <c r="T90" s="260">
        <v>0</v>
      </c>
      <c r="U90" s="260">
        <v>0</v>
      </c>
      <c r="V90" s="260">
        <v>0</v>
      </c>
      <c r="W90" s="260">
        <v>0</v>
      </c>
      <c r="X90" s="260">
        <v>6.6666666666666666E-2</v>
      </c>
      <c r="Y90" s="260">
        <v>0</v>
      </c>
      <c r="Z90" s="260">
        <v>0.12</v>
      </c>
      <c r="AA90" s="260">
        <v>0</v>
      </c>
      <c r="AB90" s="260">
        <v>7.407407407407407E-2</v>
      </c>
      <c r="AC90" s="260">
        <v>0.1071428571428571</v>
      </c>
      <c r="AD90" s="260">
        <v>0.20833333333333329</v>
      </c>
      <c r="AE90" s="260">
        <v>0.05</v>
      </c>
      <c r="AF90" s="260">
        <v>0</v>
      </c>
      <c r="AG90" s="260">
        <v>0</v>
      </c>
      <c r="AH90" s="261">
        <v>0</v>
      </c>
    </row>
    <row r="91" spans="2:34">
      <c r="B91" s="87" t="s">
        <v>335</v>
      </c>
      <c r="C91" s="253">
        <v>7.048192771084337E-2</v>
      </c>
      <c r="D91" s="262" t="s">
        <v>237</v>
      </c>
      <c r="E91" s="263" t="s">
        <v>237</v>
      </c>
      <c r="F91" s="263">
        <v>0.2</v>
      </c>
      <c r="G91" s="263">
        <v>0</v>
      </c>
      <c r="H91" s="263">
        <v>0</v>
      </c>
      <c r="I91" s="263">
        <v>0</v>
      </c>
      <c r="J91" s="263">
        <v>0</v>
      </c>
      <c r="K91" s="263">
        <v>0</v>
      </c>
      <c r="L91" s="263">
        <v>0</v>
      </c>
      <c r="M91" s="263">
        <v>0</v>
      </c>
      <c r="N91" s="263">
        <v>0</v>
      </c>
      <c r="O91" s="263">
        <v>0</v>
      </c>
      <c r="P91" s="263">
        <v>0</v>
      </c>
      <c r="Q91" s="263">
        <v>0</v>
      </c>
      <c r="R91" s="263">
        <v>3.2258064516129031E-2</v>
      </c>
      <c r="S91" s="263">
        <v>4.4117647058823532E-2</v>
      </c>
      <c r="T91" s="263">
        <v>6.8493150684931503E-2</v>
      </c>
      <c r="U91" s="263">
        <v>1.3513513513513511E-2</v>
      </c>
      <c r="V91" s="263">
        <v>0</v>
      </c>
      <c r="W91" s="263">
        <v>3.0612244897959179E-2</v>
      </c>
      <c r="X91" s="263">
        <v>0.12</v>
      </c>
      <c r="Y91" s="263">
        <v>0.1212121212121212</v>
      </c>
      <c r="Z91" s="263">
        <v>4.878048780487805E-2</v>
      </c>
      <c r="AA91" s="263">
        <v>0</v>
      </c>
      <c r="AB91" s="263">
        <v>1.149425287356322E-2</v>
      </c>
      <c r="AC91" s="263">
        <v>7.3684210526315783E-2</v>
      </c>
      <c r="AD91" s="263">
        <v>0.2</v>
      </c>
      <c r="AE91" s="263">
        <v>0</v>
      </c>
      <c r="AF91" s="263">
        <v>0.39603960396039611</v>
      </c>
      <c r="AG91" s="263">
        <v>3.7037037037037028E-2</v>
      </c>
      <c r="AH91" s="264">
        <v>3.5087719298245612E-2</v>
      </c>
    </row>
    <row r="92" spans="2:34">
      <c r="B92" s="196" t="s">
        <v>336</v>
      </c>
      <c r="C92" s="252">
        <v>3.9603960396039598E-2</v>
      </c>
      <c r="D92" s="259">
        <v>0</v>
      </c>
      <c r="E92" s="260">
        <v>0</v>
      </c>
      <c r="F92" s="260">
        <v>0</v>
      </c>
      <c r="G92" s="260">
        <v>0</v>
      </c>
      <c r="H92" s="260">
        <v>0</v>
      </c>
      <c r="I92" s="260">
        <v>0.16666666666666671</v>
      </c>
      <c r="J92" s="260">
        <v>0.14285714285714279</v>
      </c>
      <c r="K92" s="260">
        <v>0</v>
      </c>
      <c r="L92" s="260">
        <v>0</v>
      </c>
      <c r="M92" s="260">
        <v>0</v>
      </c>
      <c r="N92" s="260">
        <v>0</v>
      </c>
      <c r="O92" s="260">
        <v>0</v>
      </c>
      <c r="P92" s="260">
        <v>0.33333333333333331</v>
      </c>
      <c r="Q92" s="260">
        <v>0</v>
      </c>
      <c r="R92" s="260">
        <v>6.6666666666666666E-2</v>
      </c>
      <c r="S92" s="260">
        <v>0</v>
      </c>
      <c r="T92" s="260">
        <v>0.1875</v>
      </c>
      <c r="U92" s="260">
        <v>0</v>
      </c>
      <c r="V92" s="260">
        <v>0.10526315789473679</v>
      </c>
      <c r="W92" s="260">
        <v>0</v>
      </c>
      <c r="X92" s="260">
        <v>0</v>
      </c>
      <c r="Y92" s="260">
        <v>0</v>
      </c>
      <c r="Z92" s="260">
        <v>0</v>
      </c>
      <c r="AA92" s="260">
        <v>0.10344827586206901</v>
      </c>
      <c r="AB92" s="260">
        <v>0</v>
      </c>
      <c r="AC92" s="260">
        <v>6.0606060606060608E-2</v>
      </c>
      <c r="AD92" s="260">
        <v>2.777777777777778E-2</v>
      </c>
      <c r="AE92" s="260">
        <v>7.8947368421052627E-2</v>
      </c>
      <c r="AF92" s="260">
        <v>0</v>
      </c>
      <c r="AG92" s="260">
        <v>3.125E-2</v>
      </c>
      <c r="AH92" s="261">
        <v>0</v>
      </c>
    </row>
    <row r="93" spans="2:34">
      <c r="B93" s="87" t="s">
        <v>337</v>
      </c>
      <c r="C93" s="253">
        <v>2.2151898734177219E-2</v>
      </c>
      <c r="D93" s="262">
        <v>0</v>
      </c>
      <c r="E93" s="263">
        <v>0.33333333333333331</v>
      </c>
      <c r="F93" s="263">
        <v>0</v>
      </c>
      <c r="G93" s="263">
        <v>0</v>
      </c>
      <c r="H93" s="263">
        <v>0.2</v>
      </c>
      <c r="I93" s="263">
        <v>0</v>
      </c>
      <c r="J93" s="263">
        <v>0</v>
      </c>
      <c r="K93" s="263">
        <v>0</v>
      </c>
      <c r="L93" s="263">
        <v>0.6</v>
      </c>
      <c r="M93" s="263">
        <v>0.33333333333333331</v>
      </c>
      <c r="N93" s="263">
        <v>0</v>
      </c>
      <c r="O93" s="263">
        <v>0</v>
      </c>
      <c r="P93" s="263">
        <v>0.5</v>
      </c>
      <c r="Q93" s="263">
        <v>0</v>
      </c>
      <c r="R93" s="263">
        <v>0</v>
      </c>
      <c r="S93" s="263">
        <v>0</v>
      </c>
      <c r="T93" s="263">
        <v>0</v>
      </c>
      <c r="U93" s="263">
        <v>0</v>
      </c>
      <c r="V93" s="263">
        <v>0</v>
      </c>
      <c r="W93" s="263">
        <v>0</v>
      </c>
      <c r="X93" s="263">
        <v>0</v>
      </c>
      <c r="Y93" s="263">
        <v>0</v>
      </c>
      <c r="Z93" s="263">
        <v>0</v>
      </c>
      <c r="AA93" s="263">
        <v>0</v>
      </c>
      <c r="AB93" s="263">
        <v>0</v>
      </c>
      <c r="AC93" s="263">
        <v>0</v>
      </c>
      <c r="AD93" s="263">
        <v>0</v>
      </c>
      <c r="AE93" s="263">
        <v>0</v>
      </c>
      <c r="AF93" s="263">
        <v>0</v>
      </c>
      <c r="AG93" s="263">
        <v>0</v>
      </c>
      <c r="AH93" s="264">
        <v>0</v>
      </c>
    </row>
    <row r="94" spans="2:34">
      <c r="B94" s="196" t="s">
        <v>338</v>
      </c>
      <c r="C94" s="252">
        <v>5.0890585241730277E-2</v>
      </c>
      <c r="D94" s="259">
        <v>0</v>
      </c>
      <c r="E94" s="260">
        <v>0</v>
      </c>
      <c r="F94" s="260">
        <v>0</v>
      </c>
      <c r="G94" s="260">
        <v>0</v>
      </c>
      <c r="H94" s="260">
        <v>0</v>
      </c>
      <c r="I94" s="260">
        <v>0.5</v>
      </c>
      <c r="J94" s="260">
        <v>0</v>
      </c>
      <c r="K94" s="260">
        <v>0</v>
      </c>
      <c r="L94" s="260">
        <v>0</v>
      </c>
      <c r="M94" s="260">
        <v>0</v>
      </c>
      <c r="N94" s="260">
        <v>0</v>
      </c>
      <c r="O94" s="260">
        <v>0</v>
      </c>
      <c r="P94" s="260">
        <v>0.16666666666666671</v>
      </c>
      <c r="Q94" s="260">
        <v>0.1</v>
      </c>
      <c r="R94" s="260">
        <v>0.2</v>
      </c>
      <c r="S94" s="260">
        <v>8.3333333333333329E-2</v>
      </c>
      <c r="T94" s="260">
        <v>0.46153846153846162</v>
      </c>
      <c r="U94" s="260">
        <v>0</v>
      </c>
      <c r="V94" s="260">
        <v>0</v>
      </c>
      <c r="W94" s="260">
        <v>4.5454545454545463E-2</v>
      </c>
      <c r="X94" s="260">
        <v>0</v>
      </c>
      <c r="Y94" s="260">
        <v>0</v>
      </c>
      <c r="Z94" s="260">
        <v>0</v>
      </c>
      <c r="AA94" s="260">
        <v>0.125</v>
      </c>
      <c r="AB94" s="260">
        <v>0</v>
      </c>
      <c r="AC94" s="260">
        <v>0</v>
      </c>
      <c r="AD94" s="260">
        <v>0</v>
      </c>
      <c r="AE94" s="260">
        <v>4.1666666666666657E-2</v>
      </c>
      <c r="AF94" s="260">
        <v>5.8823529411764712E-2</v>
      </c>
      <c r="AG94" s="260">
        <v>2.222222222222222E-2</v>
      </c>
      <c r="AH94" s="261">
        <v>1.666666666666667E-2</v>
      </c>
    </row>
    <row r="95" spans="2:34">
      <c r="B95" s="87" t="s">
        <v>339</v>
      </c>
      <c r="C95" s="253">
        <v>6.0606060606060608E-2</v>
      </c>
      <c r="D95" s="262">
        <v>0.1</v>
      </c>
      <c r="E95" s="263">
        <v>0.3</v>
      </c>
      <c r="F95" s="263">
        <v>0</v>
      </c>
      <c r="G95" s="263">
        <v>0</v>
      </c>
      <c r="H95" s="263">
        <v>0</v>
      </c>
      <c r="I95" s="263">
        <v>0</v>
      </c>
      <c r="J95" s="263">
        <v>0</v>
      </c>
      <c r="K95" s="263">
        <v>0</v>
      </c>
      <c r="L95" s="263">
        <v>0.2</v>
      </c>
      <c r="M95" s="263">
        <v>0</v>
      </c>
      <c r="N95" s="263">
        <v>0</v>
      </c>
      <c r="O95" s="263">
        <v>0</v>
      </c>
      <c r="P95" s="263">
        <v>0.16666666666666671</v>
      </c>
      <c r="Q95" s="263">
        <v>0</v>
      </c>
      <c r="R95" s="263">
        <v>0</v>
      </c>
      <c r="S95" s="263">
        <v>0</v>
      </c>
      <c r="T95" s="263">
        <v>0</v>
      </c>
      <c r="U95" s="263">
        <v>0</v>
      </c>
      <c r="V95" s="263">
        <v>0</v>
      </c>
      <c r="W95" s="263">
        <v>0</v>
      </c>
      <c r="X95" s="263">
        <v>0</v>
      </c>
      <c r="Y95" s="263">
        <v>0</v>
      </c>
      <c r="Z95" s="263">
        <v>0</v>
      </c>
      <c r="AA95" s="263">
        <v>0</v>
      </c>
      <c r="AB95" s="263">
        <v>0</v>
      </c>
      <c r="AC95" s="263">
        <v>1</v>
      </c>
      <c r="AD95" s="263" t="s">
        <v>237</v>
      </c>
      <c r="AE95" s="263" t="s">
        <v>237</v>
      </c>
      <c r="AF95" s="263" t="s">
        <v>237</v>
      </c>
      <c r="AG95" s="263" t="s">
        <v>237</v>
      </c>
      <c r="AH95" s="264" t="s">
        <v>237</v>
      </c>
    </row>
    <row r="96" spans="2:34">
      <c r="B96" s="196" t="s">
        <v>340</v>
      </c>
      <c r="C96" s="252">
        <v>3.1982942430703633E-2</v>
      </c>
      <c r="D96" s="259" t="s">
        <v>237</v>
      </c>
      <c r="E96" s="260">
        <v>0</v>
      </c>
      <c r="F96" s="260">
        <v>0</v>
      </c>
      <c r="G96" s="260">
        <v>0</v>
      </c>
      <c r="H96" s="260">
        <v>0.14285714285714279</v>
      </c>
      <c r="I96" s="260">
        <v>0</v>
      </c>
      <c r="J96" s="260">
        <v>0.125</v>
      </c>
      <c r="K96" s="260">
        <v>0.33333333333333331</v>
      </c>
      <c r="L96" s="260">
        <v>0</v>
      </c>
      <c r="M96" s="260">
        <v>0.2</v>
      </c>
      <c r="N96" s="260">
        <v>0</v>
      </c>
      <c r="O96" s="260">
        <v>0</v>
      </c>
      <c r="P96" s="260">
        <v>0</v>
      </c>
      <c r="Q96" s="260">
        <v>0.14285714285714279</v>
      </c>
      <c r="R96" s="260">
        <v>0.1111111111111111</v>
      </c>
      <c r="S96" s="260">
        <v>0</v>
      </c>
      <c r="T96" s="260">
        <v>0</v>
      </c>
      <c r="U96" s="260">
        <v>0.14285714285714279</v>
      </c>
      <c r="V96" s="260">
        <v>0</v>
      </c>
      <c r="W96" s="260">
        <v>4.1666666666666657E-2</v>
      </c>
      <c r="X96" s="260">
        <v>8.6956521739130432E-2</v>
      </c>
      <c r="Y96" s="260">
        <v>0</v>
      </c>
      <c r="Z96" s="260">
        <v>0</v>
      </c>
      <c r="AA96" s="260">
        <v>0</v>
      </c>
      <c r="AB96" s="260">
        <v>0</v>
      </c>
      <c r="AC96" s="260">
        <v>0</v>
      </c>
      <c r="AD96" s="260">
        <v>0</v>
      </c>
      <c r="AE96" s="260">
        <v>0</v>
      </c>
      <c r="AF96" s="260">
        <v>2.4390243902439029E-2</v>
      </c>
      <c r="AG96" s="260">
        <v>0</v>
      </c>
      <c r="AH96" s="261">
        <v>1.9230769230769228E-2</v>
      </c>
    </row>
    <row r="97" spans="2:34">
      <c r="B97" s="87" t="s">
        <v>341</v>
      </c>
      <c r="C97" s="253">
        <v>2.1276595744680851E-2</v>
      </c>
      <c r="D97" s="262" t="s">
        <v>237</v>
      </c>
      <c r="E97" s="263" t="s">
        <v>237</v>
      </c>
      <c r="F97" s="263" t="s">
        <v>237</v>
      </c>
      <c r="G97" s="263" t="s">
        <v>237</v>
      </c>
      <c r="H97" s="263" t="s">
        <v>237</v>
      </c>
      <c r="I97" s="263" t="s">
        <v>237</v>
      </c>
      <c r="J97" s="263" t="s">
        <v>237</v>
      </c>
      <c r="K97" s="263" t="s">
        <v>237</v>
      </c>
      <c r="L97" s="263" t="s">
        <v>237</v>
      </c>
      <c r="M97" s="263" t="s">
        <v>237</v>
      </c>
      <c r="N97" s="263" t="s">
        <v>237</v>
      </c>
      <c r="O97" s="263" t="s">
        <v>237</v>
      </c>
      <c r="P97" s="263">
        <v>0</v>
      </c>
      <c r="Q97" s="263">
        <v>0</v>
      </c>
      <c r="R97" s="263">
        <v>0</v>
      </c>
      <c r="S97" s="263">
        <v>0</v>
      </c>
      <c r="T97" s="263">
        <v>0.1111111111111111</v>
      </c>
      <c r="U97" s="263">
        <v>0.15384615384615391</v>
      </c>
      <c r="V97" s="263">
        <v>0</v>
      </c>
      <c r="W97" s="263">
        <v>0</v>
      </c>
      <c r="X97" s="263">
        <v>0</v>
      </c>
      <c r="Y97" s="263">
        <v>0</v>
      </c>
      <c r="Z97" s="263">
        <v>0</v>
      </c>
      <c r="AA97" s="263">
        <v>0</v>
      </c>
      <c r="AB97" s="263">
        <v>7.6923076923076927E-2</v>
      </c>
      <c r="AC97" s="263">
        <v>0</v>
      </c>
      <c r="AD97" s="263">
        <v>0</v>
      </c>
      <c r="AE97" s="263">
        <v>5.5555555555555552E-2</v>
      </c>
      <c r="AF97" s="263">
        <v>0</v>
      </c>
      <c r="AG97" s="263">
        <v>0</v>
      </c>
      <c r="AH97" s="264">
        <v>0</v>
      </c>
    </row>
    <row r="98" spans="2:34">
      <c r="B98" s="196" t="s">
        <v>342</v>
      </c>
      <c r="C98" s="252">
        <v>2.2648083623693381E-2</v>
      </c>
      <c r="D98" s="259" t="s">
        <v>237</v>
      </c>
      <c r="E98" s="260" t="s">
        <v>237</v>
      </c>
      <c r="F98" s="260" t="s">
        <v>237</v>
      </c>
      <c r="G98" s="260" t="s">
        <v>237</v>
      </c>
      <c r="H98" s="260">
        <v>0</v>
      </c>
      <c r="I98" s="260">
        <v>0</v>
      </c>
      <c r="J98" s="260">
        <v>0</v>
      </c>
      <c r="K98" s="260">
        <v>0</v>
      </c>
      <c r="L98" s="260">
        <v>0.15384615384615391</v>
      </c>
      <c r="M98" s="260">
        <v>7.6923076923076927E-2</v>
      </c>
      <c r="N98" s="260">
        <v>7.6923076923076927E-2</v>
      </c>
      <c r="O98" s="260">
        <v>7.6923076923076927E-2</v>
      </c>
      <c r="P98" s="260">
        <v>8.3333333333333329E-2</v>
      </c>
      <c r="Q98" s="260">
        <v>7.6923076923076927E-2</v>
      </c>
      <c r="R98" s="260">
        <v>0</v>
      </c>
      <c r="S98" s="260">
        <v>0</v>
      </c>
      <c r="T98" s="260">
        <v>0.04</v>
      </c>
      <c r="U98" s="260">
        <v>0</v>
      </c>
      <c r="V98" s="260">
        <v>3.4482758620689648E-2</v>
      </c>
      <c r="W98" s="260">
        <v>5.2631578947368418E-2</v>
      </c>
      <c r="X98" s="260">
        <v>2.564102564102564E-2</v>
      </c>
      <c r="Y98" s="260">
        <v>2.6315789473684209E-2</v>
      </c>
      <c r="Z98" s="260">
        <v>2.3255813953488368E-2</v>
      </c>
      <c r="AA98" s="260">
        <v>3.7974683544303799E-2</v>
      </c>
      <c r="AB98" s="260">
        <v>2.4390243902439029E-2</v>
      </c>
      <c r="AC98" s="260">
        <v>0</v>
      </c>
      <c r="AD98" s="260">
        <v>0</v>
      </c>
      <c r="AE98" s="260">
        <v>1.041666666666667E-2</v>
      </c>
      <c r="AF98" s="260">
        <v>0</v>
      </c>
      <c r="AG98" s="260">
        <v>2.6785714285714281E-2</v>
      </c>
      <c r="AH98" s="261">
        <v>2.5000000000000001E-2</v>
      </c>
    </row>
    <row r="99" spans="2:34">
      <c r="B99" s="87" t="s">
        <v>343</v>
      </c>
      <c r="C99" s="253">
        <v>7.4358974358974358E-2</v>
      </c>
      <c r="D99" s="262">
        <v>0</v>
      </c>
      <c r="E99" s="263">
        <v>0.33333333333333331</v>
      </c>
      <c r="F99" s="263">
        <v>0.2</v>
      </c>
      <c r="G99" s="263">
        <v>0</v>
      </c>
      <c r="H99" s="263">
        <v>0</v>
      </c>
      <c r="I99" s="263">
        <v>0.16666666666666671</v>
      </c>
      <c r="J99" s="263">
        <v>0</v>
      </c>
      <c r="K99" s="263">
        <v>0.1</v>
      </c>
      <c r="L99" s="263">
        <v>0</v>
      </c>
      <c r="M99" s="263">
        <v>0.1111111111111111</v>
      </c>
      <c r="N99" s="263">
        <v>0.1818181818181818</v>
      </c>
      <c r="O99" s="263">
        <v>0.3</v>
      </c>
      <c r="P99" s="263">
        <v>0.1</v>
      </c>
      <c r="Q99" s="263">
        <v>0</v>
      </c>
      <c r="R99" s="263">
        <v>0.1</v>
      </c>
      <c r="S99" s="263">
        <v>7.6923076923076927E-2</v>
      </c>
      <c r="T99" s="263">
        <v>0</v>
      </c>
      <c r="U99" s="263">
        <v>5.5555555555555552E-2</v>
      </c>
      <c r="V99" s="263">
        <v>0.1176470588235294</v>
      </c>
      <c r="W99" s="263">
        <v>0</v>
      </c>
      <c r="X99" s="263">
        <v>0</v>
      </c>
      <c r="Y99" s="263">
        <v>5.8823529411764712E-2</v>
      </c>
      <c r="Z99" s="263">
        <v>0.10526315789473679</v>
      </c>
      <c r="AA99" s="263">
        <v>5.2631578947368418E-2</v>
      </c>
      <c r="AB99" s="263">
        <v>0</v>
      </c>
      <c r="AC99" s="263">
        <v>0.05</v>
      </c>
      <c r="AD99" s="263">
        <v>0.17391304347826089</v>
      </c>
      <c r="AE99" s="263">
        <v>5.5555555555555552E-2</v>
      </c>
      <c r="AF99" s="263">
        <v>0</v>
      </c>
      <c r="AG99" s="263">
        <v>5.2631578947368418E-2</v>
      </c>
      <c r="AH99" s="264">
        <v>5.5555555555555552E-2</v>
      </c>
    </row>
    <row r="100" spans="2:34" ht="15" thickBot="1">
      <c r="B100" s="309" t="s">
        <v>344</v>
      </c>
      <c r="C100" s="315">
        <v>6.8421052631578952E-2</v>
      </c>
      <c r="D100" s="311">
        <v>5.2631578947368418E-2</v>
      </c>
      <c r="E100" s="312">
        <v>0.05</v>
      </c>
      <c r="F100" s="312">
        <v>0</v>
      </c>
      <c r="G100" s="312">
        <v>5.5555555555555552E-2</v>
      </c>
      <c r="H100" s="312">
        <v>0</v>
      </c>
      <c r="I100" s="312">
        <v>0.1</v>
      </c>
      <c r="J100" s="312">
        <v>0</v>
      </c>
      <c r="K100" s="312">
        <v>0</v>
      </c>
      <c r="L100" s="312">
        <v>0.16666666666666671</v>
      </c>
      <c r="M100" s="312">
        <v>0</v>
      </c>
      <c r="N100" s="312">
        <v>0</v>
      </c>
      <c r="O100" s="312">
        <v>0.4</v>
      </c>
      <c r="P100" s="312">
        <v>0</v>
      </c>
      <c r="Q100" s="312">
        <v>0</v>
      </c>
      <c r="R100" s="312">
        <v>0</v>
      </c>
      <c r="S100" s="312">
        <v>0.5</v>
      </c>
      <c r="T100" s="312">
        <v>0</v>
      </c>
      <c r="U100" s="312">
        <v>0</v>
      </c>
      <c r="V100" s="312">
        <v>0.33333333333333331</v>
      </c>
      <c r="W100" s="312">
        <v>0</v>
      </c>
      <c r="X100" s="312">
        <v>0</v>
      </c>
      <c r="Y100" s="312">
        <v>0.25</v>
      </c>
      <c r="Z100" s="312">
        <v>0.25</v>
      </c>
      <c r="AA100" s="312">
        <v>0.33333333333333331</v>
      </c>
      <c r="AB100" s="312">
        <v>0</v>
      </c>
      <c r="AC100" s="312">
        <v>0.25</v>
      </c>
      <c r="AD100" s="312">
        <v>0</v>
      </c>
      <c r="AE100" s="312">
        <v>0</v>
      </c>
      <c r="AF100" s="312">
        <v>0</v>
      </c>
      <c r="AG100" s="312">
        <v>0</v>
      </c>
      <c r="AH100" s="313">
        <v>0</v>
      </c>
    </row>
    <row r="101" spans="2:34" hidden="1" outlineLevel="1">
      <c r="B101" s="143">
        <v>0</v>
      </c>
      <c r="C101" s="255">
        <v>0</v>
      </c>
      <c r="D101" s="285" t="s">
        <v>237</v>
      </c>
      <c r="E101" s="286" t="s">
        <v>237</v>
      </c>
      <c r="F101" s="286" t="s">
        <v>237</v>
      </c>
      <c r="G101" s="286" t="s">
        <v>237</v>
      </c>
      <c r="H101" s="286" t="s">
        <v>237</v>
      </c>
      <c r="I101" s="286" t="s">
        <v>237</v>
      </c>
      <c r="J101" s="286" t="s">
        <v>237</v>
      </c>
      <c r="K101" s="286" t="s">
        <v>237</v>
      </c>
      <c r="L101" s="286" t="s">
        <v>237</v>
      </c>
      <c r="M101" s="286" t="s">
        <v>237</v>
      </c>
      <c r="N101" s="286" t="s">
        <v>237</v>
      </c>
      <c r="O101" s="286" t="s">
        <v>237</v>
      </c>
      <c r="P101" s="286" t="s">
        <v>237</v>
      </c>
      <c r="Q101" s="286" t="s">
        <v>237</v>
      </c>
      <c r="R101" s="286" t="s">
        <v>237</v>
      </c>
      <c r="S101" s="286" t="s">
        <v>237</v>
      </c>
      <c r="T101" s="286" t="s">
        <v>237</v>
      </c>
      <c r="U101" s="286" t="s">
        <v>237</v>
      </c>
      <c r="V101" s="286" t="s">
        <v>237</v>
      </c>
      <c r="W101" s="286" t="s">
        <v>237</v>
      </c>
      <c r="X101" s="286" t="s">
        <v>237</v>
      </c>
      <c r="Y101" s="286" t="s">
        <v>237</v>
      </c>
      <c r="Z101" s="286" t="s">
        <v>237</v>
      </c>
      <c r="AA101" s="286" t="s">
        <v>237</v>
      </c>
      <c r="AB101" s="286" t="s">
        <v>237</v>
      </c>
      <c r="AC101" s="286" t="s">
        <v>237</v>
      </c>
      <c r="AD101" s="286" t="s">
        <v>237</v>
      </c>
      <c r="AE101" s="286" t="s">
        <v>237</v>
      </c>
      <c r="AF101" s="286" t="s">
        <v>237</v>
      </c>
      <c r="AG101" s="286" t="s">
        <v>237</v>
      </c>
      <c r="AH101" s="286" t="s">
        <v>237</v>
      </c>
    </row>
    <row r="102" spans="2:34" hidden="1" outlineLevel="1">
      <c r="B102" s="87">
        <v>0</v>
      </c>
      <c r="C102" s="253">
        <v>0</v>
      </c>
      <c r="D102" s="262" t="s">
        <v>237</v>
      </c>
      <c r="E102" s="263" t="s">
        <v>237</v>
      </c>
      <c r="F102" s="263" t="s">
        <v>237</v>
      </c>
      <c r="G102" s="263" t="s">
        <v>237</v>
      </c>
      <c r="H102" s="263" t="s">
        <v>237</v>
      </c>
      <c r="I102" s="263" t="s">
        <v>237</v>
      </c>
      <c r="J102" s="263" t="s">
        <v>237</v>
      </c>
      <c r="K102" s="263" t="s">
        <v>237</v>
      </c>
      <c r="L102" s="263" t="s">
        <v>237</v>
      </c>
      <c r="M102" s="263" t="s">
        <v>237</v>
      </c>
      <c r="N102" s="263" t="s">
        <v>237</v>
      </c>
      <c r="O102" s="263" t="s">
        <v>237</v>
      </c>
      <c r="P102" s="263" t="s">
        <v>237</v>
      </c>
      <c r="Q102" s="263" t="s">
        <v>237</v>
      </c>
      <c r="R102" s="263" t="s">
        <v>237</v>
      </c>
      <c r="S102" s="263" t="s">
        <v>237</v>
      </c>
      <c r="T102" s="263" t="s">
        <v>237</v>
      </c>
      <c r="U102" s="263" t="s">
        <v>237</v>
      </c>
      <c r="V102" s="263" t="s">
        <v>237</v>
      </c>
      <c r="W102" s="263" t="s">
        <v>237</v>
      </c>
      <c r="X102" s="263" t="s">
        <v>237</v>
      </c>
      <c r="Y102" s="263" t="s">
        <v>237</v>
      </c>
      <c r="Z102" s="263" t="s">
        <v>237</v>
      </c>
      <c r="AA102" s="263" t="s">
        <v>237</v>
      </c>
      <c r="AB102" s="263" t="s">
        <v>237</v>
      </c>
      <c r="AC102" s="263" t="s">
        <v>237</v>
      </c>
      <c r="AD102" s="263" t="s">
        <v>237</v>
      </c>
      <c r="AE102" s="263" t="s">
        <v>237</v>
      </c>
      <c r="AF102" s="263" t="s">
        <v>237</v>
      </c>
      <c r="AG102" s="263" t="s">
        <v>237</v>
      </c>
      <c r="AH102" s="263" t="s">
        <v>237</v>
      </c>
    </row>
    <row r="103" spans="2:34" hidden="1" outlineLevel="1">
      <c r="B103" s="87">
        <v>0</v>
      </c>
      <c r="C103" s="253">
        <v>0</v>
      </c>
      <c r="D103" s="262" t="s">
        <v>237</v>
      </c>
      <c r="E103" s="263" t="s">
        <v>237</v>
      </c>
      <c r="F103" s="263" t="s">
        <v>237</v>
      </c>
      <c r="G103" s="263" t="s">
        <v>237</v>
      </c>
      <c r="H103" s="263" t="s">
        <v>237</v>
      </c>
      <c r="I103" s="263" t="s">
        <v>237</v>
      </c>
      <c r="J103" s="263" t="s">
        <v>237</v>
      </c>
      <c r="K103" s="263" t="s">
        <v>237</v>
      </c>
      <c r="L103" s="263" t="s">
        <v>237</v>
      </c>
      <c r="M103" s="263" t="s">
        <v>237</v>
      </c>
      <c r="N103" s="263" t="s">
        <v>237</v>
      </c>
      <c r="O103" s="263" t="s">
        <v>237</v>
      </c>
      <c r="P103" s="263" t="s">
        <v>237</v>
      </c>
      <c r="Q103" s="263" t="s">
        <v>237</v>
      </c>
      <c r="R103" s="263" t="s">
        <v>237</v>
      </c>
      <c r="S103" s="263" t="s">
        <v>237</v>
      </c>
      <c r="T103" s="263" t="s">
        <v>237</v>
      </c>
      <c r="U103" s="263" t="s">
        <v>237</v>
      </c>
      <c r="V103" s="263" t="s">
        <v>237</v>
      </c>
      <c r="W103" s="263" t="s">
        <v>237</v>
      </c>
      <c r="X103" s="263" t="s">
        <v>237</v>
      </c>
      <c r="Y103" s="263" t="s">
        <v>237</v>
      </c>
      <c r="Z103" s="263" t="s">
        <v>237</v>
      </c>
      <c r="AA103" s="263" t="s">
        <v>237</v>
      </c>
      <c r="AB103" s="263" t="s">
        <v>237</v>
      </c>
      <c r="AC103" s="263" t="s">
        <v>237</v>
      </c>
      <c r="AD103" s="263" t="s">
        <v>237</v>
      </c>
      <c r="AE103" s="263" t="s">
        <v>237</v>
      </c>
      <c r="AF103" s="263" t="s">
        <v>237</v>
      </c>
      <c r="AG103" s="263" t="s">
        <v>237</v>
      </c>
      <c r="AH103" s="263" t="s">
        <v>237</v>
      </c>
    </row>
    <row r="104" spans="2:34" hidden="1" outlineLevel="1">
      <c r="B104" s="87">
        <v>0</v>
      </c>
      <c r="C104" s="253">
        <v>0</v>
      </c>
      <c r="D104" s="262" t="s">
        <v>237</v>
      </c>
      <c r="E104" s="263" t="s">
        <v>237</v>
      </c>
      <c r="F104" s="263" t="s">
        <v>237</v>
      </c>
      <c r="G104" s="263" t="s">
        <v>237</v>
      </c>
      <c r="H104" s="263" t="s">
        <v>237</v>
      </c>
      <c r="I104" s="263" t="s">
        <v>237</v>
      </c>
      <c r="J104" s="263" t="s">
        <v>237</v>
      </c>
      <c r="K104" s="263" t="s">
        <v>237</v>
      </c>
      <c r="L104" s="263" t="s">
        <v>237</v>
      </c>
      <c r="M104" s="263" t="s">
        <v>237</v>
      </c>
      <c r="N104" s="263" t="s">
        <v>237</v>
      </c>
      <c r="O104" s="263" t="s">
        <v>237</v>
      </c>
      <c r="P104" s="263" t="s">
        <v>237</v>
      </c>
      <c r="Q104" s="263" t="s">
        <v>237</v>
      </c>
      <c r="R104" s="263" t="s">
        <v>237</v>
      </c>
      <c r="S104" s="263" t="s">
        <v>237</v>
      </c>
      <c r="T104" s="263" t="s">
        <v>237</v>
      </c>
      <c r="U104" s="263" t="s">
        <v>237</v>
      </c>
      <c r="V104" s="263" t="s">
        <v>237</v>
      </c>
      <c r="W104" s="263" t="s">
        <v>237</v>
      </c>
      <c r="X104" s="263" t="s">
        <v>237</v>
      </c>
      <c r="Y104" s="263" t="s">
        <v>237</v>
      </c>
      <c r="Z104" s="263" t="s">
        <v>237</v>
      </c>
      <c r="AA104" s="263" t="s">
        <v>237</v>
      </c>
      <c r="AB104" s="263" t="s">
        <v>237</v>
      </c>
      <c r="AC104" s="263" t="s">
        <v>237</v>
      </c>
      <c r="AD104" s="263" t="s">
        <v>237</v>
      </c>
      <c r="AE104" s="263" t="s">
        <v>237</v>
      </c>
      <c r="AF104" s="263" t="s">
        <v>237</v>
      </c>
      <c r="AG104" s="263" t="s">
        <v>237</v>
      </c>
      <c r="AH104" s="263" t="s">
        <v>237</v>
      </c>
    </row>
    <row r="105" spans="2:34" hidden="1" outlineLevel="1">
      <c r="B105" s="87">
        <v>0</v>
      </c>
      <c r="C105" s="253">
        <v>0</v>
      </c>
      <c r="D105" s="262" t="s">
        <v>237</v>
      </c>
      <c r="E105" s="263" t="s">
        <v>237</v>
      </c>
      <c r="F105" s="263" t="s">
        <v>237</v>
      </c>
      <c r="G105" s="263" t="s">
        <v>237</v>
      </c>
      <c r="H105" s="263" t="s">
        <v>237</v>
      </c>
      <c r="I105" s="263" t="s">
        <v>237</v>
      </c>
      <c r="J105" s="263" t="s">
        <v>237</v>
      </c>
      <c r="K105" s="263" t="s">
        <v>237</v>
      </c>
      <c r="L105" s="263" t="s">
        <v>237</v>
      </c>
      <c r="M105" s="263" t="s">
        <v>237</v>
      </c>
      <c r="N105" s="263" t="s">
        <v>237</v>
      </c>
      <c r="O105" s="263" t="s">
        <v>237</v>
      </c>
      <c r="P105" s="263" t="s">
        <v>237</v>
      </c>
      <c r="Q105" s="263" t="s">
        <v>237</v>
      </c>
      <c r="R105" s="263" t="s">
        <v>237</v>
      </c>
      <c r="S105" s="263" t="s">
        <v>237</v>
      </c>
      <c r="T105" s="263" t="s">
        <v>237</v>
      </c>
      <c r="U105" s="263" t="s">
        <v>237</v>
      </c>
      <c r="V105" s="263" t="s">
        <v>237</v>
      </c>
      <c r="W105" s="263" t="s">
        <v>237</v>
      </c>
      <c r="X105" s="263" t="s">
        <v>237</v>
      </c>
      <c r="Y105" s="263" t="s">
        <v>237</v>
      </c>
      <c r="Z105" s="263" t="s">
        <v>237</v>
      </c>
      <c r="AA105" s="263" t="s">
        <v>237</v>
      </c>
      <c r="AB105" s="263" t="s">
        <v>237</v>
      </c>
      <c r="AC105" s="263" t="s">
        <v>237</v>
      </c>
      <c r="AD105" s="263" t="s">
        <v>237</v>
      </c>
      <c r="AE105" s="263" t="s">
        <v>237</v>
      </c>
      <c r="AF105" s="263" t="s">
        <v>237</v>
      </c>
      <c r="AG105" s="263" t="s">
        <v>237</v>
      </c>
      <c r="AH105" s="263" t="s">
        <v>237</v>
      </c>
    </row>
    <row r="106" spans="2:34" hidden="1" outlineLevel="1">
      <c r="B106" s="87">
        <v>0</v>
      </c>
      <c r="C106" s="253">
        <v>0</v>
      </c>
      <c r="D106" s="262" t="s">
        <v>237</v>
      </c>
      <c r="E106" s="263" t="s">
        <v>237</v>
      </c>
      <c r="F106" s="263" t="s">
        <v>237</v>
      </c>
      <c r="G106" s="263" t="s">
        <v>237</v>
      </c>
      <c r="H106" s="263" t="s">
        <v>237</v>
      </c>
      <c r="I106" s="263" t="s">
        <v>237</v>
      </c>
      <c r="J106" s="263" t="s">
        <v>237</v>
      </c>
      <c r="K106" s="263" t="s">
        <v>237</v>
      </c>
      <c r="L106" s="263" t="s">
        <v>237</v>
      </c>
      <c r="M106" s="263" t="s">
        <v>237</v>
      </c>
      <c r="N106" s="263" t="s">
        <v>237</v>
      </c>
      <c r="O106" s="263" t="s">
        <v>237</v>
      </c>
      <c r="P106" s="263" t="s">
        <v>237</v>
      </c>
      <c r="Q106" s="263" t="s">
        <v>237</v>
      </c>
      <c r="R106" s="263" t="s">
        <v>237</v>
      </c>
      <c r="S106" s="263" t="s">
        <v>237</v>
      </c>
      <c r="T106" s="263" t="s">
        <v>237</v>
      </c>
      <c r="U106" s="263" t="s">
        <v>237</v>
      </c>
      <c r="V106" s="263" t="s">
        <v>237</v>
      </c>
      <c r="W106" s="263" t="s">
        <v>237</v>
      </c>
      <c r="X106" s="263" t="s">
        <v>237</v>
      </c>
      <c r="Y106" s="263" t="s">
        <v>237</v>
      </c>
      <c r="Z106" s="263" t="s">
        <v>237</v>
      </c>
      <c r="AA106" s="263" t="s">
        <v>237</v>
      </c>
      <c r="AB106" s="263" t="s">
        <v>237</v>
      </c>
      <c r="AC106" s="263" t="s">
        <v>237</v>
      </c>
      <c r="AD106" s="263" t="s">
        <v>237</v>
      </c>
      <c r="AE106" s="263" t="s">
        <v>237</v>
      </c>
      <c r="AF106" s="263" t="s">
        <v>237</v>
      </c>
      <c r="AG106" s="263" t="s">
        <v>237</v>
      </c>
      <c r="AH106" s="263" t="s">
        <v>237</v>
      </c>
    </row>
    <row r="107" spans="2:34" ht="15" hidden="1" outlineLevel="1" thickBot="1">
      <c r="B107" s="3"/>
      <c r="C107" s="53"/>
      <c r="D107" s="271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</row>
    <row r="108" spans="2:34" ht="43.8" hidden="1" outlineLevel="1" thickBot="1">
      <c r="B108" s="127" t="str">
        <f t="shared" ref="B108:AH108" si="1">B56</f>
        <v>ISO country code</v>
      </c>
      <c r="C108" s="251" t="str">
        <f t="shared" si="1"/>
        <v>Average default rate</v>
      </c>
      <c r="D108" s="272">
        <f t="shared" si="1"/>
        <v>1994</v>
      </c>
      <c r="E108" s="273">
        <f t="shared" si="1"/>
        <v>1995</v>
      </c>
      <c r="F108" s="273">
        <f t="shared" si="1"/>
        <v>1996</v>
      </c>
      <c r="G108" s="273">
        <f t="shared" si="1"/>
        <v>1997</v>
      </c>
      <c r="H108" s="273">
        <f t="shared" si="1"/>
        <v>1998</v>
      </c>
      <c r="I108" s="273">
        <f t="shared" si="1"/>
        <v>1999</v>
      </c>
      <c r="J108" s="273">
        <f t="shared" si="1"/>
        <v>2000</v>
      </c>
      <c r="K108" s="273">
        <f t="shared" si="1"/>
        <v>2001</v>
      </c>
      <c r="L108" s="273">
        <f t="shared" si="1"/>
        <v>2002</v>
      </c>
      <c r="M108" s="273">
        <f t="shared" si="1"/>
        <v>2003</v>
      </c>
      <c r="N108" s="273">
        <f t="shared" si="1"/>
        <v>2004</v>
      </c>
      <c r="O108" s="273">
        <f t="shared" si="1"/>
        <v>2005</v>
      </c>
      <c r="P108" s="273">
        <f t="shared" si="1"/>
        <v>2006</v>
      </c>
      <c r="Q108" s="273">
        <f t="shared" si="1"/>
        <v>2007</v>
      </c>
      <c r="R108" s="273">
        <f t="shared" si="1"/>
        <v>2008</v>
      </c>
      <c r="S108" s="273">
        <f t="shared" si="1"/>
        <v>2009</v>
      </c>
      <c r="T108" s="273">
        <f t="shared" si="1"/>
        <v>2010</v>
      </c>
      <c r="U108" s="273">
        <f t="shared" si="1"/>
        <v>2011</v>
      </c>
      <c r="V108" s="273">
        <f t="shared" si="1"/>
        <v>2012</v>
      </c>
      <c r="W108" s="273">
        <f t="shared" si="1"/>
        <v>2013</v>
      </c>
      <c r="X108" s="273">
        <f t="shared" si="1"/>
        <v>2014</v>
      </c>
      <c r="Y108" s="273">
        <f t="shared" si="1"/>
        <v>2015</v>
      </c>
      <c r="Z108" s="273">
        <f t="shared" si="1"/>
        <v>2016</v>
      </c>
      <c r="AA108" s="273">
        <f t="shared" si="1"/>
        <v>2017</v>
      </c>
      <c r="AB108" s="273">
        <f t="shared" si="1"/>
        <v>2018</v>
      </c>
      <c r="AC108" s="273">
        <f t="shared" si="1"/>
        <v>2019</v>
      </c>
      <c r="AD108" s="273">
        <f t="shared" si="1"/>
        <v>2020</v>
      </c>
      <c r="AE108" s="273">
        <f t="shared" si="1"/>
        <v>2021</v>
      </c>
      <c r="AF108" s="273">
        <f t="shared" si="1"/>
        <v>2022</v>
      </c>
      <c r="AG108" s="273">
        <f t="shared" si="1"/>
        <v>2023</v>
      </c>
      <c r="AH108" s="274">
        <f t="shared" si="1"/>
        <v>2024</v>
      </c>
    </row>
    <row r="109" spans="2:34" hidden="1" outlineLevel="1">
      <c r="B109" s="87">
        <v>0</v>
      </c>
      <c r="C109" s="253">
        <v>0</v>
      </c>
      <c r="D109" s="262" t="s">
        <v>237</v>
      </c>
      <c r="E109" s="263" t="s">
        <v>237</v>
      </c>
      <c r="F109" s="263" t="s">
        <v>237</v>
      </c>
      <c r="G109" s="263" t="s">
        <v>237</v>
      </c>
      <c r="H109" s="263" t="s">
        <v>237</v>
      </c>
      <c r="I109" s="263" t="s">
        <v>237</v>
      </c>
      <c r="J109" s="263" t="s">
        <v>237</v>
      </c>
      <c r="K109" s="263" t="s">
        <v>237</v>
      </c>
      <c r="L109" s="263" t="s">
        <v>237</v>
      </c>
      <c r="M109" s="263" t="s">
        <v>237</v>
      </c>
      <c r="N109" s="263" t="s">
        <v>237</v>
      </c>
      <c r="O109" s="263" t="s">
        <v>237</v>
      </c>
      <c r="P109" s="263" t="s">
        <v>237</v>
      </c>
      <c r="Q109" s="263" t="s">
        <v>237</v>
      </c>
      <c r="R109" s="263" t="s">
        <v>237</v>
      </c>
      <c r="S109" s="263" t="s">
        <v>237</v>
      </c>
      <c r="T109" s="263" t="s">
        <v>237</v>
      </c>
      <c r="U109" s="263" t="s">
        <v>237</v>
      </c>
      <c r="V109" s="263" t="s">
        <v>237</v>
      </c>
      <c r="W109" s="263" t="s">
        <v>237</v>
      </c>
      <c r="X109" s="263" t="s">
        <v>237</v>
      </c>
      <c r="Y109" s="263" t="s">
        <v>237</v>
      </c>
      <c r="Z109" s="263" t="s">
        <v>237</v>
      </c>
      <c r="AA109" s="263" t="s">
        <v>237</v>
      </c>
      <c r="AB109" s="263" t="s">
        <v>237</v>
      </c>
      <c r="AC109" s="263" t="s">
        <v>237</v>
      </c>
      <c r="AD109" s="263" t="s">
        <v>237</v>
      </c>
      <c r="AE109" s="263" t="s">
        <v>237</v>
      </c>
      <c r="AF109" s="263" t="s">
        <v>237</v>
      </c>
      <c r="AG109" s="263" t="s">
        <v>237</v>
      </c>
      <c r="AH109" s="263" t="s">
        <v>237</v>
      </c>
    </row>
    <row r="110" spans="2:34" hidden="1" outlineLevel="1">
      <c r="B110" s="87">
        <v>0</v>
      </c>
      <c r="C110" s="253">
        <v>0</v>
      </c>
      <c r="D110" s="262" t="s">
        <v>237</v>
      </c>
      <c r="E110" s="263" t="s">
        <v>237</v>
      </c>
      <c r="F110" s="263" t="s">
        <v>237</v>
      </c>
      <c r="G110" s="263" t="s">
        <v>237</v>
      </c>
      <c r="H110" s="263" t="s">
        <v>237</v>
      </c>
      <c r="I110" s="263" t="s">
        <v>237</v>
      </c>
      <c r="J110" s="263" t="s">
        <v>237</v>
      </c>
      <c r="K110" s="263" t="s">
        <v>237</v>
      </c>
      <c r="L110" s="263" t="s">
        <v>237</v>
      </c>
      <c r="M110" s="263" t="s">
        <v>237</v>
      </c>
      <c r="N110" s="263" t="s">
        <v>237</v>
      </c>
      <c r="O110" s="263" t="s">
        <v>237</v>
      </c>
      <c r="P110" s="263" t="s">
        <v>237</v>
      </c>
      <c r="Q110" s="263" t="s">
        <v>237</v>
      </c>
      <c r="R110" s="263" t="s">
        <v>237</v>
      </c>
      <c r="S110" s="263" t="s">
        <v>237</v>
      </c>
      <c r="T110" s="263" t="s">
        <v>237</v>
      </c>
      <c r="U110" s="263" t="s">
        <v>237</v>
      </c>
      <c r="V110" s="263" t="s">
        <v>237</v>
      </c>
      <c r="W110" s="263" t="s">
        <v>237</v>
      </c>
      <c r="X110" s="263" t="s">
        <v>237</v>
      </c>
      <c r="Y110" s="263" t="s">
        <v>237</v>
      </c>
      <c r="Z110" s="263" t="s">
        <v>237</v>
      </c>
      <c r="AA110" s="263" t="s">
        <v>237</v>
      </c>
      <c r="AB110" s="263" t="s">
        <v>237</v>
      </c>
      <c r="AC110" s="263" t="s">
        <v>237</v>
      </c>
      <c r="AD110" s="263" t="s">
        <v>237</v>
      </c>
      <c r="AE110" s="263" t="s">
        <v>237</v>
      </c>
      <c r="AF110" s="263" t="s">
        <v>237</v>
      </c>
      <c r="AG110" s="263" t="s">
        <v>237</v>
      </c>
      <c r="AH110" s="263" t="s">
        <v>237</v>
      </c>
    </row>
    <row r="111" spans="2:34" hidden="1" outlineLevel="1">
      <c r="B111" s="87">
        <v>0</v>
      </c>
      <c r="C111" s="253">
        <v>0</v>
      </c>
      <c r="D111" s="262" t="s">
        <v>237</v>
      </c>
      <c r="E111" s="263" t="s">
        <v>237</v>
      </c>
      <c r="F111" s="263" t="s">
        <v>237</v>
      </c>
      <c r="G111" s="263" t="s">
        <v>237</v>
      </c>
      <c r="H111" s="263" t="s">
        <v>237</v>
      </c>
      <c r="I111" s="263" t="s">
        <v>237</v>
      </c>
      <c r="J111" s="263" t="s">
        <v>237</v>
      </c>
      <c r="K111" s="263" t="s">
        <v>237</v>
      </c>
      <c r="L111" s="263" t="s">
        <v>237</v>
      </c>
      <c r="M111" s="263" t="s">
        <v>237</v>
      </c>
      <c r="N111" s="263" t="s">
        <v>237</v>
      </c>
      <c r="O111" s="263" t="s">
        <v>237</v>
      </c>
      <c r="P111" s="263" t="s">
        <v>237</v>
      </c>
      <c r="Q111" s="263" t="s">
        <v>237</v>
      </c>
      <c r="R111" s="263" t="s">
        <v>237</v>
      </c>
      <c r="S111" s="263" t="s">
        <v>237</v>
      </c>
      <c r="T111" s="263" t="s">
        <v>237</v>
      </c>
      <c r="U111" s="263" t="s">
        <v>237</v>
      </c>
      <c r="V111" s="263" t="s">
        <v>237</v>
      </c>
      <c r="W111" s="263" t="s">
        <v>237</v>
      </c>
      <c r="X111" s="263" t="s">
        <v>237</v>
      </c>
      <c r="Y111" s="263" t="s">
        <v>237</v>
      </c>
      <c r="Z111" s="263" t="s">
        <v>237</v>
      </c>
      <c r="AA111" s="263" t="s">
        <v>237</v>
      </c>
      <c r="AB111" s="263" t="s">
        <v>237</v>
      </c>
      <c r="AC111" s="263" t="s">
        <v>237</v>
      </c>
      <c r="AD111" s="263" t="s">
        <v>237</v>
      </c>
      <c r="AE111" s="263" t="s">
        <v>237</v>
      </c>
      <c r="AF111" s="263" t="s">
        <v>237</v>
      </c>
      <c r="AG111" s="263" t="s">
        <v>237</v>
      </c>
      <c r="AH111" s="263" t="s">
        <v>237</v>
      </c>
    </row>
    <row r="112" spans="2:34" hidden="1" outlineLevel="1">
      <c r="B112" s="87">
        <v>0</v>
      </c>
      <c r="C112" s="253">
        <v>0</v>
      </c>
      <c r="D112" s="262" t="s">
        <v>237</v>
      </c>
      <c r="E112" s="263" t="s">
        <v>237</v>
      </c>
      <c r="F112" s="263" t="s">
        <v>237</v>
      </c>
      <c r="G112" s="263" t="s">
        <v>237</v>
      </c>
      <c r="H112" s="263" t="s">
        <v>237</v>
      </c>
      <c r="I112" s="263" t="s">
        <v>237</v>
      </c>
      <c r="J112" s="263" t="s">
        <v>237</v>
      </c>
      <c r="K112" s="263" t="s">
        <v>237</v>
      </c>
      <c r="L112" s="263" t="s">
        <v>237</v>
      </c>
      <c r="M112" s="263" t="s">
        <v>237</v>
      </c>
      <c r="N112" s="263" t="s">
        <v>237</v>
      </c>
      <c r="O112" s="263" t="s">
        <v>237</v>
      </c>
      <c r="P112" s="263" t="s">
        <v>237</v>
      </c>
      <c r="Q112" s="263" t="s">
        <v>237</v>
      </c>
      <c r="R112" s="263" t="s">
        <v>237</v>
      </c>
      <c r="S112" s="263" t="s">
        <v>237</v>
      </c>
      <c r="T112" s="263" t="s">
        <v>237</v>
      </c>
      <c r="U112" s="263" t="s">
        <v>237</v>
      </c>
      <c r="V112" s="263" t="s">
        <v>237</v>
      </c>
      <c r="W112" s="263" t="s">
        <v>237</v>
      </c>
      <c r="X112" s="263" t="s">
        <v>237</v>
      </c>
      <c r="Y112" s="263" t="s">
        <v>237</v>
      </c>
      <c r="Z112" s="263" t="s">
        <v>237</v>
      </c>
      <c r="AA112" s="263" t="s">
        <v>237</v>
      </c>
      <c r="AB112" s="263" t="s">
        <v>237</v>
      </c>
      <c r="AC112" s="263" t="s">
        <v>237</v>
      </c>
      <c r="AD112" s="263" t="s">
        <v>237</v>
      </c>
      <c r="AE112" s="263" t="s">
        <v>237</v>
      </c>
      <c r="AF112" s="263" t="s">
        <v>237</v>
      </c>
      <c r="AG112" s="263" t="s">
        <v>237</v>
      </c>
      <c r="AH112" s="263" t="s">
        <v>237</v>
      </c>
    </row>
    <row r="113" spans="2:34" hidden="1" outlineLevel="1">
      <c r="B113" s="87">
        <v>0</v>
      </c>
      <c r="C113" s="253">
        <v>0</v>
      </c>
      <c r="D113" s="262" t="s">
        <v>237</v>
      </c>
      <c r="E113" s="263" t="s">
        <v>237</v>
      </c>
      <c r="F113" s="263" t="s">
        <v>237</v>
      </c>
      <c r="G113" s="263" t="s">
        <v>237</v>
      </c>
      <c r="H113" s="263" t="s">
        <v>237</v>
      </c>
      <c r="I113" s="263" t="s">
        <v>237</v>
      </c>
      <c r="J113" s="263" t="s">
        <v>237</v>
      </c>
      <c r="K113" s="263" t="s">
        <v>237</v>
      </c>
      <c r="L113" s="263" t="s">
        <v>237</v>
      </c>
      <c r="M113" s="263" t="s">
        <v>237</v>
      </c>
      <c r="N113" s="263" t="s">
        <v>237</v>
      </c>
      <c r="O113" s="263" t="s">
        <v>237</v>
      </c>
      <c r="P113" s="263" t="s">
        <v>237</v>
      </c>
      <c r="Q113" s="263" t="s">
        <v>237</v>
      </c>
      <c r="R113" s="263" t="s">
        <v>237</v>
      </c>
      <c r="S113" s="263" t="s">
        <v>237</v>
      </c>
      <c r="T113" s="263" t="s">
        <v>237</v>
      </c>
      <c r="U113" s="263" t="s">
        <v>237</v>
      </c>
      <c r="V113" s="263" t="s">
        <v>237</v>
      </c>
      <c r="W113" s="263" t="s">
        <v>237</v>
      </c>
      <c r="X113" s="263" t="s">
        <v>237</v>
      </c>
      <c r="Y113" s="263" t="s">
        <v>237</v>
      </c>
      <c r="Z113" s="263" t="s">
        <v>237</v>
      </c>
      <c r="AA113" s="263" t="s">
        <v>237</v>
      </c>
      <c r="AB113" s="263" t="s">
        <v>237</v>
      </c>
      <c r="AC113" s="263" t="s">
        <v>237</v>
      </c>
      <c r="AD113" s="263" t="s">
        <v>237</v>
      </c>
      <c r="AE113" s="263" t="s">
        <v>237</v>
      </c>
      <c r="AF113" s="263" t="s">
        <v>237</v>
      </c>
      <c r="AG113" s="263" t="s">
        <v>237</v>
      </c>
      <c r="AH113" s="263" t="s">
        <v>237</v>
      </c>
    </row>
    <row r="114" spans="2:34" hidden="1" outlineLevel="1">
      <c r="B114" s="87">
        <v>0</v>
      </c>
      <c r="C114" s="253">
        <v>0</v>
      </c>
      <c r="D114" s="262" t="s">
        <v>237</v>
      </c>
      <c r="E114" s="263" t="s">
        <v>237</v>
      </c>
      <c r="F114" s="263" t="s">
        <v>237</v>
      </c>
      <c r="G114" s="263" t="s">
        <v>237</v>
      </c>
      <c r="H114" s="263" t="s">
        <v>237</v>
      </c>
      <c r="I114" s="263" t="s">
        <v>237</v>
      </c>
      <c r="J114" s="263" t="s">
        <v>237</v>
      </c>
      <c r="K114" s="263" t="s">
        <v>237</v>
      </c>
      <c r="L114" s="263" t="s">
        <v>237</v>
      </c>
      <c r="M114" s="263" t="s">
        <v>237</v>
      </c>
      <c r="N114" s="263" t="s">
        <v>237</v>
      </c>
      <c r="O114" s="263" t="s">
        <v>237</v>
      </c>
      <c r="P114" s="263" t="s">
        <v>237</v>
      </c>
      <c r="Q114" s="263" t="s">
        <v>237</v>
      </c>
      <c r="R114" s="263" t="s">
        <v>237</v>
      </c>
      <c r="S114" s="263" t="s">
        <v>237</v>
      </c>
      <c r="T114" s="263" t="s">
        <v>237</v>
      </c>
      <c r="U114" s="263" t="s">
        <v>237</v>
      </c>
      <c r="V114" s="263" t="s">
        <v>237</v>
      </c>
      <c r="W114" s="263" t="s">
        <v>237</v>
      </c>
      <c r="X114" s="263" t="s">
        <v>237</v>
      </c>
      <c r="Y114" s="263" t="s">
        <v>237</v>
      </c>
      <c r="Z114" s="263" t="s">
        <v>237</v>
      </c>
      <c r="AA114" s="263" t="s">
        <v>237</v>
      </c>
      <c r="AB114" s="263" t="s">
        <v>237</v>
      </c>
      <c r="AC114" s="263" t="s">
        <v>237</v>
      </c>
      <c r="AD114" s="263" t="s">
        <v>237</v>
      </c>
      <c r="AE114" s="263" t="s">
        <v>237</v>
      </c>
      <c r="AF114" s="263" t="s">
        <v>237</v>
      </c>
      <c r="AG114" s="263" t="s">
        <v>237</v>
      </c>
      <c r="AH114" s="263" t="s">
        <v>237</v>
      </c>
    </row>
    <row r="115" spans="2:34" hidden="1" outlineLevel="1">
      <c r="B115" s="87">
        <v>0</v>
      </c>
      <c r="C115" s="253">
        <v>0</v>
      </c>
      <c r="D115" s="262" t="s">
        <v>237</v>
      </c>
      <c r="E115" s="263" t="s">
        <v>237</v>
      </c>
      <c r="F115" s="263" t="s">
        <v>237</v>
      </c>
      <c r="G115" s="263" t="s">
        <v>237</v>
      </c>
      <c r="H115" s="263" t="s">
        <v>237</v>
      </c>
      <c r="I115" s="263" t="s">
        <v>237</v>
      </c>
      <c r="J115" s="263" t="s">
        <v>237</v>
      </c>
      <c r="K115" s="263" t="s">
        <v>237</v>
      </c>
      <c r="L115" s="263" t="s">
        <v>237</v>
      </c>
      <c r="M115" s="263" t="s">
        <v>237</v>
      </c>
      <c r="N115" s="263" t="s">
        <v>237</v>
      </c>
      <c r="O115" s="263" t="s">
        <v>237</v>
      </c>
      <c r="P115" s="263" t="s">
        <v>237</v>
      </c>
      <c r="Q115" s="263" t="s">
        <v>237</v>
      </c>
      <c r="R115" s="263" t="s">
        <v>237</v>
      </c>
      <c r="S115" s="263" t="s">
        <v>237</v>
      </c>
      <c r="T115" s="263" t="s">
        <v>237</v>
      </c>
      <c r="U115" s="263" t="s">
        <v>237</v>
      </c>
      <c r="V115" s="263" t="s">
        <v>237</v>
      </c>
      <c r="W115" s="263" t="s">
        <v>237</v>
      </c>
      <c r="X115" s="263" t="s">
        <v>237</v>
      </c>
      <c r="Y115" s="263" t="s">
        <v>237</v>
      </c>
      <c r="Z115" s="263" t="s">
        <v>237</v>
      </c>
      <c r="AA115" s="263" t="s">
        <v>237</v>
      </c>
      <c r="AB115" s="263" t="s">
        <v>237</v>
      </c>
      <c r="AC115" s="263" t="s">
        <v>237</v>
      </c>
      <c r="AD115" s="263" t="s">
        <v>237</v>
      </c>
      <c r="AE115" s="263" t="s">
        <v>237</v>
      </c>
      <c r="AF115" s="263" t="s">
        <v>237</v>
      </c>
      <c r="AG115" s="263" t="s">
        <v>237</v>
      </c>
      <c r="AH115" s="263" t="s">
        <v>237</v>
      </c>
    </row>
    <row r="116" spans="2:34" hidden="1" outlineLevel="1">
      <c r="B116" s="87">
        <v>0</v>
      </c>
      <c r="C116" s="253">
        <v>0</v>
      </c>
      <c r="D116" s="262" t="s">
        <v>237</v>
      </c>
      <c r="E116" s="263" t="s">
        <v>237</v>
      </c>
      <c r="F116" s="263" t="s">
        <v>237</v>
      </c>
      <c r="G116" s="263" t="s">
        <v>237</v>
      </c>
      <c r="H116" s="263" t="s">
        <v>237</v>
      </c>
      <c r="I116" s="263" t="s">
        <v>237</v>
      </c>
      <c r="J116" s="263" t="s">
        <v>237</v>
      </c>
      <c r="K116" s="263" t="s">
        <v>237</v>
      </c>
      <c r="L116" s="263" t="s">
        <v>237</v>
      </c>
      <c r="M116" s="263" t="s">
        <v>237</v>
      </c>
      <c r="N116" s="263" t="s">
        <v>237</v>
      </c>
      <c r="O116" s="263" t="s">
        <v>237</v>
      </c>
      <c r="P116" s="263" t="s">
        <v>237</v>
      </c>
      <c r="Q116" s="263" t="s">
        <v>237</v>
      </c>
      <c r="R116" s="263" t="s">
        <v>237</v>
      </c>
      <c r="S116" s="263" t="s">
        <v>237</v>
      </c>
      <c r="T116" s="263" t="s">
        <v>237</v>
      </c>
      <c r="U116" s="263" t="s">
        <v>237</v>
      </c>
      <c r="V116" s="263" t="s">
        <v>237</v>
      </c>
      <c r="W116" s="263" t="s">
        <v>237</v>
      </c>
      <c r="X116" s="263" t="s">
        <v>237</v>
      </c>
      <c r="Y116" s="263" t="s">
        <v>237</v>
      </c>
      <c r="Z116" s="263" t="s">
        <v>237</v>
      </c>
      <c r="AA116" s="263" t="s">
        <v>237</v>
      </c>
      <c r="AB116" s="263" t="s">
        <v>237</v>
      </c>
      <c r="AC116" s="263" t="s">
        <v>237</v>
      </c>
      <c r="AD116" s="263" t="s">
        <v>237</v>
      </c>
      <c r="AE116" s="263" t="s">
        <v>237</v>
      </c>
      <c r="AF116" s="263" t="s">
        <v>237</v>
      </c>
      <c r="AG116" s="263" t="s">
        <v>237</v>
      </c>
      <c r="AH116" s="263" t="s">
        <v>237</v>
      </c>
    </row>
    <row r="117" spans="2:34" hidden="1" outlineLevel="1">
      <c r="B117" s="87">
        <v>0</v>
      </c>
      <c r="C117" s="253">
        <v>0</v>
      </c>
      <c r="D117" s="262" t="s">
        <v>237</v>
      </c>
      <c r="E117" s="263" t="s">
        <v>237</v>
      </c>
      <c r="F117" s="263" t="s">
        <v>237</v>
      </c>
      <c r="G117" s="263" t="s">
        <v>237</v>
      </c>
      <c r="H117" s="263" t="s">
        <v>237</v>
      </c>
      <c r="I117" s="263" t="s">
        <v>237</v>
      </c>
      <c r="J117" s="263" t="s">
        <v>237</v>
      </c>
      <c r="K117" s="263" t="s">
        <v>237</v>
      </c>
      <c r="L117" s="263" t="s">
        <v>237</v>
      </c>
      <c r="M117" s="263" t="s">
        <v>237</v>
      </c>
      <c r="N117" s="263" t="s">
        <v>237</v>
      </c>
      <c r="O117" s="263" t="s">
        <v>237</v>
      </c>
      <c r="P117" s="263" t="s">
        <v>237</v>
      </c>
      <c r="Q117" s="263" t="s">
        <v>237</v>
      </c>
      <c r="R117" s="263" t="s">
        <v>237</v>
      </c>
      <c r="S117" s="263" t="s">
        <v>237</v>
      </c>
      <c r="T117" s="263" t="s">
        <v>237</v>
      </c>
      <c r="U117" s="263" t="s">
        <v>237</v>
      </c>
      <c r="V117" s="263" t="s">
        <v>237</v>
      </c>
      <c r="W117" s="263" t="s">
        <v>237</v>
      </c>
      <c r="X117" s="263" t="s">
        <v>237</v>
      </c>
      <c r="Y117" s="263" t="s">
        <v>237</v>
      </c>
      <c r="Z117" s="263" t="s">
        <v>237</v>
      </c>
      <c r="AA117" s="263" t="s">
        <v>237</v>
      </c>
      <c r="AB117" s="263" t="s">
        <v>237</v>
      </c>
      <c r="AC117" s="263" t="s">
        <v>237</v>
      </c>
      <c r="AD117" s="263" t="s">
        <v>237</v>
      </c>
      <c r="AE117" s="263" t="s">
        <v>237</v>
      </c>
      <c r="AF117" s="263" t="s">
        <v>237</v>
      </c>
      <c r="AG117" s="263" t="s">
        <v>237</v>
      </c>
      <c r="AH117" s="263" t="s">
        <v>237</v>
      </c>
    </row>
    <row r="118" spans="2:34" hidden="1" outlineLevel="1">
      <c r="B118" s="87">
        <v>0</v>
      </c>
      <c r="C118" s="253">
        <v>0</v>
      </c>
      <c r="D118" s="262" t="s">
        <v>237</v>
      </c>
      <c r="E118" s="263" t="s">
        <v>237</v>
      </c>
      <c r="F118" s="263" t="s">
        <v>237</v>
      </c>
      <c r="G118" s="263" t="s">
        <v>237</v>
      </c>
      <c r="H118" s="263" t="s">
        <v>237</v>
      </c>
      <c r="I118" s="263" t="s">
        <v>237</v>
      </c>
      <c r="J118" s="263" t="s">
        <v>237</v>
      </c>
      <c r="K118" s="263" t="s">
        <v>237</v>
      </c>
      <c r="L118" s="263" t="s">
        <v>237</v>
      </c>
      <c r="M118" s="263" t="s">
        <v>237</v>
      </c>
      <c r="N118" s="263" t="s">
        <v>237</v>
      </c>
      <c r="O118" s="263" t="s">
        <v>237</v>
      </c>
      <c r="P118" s="263" t="s">
        <v>237</v>
      </c>
      <c r="Q118" s="263" t="s">
        <v>237</v>
      </c>
      <c r="R118" s="263" t="s">
        <v>237</v>
      </c>
      <c r="S118" s="263" t="s">
        <v>237</v>
      </c>
      <c r="T118" s="263" t="s">
        <v>237</v>
      </c>
      <c r="U118" s="263" t="s">
        <v>237</v>
      </c>
      <c r="V118" s="263" t="s">
        <v>237</v>
      </c>
      <c r="W118" s="263" t="s">
        <v>237</v>
      </c>
      <c r="X118" s="263" t="s">
        <v>237</v>
      </c>
      <c r="Y118" s="263" t="s">
        <v>237</v>
      </c>
      <c r="Z118" s="263" t="s">
        <v>237</v>
      </c>
      <c r="AA118" s="263" t="s">
        <v>237</v>
      </c>
      <c r="AB118" s="263" t="s">
        <v>237</v>
      </c>
      <c r="AC118" s="263" t="s">
        <v>237</v>
      </c>
      <c r="AD118" s="263" t="s">
        <v>237</v>
      </c>
      <c r="AE118" s="263" t="s">
        <v>237</v>
      </c>
      <c r="AF118" s="263" t="s">
        <v>237</v>
      </c>
      <c r="AG118" s="263" t="s">
        <v>237</v>
      </c>
      <c r="AH118" s="263" t="s">
        <v>237</v>
      </c>
    </row>
    <row r="119" spans="2:34" hidden="1" outlineLevel="1">
      <c r="B119" s="87">
        <v>0</v>
      </c>
      <c r="C119" s="253">
        <v>0</v>
      </c>
      <c r="D119" s="262" t="s">
        <v>237</v>
      </c>
      <c r="E119" s="263" t="s">
        <v>237</v>
      </c>
      <c r="F119" s="263" t="s">
        <v>237</v>
      </c>
      <c r="G119" s="263" t="s">
        <v>237</v>
      </c>
      <c r="H119" s="263" t="s">
        <v>237</v>
      </c>
      <c r="I119" s="263" t="s">
        <v>237</v>
      </c>
      <c r="J119" s="263" t="s">
        <v>237</v>
      </c>
      <c r="K119" s="263" t="s">
        <v>237</v>
      </c>
      <c r="L119" s="263" t="s">
        <v>237</v>
      </c>
      <c r="M119" s="263" t="s">
        <v>237</v>
      </c>
      <c r="N119" s="263" t="s">
        <v>237</v>
      </c>
      <c r="O119" s="263" t="s">
        <v>237</v>
      </c>
      <c r="P119" s="263" t="s">
        <v>237</v>
      </c>
      <c r="Q119" s="263" t="s">
        <v>237</v>
      </c>
      <c r="R119" s="263" t="s">
        <v>237</v>
      </c>
      <c r="S119" s="263" t="s">
        <v>237</v>
      </c>
      <c r="T119" s="263" t="s">
        <v>237</v>
      </c>
      <c r="U119" s="263" t="s">
        <v>237</v>
      </c>
      <c r="V119" s="263" t="s">
        <v>237</v>
      </c>
      <c r="W119" s="263" t="s">
        <v>237</v>
      </c>
      <c r="X119" s="263" t="s">
        <v>237</v>
      </c>
      <c r="Y119" s="263" t="s">
        <v>237</v>
      </c>
      <c r="Z119" s="263" t="s">
        <v>237</v>
      </c>
      <c r="AA119" s="263" t="s">
        <v>237</v>
      </c>
      <c r="AB119" s="263" t="s">
        <v>237</v>
      </c>
      <c r="AC119" s="263" t="s">
        <v>237</v>
      </c>
      <c r="AD119" s="263" t="s">
        <v>237</v>
      </c>
      <c r="AE119" s="263" t="s">
        <v>237</v>
      </c>
      <c r="AF119" s="263" t="s">
        <v>237</v>
      </c>
      <c r="AG119" s="263" t="s">
        <v>237</v>
      </c>
      <c r="AH119" s="263" t="s">
        <v>237</v>
      </c>
    </row>
    <row r="120" spans="2:34" collapsed="1"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DBD8-4CAE-403E-B61F-13D9F504F280}">
  <dimension ref="A1:R309"/>
  <sheetViews>
    <sheetView workbookViewId="0"/>
  </sheetViews>
  <sheetFormatPr defaultColWidth="9.296875" defaultRowHeight="14.4" outlineLevelRow="1"/>
  <cols>
    <col min="1" max="1" width="9" style="3" customWidth="1"/>
    <col min="2" max="2" width="2.296875" style="3" customWidth="1"/>
    <col min="3" max="3" width="27.296875" style="4" customWidth="1"/>
    <col min="4" max="4" width="14.59765625" style="5" customWidth="1"/>
    <col min="5" max="5" width="15.09765625" style="8" customWidth="1"/>
    <col min="6" max="12" width="14.59765625" style="8" customWidth="1"/>
    <col min="13" max="16" width="14.59765625" style="3" customWidth="1"/>
    <col min="17" max="17" width="8.69921875" style="3" customWidth="1"/>
    <col min="18" max="16384" width="9.296875" style="3"/>
  </cols>
  <sheetData>
    <row r="1" spans="1:17" ht="15.6">
      <c r="C1" s="583" t="s">
        <v>383</v>
      </c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>
      <c r="D2" s="7"/>
      <c r="M2" s="8"/>
      <c r="N2" s="8"/>
      <c r="O2" s="8"/>
      <c r="P2" s="8"/>
      <c r="Q2" s="8"/>
    </row>
    <row r="3" spans="1:17" ht="45.75" customHeight="1">
      <c r="C3" s="414" t="s">
        <v>125</v>
      </c>
      <c r="D3" s="52" t="s">
        <v>55</v>
      </c>
      <c r="E3" s="52" t="s">
        <v>56</v>
      </c>
      <c r="F3" s="52" t="s">
        <v>57</v>
      </c>
      <c r="G3" s="52" t="s">
        <v>58</v>
      </c>
      <c r="H3" s="52" t="s">
        <v>59</v>
      </c>
      <c r="I3" s="52" t="s">
        <v>60</v>
      </c>
      <c r="J3" s="52" t="s">
        <v>61</v>
      </c>
      <c r="K3" s="52" t="s">
        <v>62</v>
      </c>
      <c r="L3" s="52" t="s">
        <v>63</v>
      </c>
      <c r="M3" s="52" t="s">
        <v>64</v>
      </c>
      <c r="N3" s="52" t="s">
        <v>65</v>
      </c>
      <c r="O3" s="52" t="s">
        <v>66</v>
      </c>
      <c r="P3" s="52" t="s">
        <v>67</v>
      </c>
    </row>
    <row r="4" spans="1:17" s="17" customFormat="1" ht="19.2" customHeight="1">
      <c r="A4" s="3"/>
      <c r="B4" s="3"/>
      <c r="C4" s="324" t="s">
        <v>432</v>
      </c>
      <c r="D4" s="318" t="s">
        <v>237</v>
      </c>
      <c r="E4" s="318" t="s">
        <v>237</v>
      </c>
      <c r="F4" s="318" t="s">
        <v>237</v>
      </c>
      <c r="G4" s="318" t="s">
        <v>237</v>
      </c>
      <c r="H4" s="318" t="s">
        <v>237</v>
      </c>
      <c r="I4" s="318">
        <v>8.6956521739130436E-3</v>
      </c>
      <c r="J4" s="318" t="s">
        <v>237</v>
      </c>
      <c r="K4" s="318" t="s">
        <v>237</v>
      </c>
      <c r="L4" s="318" t="s">
        <v>237</v>
      </c>
      <c r="M4" s="318" t="s">
        <v>237</v>
      </c>
      <c r="N4" s="318" t="s">
        <v>237</v>
      </c>
      <c r="O4" s="318" t="s">
        <v>237</v>
      </c>
      <c r="P4" s="318" t="s">
        <v>237</v>
      </c>
    </row>
    <row r="5" spans="1:17" s="17" customFormat="1" ht="19.2" customHeight="1">
      <c r="A5" s="3"/>
      <c r="B5" s="3"/>
      <c r="C5" s="325" t="s">
        <v>433</v>
      </c>
      <c r="D5" s="316" t="s">
        <v>237</v>
      </c>
      <c r="E5" s="316" t="s">
        <v>237</v>
      </c>
      <c r="F5" s="316" t="s">
        <v>237</v>
      </c>
      <c r="G5" s="316" t="s">
        <v>237</v>
      </c>
      <c r="H5" s="316" t="s">
        <v>237</v>
      </c>
      <c r="I5" s="316">
        <v>0</v>
      </c>
      <c r="J5" s="316" t="s">
        <v>237</v>
      </c>
      <c r="K5" s="316" t="s">
        <v>237</v>
      </c>
      <c r="L5" s="316" t="s">
        <v>237</v>
      </c>
      <c r="M5" s="316" t="s">
        <v>237</v>
      </c>
      <c r="N5" s="316" t="s">
        <v>237</v>
      </c>
      <c r="O5" s="316" t="s">
        <v>237</v>
      </c>
      <c r="P5" s="316" t="s">
        <v>237</v>
      </c>
    </row>
    <row r="6" spans="1:17" s="17" customFormat="1" ht="19.2" customHeight="1">
      <c r="A6" s="3"/>
      <c r="B6" s="3"/>
      <c r="C6" s="324" t="s">
        <v>434</v>
      </c>
      <c r="D6" s="318" t="s">
        <v>237</v>
      </c>
      <c r="E6" s="318" t="s">
        <v>237</v>
      </c>
      <c r="F6" s="318" t="s">
        <v>237</v>
      </c>
      <c r="G6" s="318">
        <v>4.6035805626598467E-2</v>
      </c>
      <c r="H6" s="318" t="s">
        <v>237</v>
      </c>
      <c r="I6" s="318">
        <v>6.5217391304347824E-2</v>
      </c>
      <c r="J6" s="318" t="s">
        <v>237</v>
      </c>
      <c r="K6" s="318" t="s">
        <v>237</v>
      </c>
      <c r="L6" s="318" t="s">
        <v>237</v>
      </c>
      <c r="M6" s="318">
        <v>4.5871559633027532E-2</v>
      </c>
      <c r="N6" s="318" t="s">
        <v>237</v>
      </c>
      <c r="O6" s="318">
        <v>5.2356020942408377E-2</v>
      </c>
      <c r="P6" s="318" t="s">
        <v>237</v>
      </c>
    </row>
    <row r="7" spans="1:17" s="17" customFormat="1" ht="19.2" customHeight="1">
      <c r="A7" s="3"/>
      <c r="B7" s="3"/>
      <c r="C7" s="325" t="s">
        <v>435</v>
      </c>
      <c r="D7" s="316" t="s">
        <v>237</v>
      </c>
      <c r="E7" s="316" t="s">
        <v>237</v>
      </c>
      <c r="F7" s="316" t="s">
        <v>237</v>
      </c>
      <c r="G7" s="316" t="s">
        <v>237</v>
      </c>
      <c r="H7" s="316" t="s">
        <v>237</v>
      </c>
      <c r="I7" s="316">
        <v>3.8288288288288293E-2</v>
      </c>
      <c r="J7" s="316" t="s">
        <v>237</v>
      </c>
      <c r="K7" s="316" t="s">
        <v>237</v>
      </c>
      <c r="L7" s="316" t="s">
        <v>237</v>
      </c>
      <c r="M7" s="316" t="s">
        <v>237</v>
      </c>
      <c r="N7" s="316" t="s">
        <v>237</v>
      </c>
      <c r="O7" s="316" t="s">
        <v>237</v>
      </c>
      <c r="P7" s="316" t="s">
        <v>237</v>
      </c>
    </row>
    <row r="8" spans="1:17" s="17" customFormat="1" ht="19.2" customHeight="1">
      <c r="A8" s="3"/>
      <c r="B8" s="3"/>
      <c r="C8" s="324" t="s">
        <v>436</v>
      </c>
      <c r="D8" s="318" t="s">
        <v>237</v>
      </c>
      <c r="E8" s="318" t="s">
        <v>237</v>
      </c>
      <c r="F8" s="318" t="s">
        <v>237</v>
      </c>
      <c r="G8" s="318" t="s">
        <v>237</v>
      </c>
      <c r="H8" s="318" t="s">
        <v>237</v>
      </c>
      <c r="I8" s="318">
        <v>8.4566596194503175E-3</v>
      </c>
      <c r="J8" s="318" t="s">
        <v>237</v>
      </c>
      <c r="K8" s="318" t="s">
        <v>237</v>
      </c>
      <c r="L8" s="318" t="s">
        <v>237</v>
      </c>
      <c r="M8" s="318" t="s">
        <v>237</v>
      </c>
      <c r="N8" s="318" t="s">
        <v>237</v>
      </c>
      <c r="O8" s="318" t="s">
        <v>237</v>
      </c>
      <c r="P8" s="318" t="s">
        <v>237</v>
      </c>
    </row>
    <row r="9" spans="1:17" s="17" customFormat="1" ht="19.2" customHeight="1">
      <c r="A9" s="3"/>
      <c r="B9" s="3"/>
      <c r="C9" s="325" t="s">
        <v>437</v>
      </c>
      <c r="D9" s="316" t="s">
        <v>237</v>
      </c>
      <c r="E9" s="316" t="s">
        <v>237</v>
      </c>
      <c r="F9" s="316" t="s">
        <v>237</v>
      </c>
      <c r="G9" s="316" t="s">
        <v>237</v>
      </c>
      <c r="H9" s="316" t="s">
        <v>237</v>
      </c>
      <c r="I9" s="316">
        <v>1.9230769230769228E-2</v>
      </c>
      <c r="J9" s="316" t="s">
        <v>237</v>
      </c>
      <c r="K9" s="316" t="s">
        <v>237</v>
      </c>
      <c r="L9" s="316" t="s">
        <v>237</v>
      </c>
      <c r="M9" s="316" t="s">
        <v>237</v>
      </c>
      <c r="N9" s="316" t="s">
        <v>237</v>
      </c>
      <c r="O9" s="316">
        <v>0</v>
      </c>
      <c r="P9" s="316" t="s">
        <v>237</v>
      </c>
    </row>
    <row r="10" spans="1:17" s="17" customFormat="1" ht="19.2" customHeight="1">
      <c r="A10" s="3"/>
      <c r="B10" s="3"/>
      <c r="C10" s="324" t="s">
        <v>438</v>
      </c>
      <c r="D10" s="318" t="s">
        <v>237</v>
      </c>
      <c r="E10" s="318" t="s">
        <v>237</v>
      </c>
      <c r="F10" s="318" t="s">
        <v>237</v>
      </c>
      <c r="G10" s="318" t="s">
        <v>237</v>
      </c>
      <c r="H10" s="318" t="s">
        <v>237</v>
      </c>
      <c r="I10" s="318">
        <v>4.5112781954887222E-2</v>
      </c>
      <c r="J10" s="318" t="s">
        <v>237</v>
      </c>
      <c r="K10" s="318" t="s">
        <v>237</v>
      </c>
      <c r="L10" s="318" t="s">
        <v>237</v>
      </c>
      <c r="M10" s="318" t="s">
        <v>237</v>
      </c>
      <c r="N10" s="318" t="s">
        <v>237</v>
      </c>
      <c r="O10" s="318" t="s">
        <v>237</v>
      </c>
      <c r="P10" s="318" t="s">
        <v>237</v>
      </c>
    </row>
    <row r="11" spans="1:17" s="17" customFormat="1" ht="19.2" customHeight="1">
      <c r="A11" s="3"/>
      <c r="B11" s="3"/>
      <c r="C11" s="325" t="s">
        <v>439</v>
      </c>
      <c r="D11" s="316" t="s">
        <v>237</v>
      </c>
      <c r="E11" s="316" t="s">
        <v>237</v>
      </c>
      <c r="F11" s="316" t="s">
        <v>237</v>
      </c>
      <c r="G11" s="316" t="s">
        <v>237</v>
      </c>
      <c r="H11" s="316" t="s">
        <v>237</v>
      </c>
      <c r="I11" s="316">
        <v>3.448275862068965E-3</v>
      </c>
      <c r="J11" s="316" t="s">
        <v>237</v>
      </c>
      <c r="K11" s="316" t="s">
        <v>237</v>
      </c>
      <c r="L11" s="316" t="s">
        <v>237</v>
      </c>
      <c r="M11" s="316" t="s">
        <v>237</v>
      </c>
      <c r="N11" s="316" t="s">
        <v>237</v>
      </c>
      <c r="O11" s="316" t="s">
        <v>237</v>
      </c>
      <c r="P11" s="316" t="s">
        <v>237</v>
      </c>
    </row>
    <row r="12" spans="1:17" s="17" customFormat="1" ht="19.2" customHeight="1">
      <c r="A12" s="3"/>
      <c r="B12" s="3"/>
      <c r="C12" s="324" t="s">
        <v>442</v>
      </c>
      <c r="D12" s="318" t="s">
        <v>237</v>
      </c>
      <c r="E12" s="318" t="s">
        <v>237</v>
      </c>
      <c r="F12" s="318">
        <v>2.8846153846153851E-2</v>
      </c>
      <c r="G12" s="318">
        <v>3.292181069958848E-2</v>
      </c>
      <c r="H12" s="318" t="s">
        <v>237</v>
      </c>
      <c r="I12" s="318">
        <v>2.6109660574412529E-3</v>
      </c>
      <c r="J12" s="318" t="s">
        <v>237</v>
      </c>
      <c r="K12" s="318">
        <v>1.7021276595744681E-2</v>
      </c>
      <c r="L12" s="318" t="s">
        <v>237</v>
      </c>
      <c r="M12" s="318">
        <v>2.2151898734177219E-2</v>
      </c>
      <c r="N12" s="318" t="s">
        <v>237</v>
      </c>
      <c r="O12" s="318">
        <v>2.030456852791878E-2</v>
      </c>
      <c r="P12" s="318" t="s">
        <v>237</v>
      </c>
    </row>
    <row r="13" spans="1:17" s="17" customFormat="1" ht="19.2" customHeight="1">
      <c r="A13" s="3"/>
      <c r="B13" s="3"/>
      <c r="C13" s="325" t="s">
        <v>521</v>
      </c>
      <c r="D13" s="316" t="s">
        <v>237</v>
      </c>
      <c r="E13" s="316" t="s">
        <v>237</v>
      </c>
      <c r="F13" s="316" t="s">
        <v>237</v>
      </c>
      <c r="G13" s="316">
        <v>0.13907284768211919</v>
      </c>
      <c r="H13" s="316" t="s">
        <v>237</v>
      </c>
      <c r="I13" s="316">
        <v>3.825136612021858E-2</v>
      </c>
      <c r="J13" s="316" t="s">
        <v>237</v>
      </c>
      <c r="K13" s="316" t="s">
        <v>237</v>
      </c>
      <c r="L13" s="316" t="s">
        <v>237</v>
      </c>
      <c r="M13" s="316" t="s">
        <v>237</v>
      </c>
      <c r="N13" s="316" t="s">
        <v>237</v>
      </c>
      <c r="O13" s="316">
        <v>4.4871794871794872E-2</v>
      </c>
      <c r="P13" s="316" t="s">
        <v>237</v>
      </c>
    </row>
    <row r="14" spans="1:17" s="17" customFormat="1" ht="19.2" customHeight="1">
      <c r="A14" s="3"/>
      <c r="B14" s="3"/>
      <c r="C14" s="324" t="s">
        <v>445</v>
      </c>
      <c r="D14" s="318" t="s">
        <v>237</v>
      </c>
      <c r="E14" s="318" t="s">
        <v>237</v>
      </c>
      <c r="F14" s="318" t="s">
        <v>237</v>
      </c>
      <c r="G14" s="318" t="s">
        <v>237</v>
      </c>
      <c r="H14" s="318" t="s">
        <v>237</v>
      </c>
      <c r="I14" s="318">
        <v>1.4598540145985399E-2</v>
      </c>
      <c r="J14" s="318" t="s">
        <v>237</v>
      </c>
      <c r="K14" s="318" t="s">
        <v>237</v>
      </c>
      <c r="L14" s="318" t="s">
        <v>237</v>
      </c>
      <c r="M14" s="318" t="s">
        <v>237</v>
      </c>
      <c r="N14" s="318" t="s">
        <v>237</v>
      </c>
      <c r="O14" s="318">
        <v>0.1045751633986928</v>
      </c>
      <c r="P14" s="318" t="s">
        <v>237</v>
      </c>
    </row>
    <row r="15" spans="1:17" s="17" customFormat="1" ht="19.2" customHeight="1">
      <c r="A15" s="3"/>
      <c r="B15" s="3"/>
      <c r="C15" s="325" t="s">
        <v>447</v>
      </c>
      <c r="D15" s="316" t="s">
        <v>237</v>
      </c>
      <c r="E15" s="316" t="s">
        <v>237</v>
      </c>
      <c r="F15" s="316">
        <v>4.7619047619047623E-2</v>
      </c>
      <c r="G15" s="316">
        <v>2.4539877300613501E-2</v>
      </c>
      <c r="H15" s="316" t="s">
        <v>237</v>
      </c>
      <c r="I15" s="316">
        <v>0</v>
      </c>
      <c r="J15" s="316">
        <v>2.1276595744680851E-2</v>
      </c>
      <c r="K15" s="316" t="s">
        <v>237</v>
      </c>
      <c r="L15" s="316" t="s">
        <v>237</v>
      </c>
      <c r="M15" s="316">
        <v>5.533596837944664E-2</v>
      </c>
      <c r="N15" s="316" t="s">
        <v>237</v>
      </c>
      <c r="O15" s="316">
        <v>1.048951048951049E-2</v>
      </c>
      <c r="P15" s="316" t="s">
        <v>237</v>
      </c>
    </row>
    <row r="16" spans="1:17" s="17" customFormat="1" ht="19.2" hidden="1" customHeight="1">
      <c r="A16" s="3"/>
      <c r="B16" s="3"/>
      <c r="C16" s="324" t="s">
        <v>448</v>
      </c>
      <c r="D16" s="318" t="s">
        <v>237</v>
      </c>
      <c r="E16" s="318" t="s">
        <v>237</v>
      </c>
      <c r="F16" s="318" t="s">
        <v>237</v>
      </c>
      <c r="G16" s="318" t="s">
        <v>237</v>
      </c>
      <c r="H16" s="318" t="s">
        <v>237</v>
      </c>
      <c r="I16" s="318">
        <v>2.1428571428571429E-2</v>
      </c>
      <c r="J16" s="318" t="s">
        <v>237</v>
      </c>
      <c r="K16" s="318">
        <v>2.1276595744680851E-2</v>
      </c>
      <c r="L16" s="318" t="s">
        <v>237</v>
      </c>
      <c r="M16" s="318" t="s">
        <v>237</v>
      </c>
      <c r="N16" s="318" t="s">
        <v>237</v>
      </c>
      <c r="O16" s="318">
        <v>0</v>
      </c>
      <c r="P16" s="318" t="s">
        <v>237</v>
      </c>
    </row>
    <row r="17" spans="1:16" s="17" customFormat="1" ht="19.2" hidden="1" customHeight="1">
      <c r="A17" s="3"/>
      <c r="B17" s="3"/>
      <c r="C17" s="324" t="s">
        <v>449</v>
      </c>
      <c r="D17" s="318" t="s">
        <v>237</v>
      </c>
      <c r="E17" s="318" t="s">
        <v>237</v>
      </c>
      <c r="F17" s="318" t="s">
        <v>237</v>
      </c>
      <c r="G17" s="318" t="s">
        <v>237</v>
      </c>
      <c r="H17" s="318" t="s">
        <v>237</v>
      </c>
      <c r="I17" s="318">
        <v>8.5287846481876331E-3</v>
      </c>
      <c r="J17" s="318" t="s">
        <v>237</v>
      </c>
      <c r="K17" s="318" t="s">
        <v>237</v>
      </c>
      <c r="L17" s="318" t="s">
        <v>237</v>
      </c>
      <c r="M17" s="318" t="s">
        <v>237</v>
      </c>
      <c r="N17" s="318" t="s">
        <v>237</v>
      </c>
      <c r="O17" s="318" t="s">
        <v>237</v>
      </c>
      <c r="P17" s="318" t="s">
        <v>237</v>
      </c>
    </row>
    <row r="18" spans="1:16" s="17" customFormat="1" ht="19.2" hidden="1" customHeight="1" thickBot="1">
      <c r="A18" s="3"/>
      <c r="B18" s="3"/>
      <c r="C18" s="324" t="s">
        <v>451</v>
      </c>
      <c r="D18" s="318" t="s">
        <v>237</v>
      </c>
      <c r="E18" s="318" t="s">
        <v>237</v>
      </c>
      <c r="F18" s="318" t="s">
        <v>237</v>
      </c>
      <c r="G18" s="318" t="s">
        <v>237</v>
      </c>
      <c r="H18" s="318" t="s">
        <v>237</v>
      </c>
      <c r="I18" s="318">
        <v>1.79372197309417E-2</v>
      </c>
      <c r="J18" s="318" t="s">
        <v>237</v>
      </c>
      <c r="K18" s="318" t="s">
        <v>237</v>
      </c>
      <c r="L18" s="318" t="s">
        <v>237</v>
      </c>
      <c r="M18" s="318" t="s">
        <v>237</v>
      </c>
      <c r="N18" s="318" t="s">
        <v>237</v>
      </c>
      <c r="O18" s="318" t="s">
        <v>237</v>
      </c>
      <c r="P18" s="318" t="s">
        <v>237</v>
      </c>
    </row>
    <row r="19" spans="1:16" s="17" customFormat="1" ht="19.2" customHeight="1">
      <c r="A19" s="3"/>
      <c r="B19" s="3"/>
      <c r="C19" s="324" t="s">
        <v>452</v>
      </c>
      <c r="D19" s="318" t="s">
        <v>237</v>
      </c>
      <c r="E19" s="318" t="s">
        <v>237</v>
      </c>
      <c r="F19" s="318" t="s">
        <v>237</v>
      </c>
      <c r="G19" s="318">
        <v>2.419354838709677E-2</v>
      </c>
      <c r="H19" s="318" t="s">
        <v>237</v>
      </c>
      <c r="I19" s="318">
        <v>0</v>
      </c>
      <c r="J19" s="318" t="s">
        <v>237</v>
      </c>
      <c r="K19" s="318" t="s">
        <v>237</v>
      </c>
      <c r="L19" s="318" t="s">
        <v>237</v>
      </c>
      <c r="M19" s="318" t="s">
        <v>237</v>
      </c>
      <c r="N19" s="318" t="s">
        <v>237</v>
      </c>
      <c r="O19" s="318" t="s">
        <v>237</v>
      </c>
      <c r="P19" s="318" t="s">
        <v>237</v>
      </c>
    </row>
    <row r="20" spans="1:16" s="17" customFormat="1" ht="19.2" customHeight="1">
      <c r="A20" s="3"/>
      <c r="B20" s="3"/>
      <c r="C20" s="325" t="s">
        <v>453</v>
      </c>
      <c r="D20" s="316" t="s">
        <v>237</v>
      </c>
      <c r="E20" s="316" t="s">
        <v>237</v>
      </c>
      <c r="F20" s="316" t="s">
        <v>237</v>
      </c>
      <c r="G20" s="316" t="s">
        <v>237</v>
      </c>
      <c r="H20" s="316" t="s">
        <v>237</v>
      </c>
      <c r="I20" s="316">
        <v>6.2500000000000003E-3</v>
      </c>
      <c r="J20" s="316" t="s">
        <v>237</v>
      </c>
      <c r="K20" s="316" t="s">
        <v>237</v>
      </c>
      <c r="L20" s="316" t="s">
        <v>237</v>
      </c>
      <c r="M20" s="316">
        <v>3.6269430051813469E-2</v>
      </c>
      <c r="N20" s="316" t="s">
        <v>237</v>
      </c>
      <c r="O20" s="316">
        <v>0</v>
      </c>
      <c r="P20" s="316" t="s">
        <v>237</v>
      </c>
    </row>
    <row r="21" spans="1:16" s="17" customFormat="1" ht="19.2" customHeight="1">
      <c r="A21" s="3"/>
      <c r="B21" s="3"/>
      <c r="C21" s="324" t="s">
        <v>455</v>
      </c>
      <c r="D21" s="318" t="s">
        <v>237</v>
      </c>
      <c r="E21" s="318" t="s">
        <v>237</v>
      </c>
      <c r="F21" s="318" t="s">
        <v>237</v>
      </c>
      <c r="G21" s="318">
        <v>5.128205128205128E-2</v>
      </c>
      <c r="H21" s="318" t="s">
        <v>237</v>
      </c>
      <c r="I21" s="318">
        <v>5.5555555555555558E-3</v>
      </c>
      <c r="J21" s="318" t="s">
        <v>237</v>
      </c>
      <c r="K21" s="318" t="s">
        <v>237</v>
      </c>
      <c r="L21" s="318" t="s">
        <v>237</v>
      </c>
      <c r="M21" s="318" t="s">
        <v>237</v>
      </c>
      <c r="N21" s="318" t="s">
        <v>237</v>
      </c>
      <c r="O21" s="318" t="s">
        <v>237</v>
      </c>
      <c r="P21" s="318" t="s">
        <v>237</v>
      </c>
    </row>
    <row r="22" spans="1:16" s="17" customFormat="1" ht="19.2" customHeight="1">
      <c r="A22" s="3"/>
      <c r="B22" s="3"/>
      <c r="C22" s="325" t="s">
        <v>456</v>
      </c>
      <c r="D22" s="316" t="s">
        <v>237</v>
      </c>
      <c r="E22" s="316" t="s">
        <v>237</v>
      </c>
      <c r="F22" s="316" t="s">
        <v>237</v>
      </c>
      <c r="G22" s="316" t="s">
        <v>237</v>
      </c>
      <c r="H22" s="316" t="s">
        <v>237</v>
      </c>
      <c r="I22" s="316">
        <v>4.1198501872659173E-2</v>
      </c>
      <c r="J22" s="316" t="s">
        <v>237</v>
      </c>
      <c r="K22" s="316" t="s">
        <v>237</v>
      </c>
      <c r="L22" s="316" t="s">
        <v>237</v>
      </c>
      <c r="M22" s="316" t="s">
        <v>237</v>
      </c>
      <c r="N22" s="316" t="s">
        <v>237</v>
      </c>
      <c r="O22" s="316" t="s">
        <v>237</v>
      </c>
      <c r="P22" s="316" t="s">
        <v>237</v>
      </c>
    </row>
    <row r="23" spans="1:16" s="17" customFormat="1" ht="19.2" customHeight="1">
      <c r="A23" s="3"/>
      <c r="B23" s="3"/>
      <c r="C23" s="324" t="s">
        <v>458</v>
      </c>
      <c r="D23" s="318" t="s">
        <v>237</v>
      </c>
      <c r="E23" s="318" t="s">
        <v>237</v>
      </c>
      <c r="F23" s="318" t="s">
        <v>237</v>
      </c>
      <c r="G23" s="318" t="s">
        <v>237</v>
      </c>
      <c r="H23" s="318" t="s">
        <v>237</v>
      </c>
      <c r="I23" s="318">
        <v>4.2553191489361703E-3</v>
      </c>
      <c r="J23" s="318" t="s">
        <v>237</v>
      </c>
      <c r="K23" s="318" t="s">
        <v>237</v>
      </c>
      <c r="L23" s="318" t="s">
        <v>237</v>
      </c>
      <c r="M23" s="318" t="s">
        <v>237</v>
      </c>
      <c r="N23" s="318" t="s">
        <v>237</v>
      </c>
      <c r="O23" s="318" t="s">
        <v>237</v>
      </c>
      <c r="P23" s="318" t="s">
        <v>237</v>
      </c>
    </row>
    <row r="24" spans="1:16" s="17" customFormat="1" ht="19.2" customHeight="1">
      <c r="A24" s="3"/>
      <c r="B24" s="3"/>
      <c r="C24" s="325" t="s">
        <v>459</v>
      </c>
      <c r="D24" s="316" t="s">
        <v>237</v>
      </c>
      <c r="E24" s="316" t="s">
        <v>237</v>
      </c>
      <c r="F24" s="316" t="s">
        <v>237</v>
      </c>
      <c r="G24" s="316" t="s">
        <v>237</v>
      </c>
      <c r="H24" s="316" t="s">
        <v>237</v>
      </c>
      <c r="I24" s="316">
        <v>4.3859649122807024E-3</v>
      </c>
      <c r="J24" s="316" t="s">
        <v>237</v>
      </c>
      <c r="K24" s="316" t="s">
        <v>237</v>
      </c>
      <c r="L24" s="316" t="s">
        <v>237</v>
      </c>
      <c r="M24" s="316" t="s">
        <v>237</v>
      </c>
      <c r="N24" s="316" t="s">
        <v>237</v>
      </c>
      <c r="O24" s="316">
        <v>4.7337278106508868E-2</v>
      </c>
      <c r="P24" s="316" t="s">
        <v>237</v>
      </c>
    </row>
    <row r="25" spans="1:16" s="17" customFormat="1" ht="19.2" customHeight="1">
      <c r="A25" s="3"/>
      <c r="B25" s="3"/>
      <c r="C25" s="324" t="s">
        <v>463</v>
      </c>
      <c r="D25" s="318" t="s">
        <v>237</v>
      </c>
      <c r="E25" s="318" t="s">
        <v>237</v>
      </c>
      <c r="F25" s="318" t="s">
        <v>237</v>
      </c>
      <c r="G25" s="318">
        <v>2.9411764705882349E-2</v>
      </c>
      <c r="H25" s="318" t="s">
        <v>237</v>
      </c>
      <c r="I25" s="318">
        <v>5.7142857142857141E-2</v>
      </c>
      <c r="J25" s="318" t="s">
        <v>237</v>
      </c>
      <c r="K25" s="318" t="s">
        <v>237</v>
      </c>
      <c r="L25" s="318" t="s">
        <v>237</v>
      </c>
      <c r="M25" s="318" t="s">
        <v>237</v>
      </c>
      <c r="N25" s="318" t="s">
        <v>237</v>
      </c>
      <c r="O25" s="318" t="s">
        <v>237</v>
      </c>
      <c r="P25" s="318" t="s">
        <v>237</v>
      </c>
    </row>
    <row r="26" spans="1:16" s="17" customFormat="1" ht="19.2" customHeight="1">
      <c r="A26" s="3"/>
      <c r="B26" s="3"/>
      <c r="C26" s="325" t="s">
        <v>464</v>
      </c>
      <c r="D26" s="316" t="s">
        <v>237</v>
      </c>
      <c r="E26" s="316" t="s">
        <v>237</v>
      </c>
      <c r="F26" s="316">
        <v>5.5118110236220472E-2</v>
      </c>
      <c r="G26" s="316">
        <v>4.4117647058823532E-2</v>
      </c>
      <c r="H26" s="316" t="s">
        <v>237</v>
      </c>
      <c r="I26" s="316">
        <v>1.0224948875255621E-2</v>
      </c>
      <c r="J26" s="316">
        <v>4.9504950495049507E-2</v>
      </c>
      <c r="K26" s="316">
        <v>3.0927835051546389E-2</v>
      </c>
      <c r="L26" s="316" t="s">
        <v>237</v>
      </c>
      <c r="M26" s="316">
        <v>2.6315789473684209E-2</v>
      </c>
      <c r="N26" s="316" t="s">
        <v>237</v>
      </c>
      <c r="O26" s="316">
        <v>2.298850574712644E-2</v>
      </c>
      <c r="P26" s="316" t="s">
        <v>237</v>
      </c>
    </row>
    <row r="27" spans="1:16" s="17" customFormat="1" ht="19.2" customHeight="1">
      <c r="A27" s="3"/>
      <c r="B27" s="3"/>
      <c r="C27" s="324" t="s">
        <v>466</v>
      </c>
      <c r="D27" s="318" t="s">
        <v>237</v>
      </c>
      <c r="E27" s="318" t="s">
        <v>237</v>
      </c>
      <c r="F27" s="318" t="s">
        <v>237</v>
      </c>
      <c r="G27" s="318" t="s">
        <v>237</v>
      </c>
      <c r="H27" s="318" t="s">
        <v>237</v>
      </c>
      <c r="I27" s="318">
        <v>5.8823529411764714E-3</v>
      </c>
      <c r="J27" s="318" t="s">
        <v>237</v>
      </c>
      <c r="K27" s="318" t="s">
        <v>237</v>
      </c>
      <c r="L27" s="318" t="s">
        <v>237</v>
      </c>
      <c r="M27" s="318" t="s">
        <v>237</v>
      </c>
      <c r="N27" s="318" t="s">
        <v>237</v>
      </c>
      <c r="O27" s="318">
        <v>5.1948051948051948E-3</v>
      </c>
      <c r="P27" s="318" t="s">
        <v>237</v>
      </c>
    </row>
    <row r="28" spans="1:16" s="17" customFormat="1" ht="19.2" customHeight="1">
      <c r="A28" s="3"/>
      <c r="B28" s="3"/>
      <c r="C28" s="325" t="s">
        <v>467</v>
      </c>
      <c r="D28" s="316" t="s">
        <v>237</v>
      </c>
      <c r="E28" s="316" t="s">
        <v>237</v>
      </c>
      <c r="F28" s="316" t="s">
        <v>237</v>
      </c>
      <c r="G28" s="316" t="s">
        <v>237</v>
      </c>
      <c r="H28" s="316" t="s">
        <v>237</v>
      </c>
      <c r="I28" s="316">
        <v>2.3376623376623381E-2</v>
      </c>
      <c r="J28" s="316" t="s">
        <v>237</v>
      </c>
      <c r="K28" s="316" t="s">
        <v>237</v>
      </c>
      <c r="L28" s="316" t="s">
        <v>237</v>
      </c>
      <c r="M28" s="316" t="s">
        <v>237</v>
      </c>
      <c r="N28" s="316" t="s">
        <v>237</v>
      </c>
      <c r="O28" s="316">
        <v>1.8779342723004699E-2</v>
      </c>
      <c r="P28" s="316" t="s">
        <v>237</v>
      </c>
    </row>
    <row r="29" spans="1:16" s="17" customFormat="1" ht="19.2" customHeight="1">
      <c r="A29" s="3"/>
      <c r="B29" s="3"/>
      <c r="C29" s="324" t="s">
        <v>468</v>
      </c>
      <c r="D29" s="318" t="s">
        <v>237</v>
      </c>
      <c r="E29" s="318" t="s">
        <v>237</v>
      </c>
      <c r="F29" s="318" t="s">
        <v>237</v>
      </c>
      <c r="G29" s="318" t="s">
        <v>237</v>
      </c>
      <c r="H29" s="318" t="s">
        <v>237</v>
      </c>
      <c r="I29" s="318">
        <v>0</v>
      </c>
      <c r="J29" s="318" t="s">
        <v>237</v>
      </c>
      <c r="K29" s="318" t="s">
        <v>237</v>
      </c>
      <c r="L29" s="318" t="s">
        <v>237</v>
      </c>
      <c r="M29" s="318" t="s">
        <v>237</v>
      </c>
      <c r="N29" s="318" t="s">
        <v>237</v>
      </c>
      <c r="O29" s="318" t="s">
        <v>237</v>
      </c>
      <c r="P29" s="318" t="s">
        <v>237</v>
      </c>
    </row>
    <row r="30" spans="1:16" s="17" customFormat="1" ht="19.2" customHeight="1">
      <c r="A30" s="3"/>
      <c r="B30" s="3"/>
      <c r="C30" s="325" t="s">
        <v>469</v>
      </c>
      <c r="D30" s="316" t="s">
        <v>237</v>
      </c>
      <c r="E30" s="316" t="s">
        <v>237</v>
      </c>
      <c r="F30" s="316" t="s">
        <v>237</v>
      </c>
      <c r="G30" s="316" t="s">
        <v>237</v>
      </c>
      <c r="H30" s="316" t="s">
        <v>237</v>
      </c>
      <c r="I30" s="316">
        <v>4.9751243781094526E-3</v>
      </c>
      <c r="J30" s="316" t="s">
        <v>237</v>
      </c>
      <c r="K30" s="316" t="s">
        <v>237</v>
      </c>
      <c r="L30" s="316" t="s">
        <v>237</v>
      </c>
      <c r="M30" s="316" t="s">
        <v>237</v>
      </c>
      <c r="N30" s="316" t="s">
        <v>237</v>
      </c>
      <c r="O30" s="316" t="s">
        <v>237</v>
      </c>
      <c r="P30" s="316" t="s">
        <v>237</v>
      </c>
    </row>
    <row r="31" spans="1:16" s="17" customFormat="1" ht="19.2" customHeight="1">
      <c r="A31" s="3"/>
      <c r="B31" s="3"/>
      <c r="C31" s="324" t="s">
        <v>470</v>
      </c>
      <c r="D31" s="318" t="s">
        <v>237</v>
      </c>
      <c r="E31" s="318" t="s">
        <v>237</v>
      </c>
      <c r="F31" s="318" t="s">
        <v>237</v>
      </c>
      <c r="G31" s="318">
        <v>8.1967213114754103E-3</v>
      </c>
      <c r="H31" s="318" t="s">
        <v>237</v>
      </c>
      <c r="I31" s="318">
        <v>2.1459227467811159E-2</v>
      </c>
      <c r="J31" s="318" t="s">
        <v>237</v>
      </c>
      <c r="K31" s="318" t="s">
        <v>237</v>
      </c>
      <c r="L31" s="318" t="s">
        <v>237</v>
      </c>
      <c r="M31" s="318" t="s">
        <v>237</v>
      </c>
      <c r="N31" s="318" t="s">
        <v>237</v>
      </c>
      <c r="O31" s="318">
        <v>0</v>
      </c>
      <c r="P31" s="318" t="s">
        <v>237</v>
      </c>
    </row>
    <row r="32" spans="1:16" s="17" customFormat="1" ht="19.2" customHeight="1">
      <c r="A32" s="3"/>
      <c r="B32" s="3"/>
      <c r="C32" s="325" t="s">
        <v>471</v>
      </c>
      <c r="D32" s="316" t="s">
        <v>237</v>
      </c>
      <c r="E32" s="316" t="s">
        <v>237</v>
      </c>
      <c r="F32" s="316" t="s">
        <v>237</v>
      </c>
      <c r="G32" s="316" t="s">
        <v>237</v>
      </c>
      <c r="H32" s="316" t="s">
        <v>237</v>
      </c>
      <c r="I32" s="316">
        <v>0.1038575667655786</v>
      </c>
      <c r="J32" s="316" t="s">
        <v>237</v>
      </c>
      <c r="K32" s="316" t="s">
        <v>237</v>
      </c>
      <c r="L32" s="316" t="s">
        <v>237</v>
      </c>
      <c r="M32" s="316" t="s">
        <v>237</v>
      </c>
      <c r="N32" s="316" t="s">
        <v>237</v>
      </c>
      <c r="O32" s="316" t="s">
        <v>237</v>
      </c>
      <c r="P32" s="316" t="s">
        <v>237</v>
      </c>
    </row>
    <row r="33" spans="1:17" s="17" customFormat="1" ht="19.2" customHeight="1">
      <c r="A33" s="3"/>
      <c r="B33" s="3"/>
      <c r="C33" s="324" t="s">
        <v>472</v>
      </c>
      <c r="D33" s="318" t="s">
        <v>237</v>
      </c>
      <c r="E33" s="318" t="s">
        <v>237</v>
      </c>
      <c r="F33" s="318" t="s">
        <v>237</v>
      </c>
      <c r="G33" s="318" t="s">
        <v>237</v>
      </c>
      <c r="H33" s="318" t="s">
        <v>237</v>
      </c>
      <c r="I33" s="318">
        <v>7.2580645161290328E-2</v>
      </c>
      <c r="J33" s="318" t="s">
        <v>237</v>
      </c>
      <c r="K33" s="318" t="s">
        <v>237</v>
      </c>
      <c r="L33" s="318" t="s">
        <v>237</v>
      </c>
      <c r="M33" s="318" t="s">
        <v>237</v>
      </c>
      <c r="N33" s="318" t="s">
        <v>237</v>
      </c>
      <c r="O33" s="318" t="s">
        <v>237</v>
      </c>
      <c r="P33" s="318" t="s">
        <v>237</v>
      </c>
    </row>
    <row r="34" spans="1:17" s="17" customFormat="1" ht="19.2" customHeight="1">
      <c r="A34" s="3"/>
      <c r="B34" s="3"/>
      <c r="C34" s="325" t="s">
        <v>474</v>
      </c>
      <c r="D34" s="316" t="s">
        <v>237</v>
      </c>
      <c r="E34" s="316" t="s">
        <v>237</v>
      </c>
      <c r="F34" s="316" t="s">
        <v>237</v>
      </c>
      <c r="G34" s="316" t="s">
        <v>237</v>
      </c>
      <c r="H34" s="316" t="s">
        <v>237</v>
      </c>
      <c r="I34" s="316">
        <v>1.6611295681063121E-2</v>
      </c>
      <c r="J34" s="316" t="s">
        <v>237</v>
      </c>
      <c r="K34" s="316" t="s">
        <v>237</v>
      </c>
      <c r="L34" s="316" t="s">
        <v>237</v>
      </c>
      <c r="M34" s="316" t="s">
        <v>237</v>
      </c>
      <c r="N34" s="316" t="s">
        <v>237</v>
      </c>
      <c r="O34" s="316" t="s">
        <v>237</v>
      </c>
      <c r="P34" s="316" t="s">
        <v>237</v>
      </c>
    </row>
    <row r="35" spans="1:17">
      <c r="C35" s="199"/>
      <c r="D35" s="7"/>
      <c r="M35" s="8"/>
      <c r="N35" s="8"/>
      <c r="O35" s="8"/>
      <c r="P35" s="8"/>
      <c r="Q35" s="8"/>
    </row>
    <row r="36" spans="1:17" ht="45.75" customHeight="1">
      <c r="C36" s="414" t="s">
        <v>125</v>
      </c>
      <c r="D36" s="52" t="s">
        <v>55</v>
      </c>
      <c r="E36" s="52" t="s">
        <v>56</v>
      </c>
      <c r="F36" s="52" t="s">
        <v>57</v>
      </c>
      <c r="G36" s="52" t="s">
        <v>58</v>
      </c>
      <c r="H36" s="52" t="s">
        <v>59</v>
      </c>
      <c r="I36" s="52" t="s">
        <v>60</v>
      </c>
      <c r="J36" s="52" t="s">
        <v>61</v>
      </c>
      <c r="K36" s="52" t="s">
        <v>62</v>
      </c>
      <c r="L36" s="52" t="s">
        <v>63</v>
      </c>
      <c r="M36" s="52" t="s">
        <v>64</v>
      </c>
      <c r="N36" s="52" t="s">
        <v>65</v>
      </c>
      <c r="O36" s="52" t="s">
        <v>66</v>
      </c>
      <c r="P36" s="52" t="s">
        <v>67</v>
      </c>
    </row>
    <row r="37" spans="1:17" s="17" customFormat="1" ht="19.2" customHeight="1">
      <c r="A37" s="3"/>
      <c r="B37" s="3"/>
      <c r="C37" s="324" t="s">
        <v>475</v>
      </c>
      <c r="D37" s="318" t="s">
        <v>237</v>
      </c>
      <c r="E37" s="318" t="s">
        <v>237</v>
      </c>
      <c r="F37" s="318" t="s">
        <v>237</v>
      </c>
      <c r="G37" s="318" t="s">
        <v>237</v>
      </c>
      <c r="H37" s="318" t="s">
        <v>237</v>
      </c>
      <c r="I37" s="318">
        <v>5.6657223796033997E-3</v>
      </c>
      <c r="J37" s="318" t="s">
        <v>237</v>
      </c>
      <c r="K37" s="318" t="s">
        <v>237</v>
      </c>
      <c r="L37" s="318" t="s">
        <v>237</v>
      </c>
      <c r="M37" s="318" t="s">
        <v>237</v>
      </c>
      <c r="N37" s="318" t="s">
        <v>237</v>
      </c>
      <c r="O37" s="318" t="s">
        <v>237</v>
      </c>
      <c r="P37" s="318" t="s">
        <v>237</v>
      </c>
    </row>
    <row r="38" spans="1:17" s="17" customFormat="1" ht="19.2" customHeight="1">
      <c r="A38" s="3"/>
      <c r="B38" s="3"/>
      <c r="C38" s="325" t="s">
        <v>481</v>
      </c>
      <c r="D38" s="316" t="s">
        <v>237</v>
      </c>
      <c r="E38" s="316" t="s">
        <v>237</v>
      </c>
      <c r="F38" s="316" t="s">
        <v>237</v>
      </c>
      <c r="G38" s="316" t="s">
        <v>237</v>
      </c>
      <c r="H38" s="316" t="s">
        <v>237</v>
      </c>
      <c r="I38" s="316">
        <v>1.54639175257732E-2</v>
      </c>
      <c r="J38" s="316" t="s">
        <v>237</v>
      </c>
      <c r="K38" s="316" t="s">
        <v>237</v>
      </c>
      <c r="L38" s="316" t="s">
        <v>237</v>
      </c>
      <c r="M38" s="316" t="s">
        <v>237</v>
      </c>
      <c r="N38" s="316" t="s">
        <v>237</v>
      </c>
      <c r="O38" s="316" t="s">
        <v>237</v>
      </c>
      <c r="P38" s="316" t="s">
        <v>237</v>
      </c>
    </row>
    <row r="39" spans="1:17" s="17" customFormat="1" ht="19.2" customHeight="1">
      <c r="A39" s="3"/>
      <c r="B39" s="3"/>
      <c r="C39" s="324" t="s">
        <v>484</v>
      </c>
      <c r="D39" s="318" t="s">
        <v>237</v>
      </c>
      <c r="E39" s="318" t="s">
        <v>237</v>
      </c>
      <c r="F39" s="318">
        <v>2.6666666666666668E-2</v>
      </c>
      <c r="G39" s="318">
        <v>3.875968992248062E-2</v>
      </c>
      <c r="H39" s="318" t="s">
        <v>237</v>
      </c>
      <c r="I39" s="318">
        <v>5.721393034825871E-2</v>
      </c>
      <c r="J39" s="318" t="s">
        <v>237</v>
      </c>
      <c r="K39" s="318">
        <v>4.3478260869565223E-2</v>
      </c>
      <c r="L39" s="318" t="s">
        <v>237</v>
      </c>
      <c r="M39" s="318">
        <v>2.793296089385475E-2</v>
      </c>
      <c r="N39" s="318" t="s">
        <v>237</v>
      </c>
      <c r="O39" s="318">
        <v>2.8169014084507039E-2</v>
      </c>
      <c r="P39" s="318" t="s">
        <v>237</v>
      </c>
    </row>
    <row r="40" spans="1:17" s="17" customFormat="1" ht="19.2" customHeight="1">
      <c r="A40" s="3"/>
      <c r="B40" s="3"/>
      <c r="C40" s="325" t="s">
        <v>486</v>
      </c>
      <c r="D40" s="316" t="s">
        <v>237</v>
      </c>
      <c r="E40" s="316" t="s">
        <v>237</v>
      </c>
      <c r="F40" s="316" t="s">
        <v>237</v>
      </c>
      <c r="G40" s="316" t="s">
        <v>237</v>
      </c>
      <c r="H40" s="316" t="s">
        <v>237</v>
      </c>
      <c r="I40" s="316">
        <v>2.222222222222222E-2</v>
      </c>
      <c r="J40" s="316" t="s">
        <v>237</v>
      </c>
      <c r="K40" s="316" t="s">
        <v>237</v>
      </c>
      <c r="L40" s="316" t="s">
        <v>237</v>
      </c>
      <c r="M40" s="316" t="s">
        <v>237</v>
      </c>
      <c r="N40" s="316" t="s">
        <v>237</v>
      </c>
      <c r="O40" s="316" t="s">
        <v>237</v>
      </c>
      <c r="P40" s="316" t="s">
        <v>237</v>
      </c>
    </row>
    <row r="41" spans="1:17" s="17" customFormat="1" ht="19.2" customHeight="1">
      <c r="A41" s="3"/>
      <c r="B41" s="3"/>
      <c r="C41" s="324" t="s">
        <v>487</v>
      </c>
      <c r="D41" s="318" t="s">
        <v>237</v>
      </c>
      <c r="E41" s="318" t="s">
        <v>237</v>
      </c>
      <c r="F41" s="318" t="s">
        <v>237</v>
      </c>
      <c r="G41" s="318" t="s">
        <v>237</v>
      </c>
      <c r="H41" s="318" t="s">
        <v>237</v>
      </c>
      <c r="I41" s="318">
        <v>1.3986013986013989E-2</v>
      </c>
      <c r="J41" s="318" t="s">
        <v>237</v>
      </c>
      <c r="K41" s="318" t="s">
        <v>237</v>
      </c>
      <c r="L41" s="318" t="s">
        <v>237</v>
      </c>
      <c r="M41" s="318" t="s">
        <v>237</v>
      </c>
      <c r="N41" s="318" t="s">
        <v>237</v>
      </c>
      <c r="O41" s="318" t="s">
        <v>237</v>
      </c>
      <c r="P41" s="318" t="s">
        <v>237</v>
      </c>
    </row>
    <row r="42" spans="1:17" s="17" customFormat="1" ht="19.2" customHeight="1">
      <c r="A42" s="3"/>
      <c r="B42" s="3"/>
      <c r="C42" s="325" t="s">
        <v>126</v>
      </c>
      <c r="D42" s="316" t="s">
        <v>237</v>
      </c>
      <c r="E42" s="316" t="s">
        <v>237</v>
      </c>
      <c r="F42" s="316">
        <v>7.4074074074074077E-3</v>
      </c>
      <c r="G42" s="316">
        <v>2.7397260273972601E-2</v>
      </c>
      <c r="H42" s="316" t="s">
        <v>237</v>
      </c>
      <c r="I42" s="316">
        <v>2.0057306590257881E-2</v>
      </c>
      <c r="J42" s="316" t="s">
        <v>237</v>
      </c>
      <c r="K42" s="316" t="s">
        <v>237</v>
      </c>
      <c r="L42" s="316" t="s">
        <v>237</v>
      </c>
      <c r="M42" s="316" t="s">
        <v>237</v>
      </c>
      <c r="N42" s="316" t="s">
        <v>237</v>
      </c>
      <c r="O42" s="316">
        <v>5.7142857142857141E-2</v>
      </c>
      <c r="P42" s="316">
        <v>4.5801526717557252E-2</v>
      </c>
    </row>
    <row r="43" spans="1:17" s="17" customFormat="1" ht="19.2" customHeight="1">
      <c r="A43" s="3"/>
      <c r="B43" s="3"/>
      <c r="C43" s="324" t="s">
        <v>490</v>
      </c>
      <c r="D43" s="318" t="s">
        <v>237</v>
      </c>
      <c r="E43" s="318" t="s">
        <v>237</v>
      </c>
      <c r="F43" s="318" t="s">
        <v>237</v>
      </c>
      <c r="G43" s="318" t="s">
        <v>237</v>
      </c>
      <c r="H43" s="318" t="s">
        <v>237</v>
      </c>
      <c r="I43" s="318">
        <v>6.920415224913495E-3</v>
      </c>
      <c r="J43" s="318" t="s">
        <v>237</v>
      </c>
      <c r="K43" s="318" t="s">
        <v>237</v>
      </c>
      <c r="L43" s="318" t="s">
        <v>237</v>
      </c>
      <c r="M43" s="318" t="s">
        <v>237</v>
      </c>
      <c r="N43" s="318" t="s">
        <v>237</v>
      </c>
      <c r="O43" s="318" t="s">
        <v>237</v>
      </c>
      <c r="P43" s="318" t="s">
        <v>237</v>
      </c>
    </row>
    <row r="44" spans="1:17" s="17" customFormat="1" ht="19.2" customHeight="1">
      <c r="A44" s="3"/>
      <c r="B44" s="3"/>
      <c r="C44" s="325" t="s">
        <v>491</v>
      </c>
      <c r="D44" s="316" t="s">
        <v>237</v>
      </c>
      <c r="E44" s="316" t="s">
        <v>237</v>
      </c>
      <c r="F44" s="316" t="s">
        <v>237</v>
      </c>
      <c r="G44" s="316">
        <v>5.4054054054054057E-2</v>
      </c>
      <c r="H44" s="316" t="s">
        <v>237</v>
      </c>
      <c r="I44" s="316">
        <v>2.734375E-2</v>
      </c>
      <c r="J44" s="316" t="s">
        <v>237</v>
      </c>
      <c r="K44" s="316" t="s">
        <v>237</v>
      </c>
      <c r="L44" s="316" t="s">
        <v>237</v>
      </c>
      <c r="M44" s="316" t="s">
        <v>237</v>
      </c>
      <c r="N44" s="316" t="s">
        <v>237</v>
      </c>
      <c r="O44" s="316">
        <v>1.492537313432836E-2</v>
      </c>
      <c r="P44" s="316" t="s">
        <v>237</v>
      </c>
    </row>
    <row r="45" spans="1:17" s="17" customFormat="1" ht="19.2" customHeight="1">
      <c r="A45" s="3"/>
      <c r="B45" s="3"/>
      <c r="C45" s="324" t="s">
        <v>492</v>
      </c>
      <c r="D45" s="318" t="s">
        <v>237</v>
      </c>
      <c r="E45" s="318" t="s">
        <v>237</v>
      </c>
      <c r="F45" s="318" t="s">
        <v>237</v>
      </c>
      <c r="G45" s="318" t="s">
        <v>237</v>
      </c>
      <c r="H45" s="318" t="s">
        <v>237</v>
      </c>
      <c r="I45" s="318">
        <v>5.6000000000000001E-2</v>
      </c>
      <c r="J45" s="318" t="s">
        <v>237</v>
      </c>
      <c r="K45" s="318" t="s">
        <v>237</v>
      </c>
      <c r="L45" s="318" t="s">
        <v>237</v>
      </c>
      <c r="M45" s="318" t="s">
        <v>237</v>
      </c>
      <c r="N45" s="318" t="s">
        <v>237</v>
      </c>
      <c r="O45" s="318" t="s">
        <v>237</v>
      </c>
      <c r="P45" s="318" t="s">
        <v>237</v>
      </c>
    </row>
    <row r="46" spans="1:17" s="17" customFormat="1" ht="19.2" customHeight="1">
      <c r="A46" s="3"/>
      <c r="B46" s="3"/>
      <c r="C46" s="325" t="s">
        <v>493</v>
      </c>
      <c r="D46" s="316" t="s">
        <v>237</v>
      </c>
      <c r="E46" s="316" t="s">
        <v>237</v>
      </c>
      <c r="F46" s="316" t="s">
        <v>237</v>
      </c>
      <c r="G46" s="316" t="s">
        <v>237</v>
      </c>
      <c r="H46" s="316" t="s">
        <v>237</v>
      </c>
      <c r="I46" s="316">
        <v>7.7844311377245512E-2</v>
      </c>
      <c r="J46" s="316" t="s">
        <v>237</v>
      </c>
      <c r="K46" s="316" t="s">
        <v>237</v>
      </c>
      <c r="L46" s="316" t="s">
        <v>237</v>
      </c>
      <c r="M46" s="316" t="s">
        <v>237</v>
      </c>
      <c r="N46" s="316" t="s">
        <v>237</v>
      </c>
      <c r="O46" s="316">
        <v>1.2072434607645869E-2</v>
      </c>
      <c r="P46" s="316" t="s">
        <v>237</v>
      </c>
    </row>
    <row r="47" spans="1:17" s="17" customFormat="1" ht="19.2" customHeight="1">
      <c r="A47" s="3"/>
      <c r="B47" s="3"/>
      <c r="C47" s="324" t="s">
        <v>494</v>
      </c>
      <c r="D47" s="318" t="s">
        <v>237</v>
      </c>
      <c r="E47" s="318" t="s">
        <v>237</v>
      </c>
      <c r="F47" s="318" t="s">
        <v>237</v>
      </c>
      <c r="G47" s="318" t="s">
        <v>237</v>
      </c>
      <c r="H47" s="318" t="s">
        <v>237</v>
      </c>
      <c r="I47" s="318">
        <v>0</v>
      </c>
      <c r="J47" s="318" t="s">
        <v>237</v>
      </c>
      <c r="K47" s="318" t="s">
        <v>237</v>
      </c>
      <c r="L47" s="318" t="s">
        <v>237</v>
      </c>
      <c r="M47" s="318" t="s">
        <v>237</v>
      </c>
      <c r="N47" s="318" t="s">
        <v>237</v>
      </c>
      <c r="O47" s="318">
        <v>1.7045454545454541E-2</v>
      </c>
      <c r="P47" s="318">
        <v>2.222222222222222E-2</v>
      </c>
    </row>
    <row r="48" spans="1:17" s="17" customFormat="1" ht="19.2" customHeight="1">
      <c r="A48" s="3"/>
      <c r="B48" s="3"/>
      <c r="C48" s="325" t="s">
        <v>127</v>
      </c>
      <c r="D48" s="316" t="s">
        <v>237</v>
      </c>
      <c r="E48" s="316" t="s">
        <v>237</v>
      </c>
      <c r="F48" s="316" t="s">
        <v>237</v>
      </c>
      <c r="G48" s="316" t="s">
        <v>237</v>
      </c>
      <c r="H48" s="316" t="s">
        <v>237</v>
      </c>
      <c r="I48" s="316">
        <v>8.3333333333333329E-2</v>
      </c>
      <c r="J48" s="316" t="s">
        <v>237</v>
      </c>
      <c r="K48" s="316" t="s">
        <v>237</v>
      </c>
      <c r="L48" s="316" t="s">
        <v>237</v>
      </c>
      <c r="M48" s="316" t="s">
        <v>237</v>
      </c>
      <c r="N48" s="316" t="s">
        <v>237</v>
      </c>
      <c r="O48" s="316" t="s">
        <v>237</v>
      </c>
      <c r="P48" s="316" t="s">
        <v>237</v>
      </c>
    </row>
    <row r="49" spans="1:18" s="17" customFormat="1" ht="19.2" customHeight="1">
      <c r="A49" s="3"/>
      <c r="B49" s="3"/>
      <c r="C49" s="324" t="s">
        <v>495</v>
      </c>
      <c r="D49" s="318" t="s">
        <v>237</v>
      </c>
      <c r="E49" s="318" t="s">
        <v>237</v>
      </c>
      <c r="F49" s="318" t="s">
        <v>237</v>
      </c>
      <c r="G49" s="318" t="s">
        <v>237</v>
      </c>
      <c r="H49" s="318" t="s">
        <v>237</v>
      </c>
      <c r="I49" s="318">
        <v>0</v>
      </c>
      <c r="J49" s="318" t="s">
        <v>237</v>
      </c>
      <c r="K49" s="318" t="s">
        <v>237</v>
      </c>
      <c r="L49" s="318" t="s">
        <v>237</v>
      </c>
      <c r="M49" s="318" t="s">
        <v>237</v>
      </c>
      <c r="N49" s="318" t="s">
        <v>237</v>
      </c>
      <c r="O49" s="318" t="s">
        <v>237</v>
      </c>
      <c r="P49" s="318" t="s">
        <v>237</v>
      </c>
    </row>
    <row r="50" spans="1:18" s="17" customFormat="1" ht="19.2" customHeight="1">
      <c r="A50" s="3"/>
      <c r="B50" s="3"/>
      <c r="C50" s="325" t="s">
        <v>496</v>
      </c>
      <c r="D50" s="316" t="s">
        <v>237</v>
      </c>
      <c r="E50" s="316" t="s">
        <v>237</v>
      </c>
      <c r="F50" s="316">
        <v>7.0707070707070704E-2</v>
      </c>
      <c r="G50" s="316">
        <v>1.6393442622950821E-2</v>
      </c>
      <c r="H50" s="316" t="s">
        <v>237</v>
      </c>
      <c r="I50" s="316">
        <v>2.3809523809523812E-2</v>
      </c>
      <c r="J50" s="316" t="s">
        <v>237</v>
      </c>
      <c r="K50" s="316">
        <v>4.72972972972973E-2</v>
      </c>
      <c r="L50" s="316" t="s">
        <v>237</v>
      </c>
      <c r="M50" s="316" t="s">
        <v>237</v>
      </c>
      <c r="N50" s="316" t="s">
        <v>237</v>
      </c>
      <c r="O50" s="316" t="s">
        <v>237</v>
      </c>
      <c r="P50" s="316" t="s">
        <v>237</v>
      </c>
    </row>
    <row r="51" spans="1:18" s="17" customFormat="1" ht="19.2" customHeight="1">
      <c r="A51" s="3"/>
      <c r="B51" s="3"/>
      <c r="C51" s="324" t="s">
        <v>497</v>
      </c>
      <c r="D51" s="318" t="s">
        <v>237</v>
      </c>
      <c r="E51" s="318" t="s">
        <v>237</v>
      </c>
      <c r="F51" s="318" t="s">
        <v>237</v>
      </c>
      <c r="G51" s="318">
        <v>7.5187969924812026E-3</v>
      </c>
      <c r="H51" s="318" t="s">
        <v>237</v>
      </c>
      <c r="I51" s="318">
        <v>6.7340067340067337E-3</v>
      </c>
      <c r="J51" s="318" t="s">
        <v>237</v>
      </c>
      <c r="K51" s="318" t="s">
        <v>237</v>
      </c>
      <c r="L51" s="318" t="s">
        <v>237</v>
      </c>
      <c r="M51" s="318" t="s">
        <v>237</v>
      </c>
      <c r="N51" s="318" t="s">
        <v>237</v>
      </c>
      <c r="O51" s="318" t="s">
        <v>237</v>
      </c>
      <c r="P51" s="318" t="s">
        <v>237</v>
      </c>
    </row>
    <row r="52" spans="1:18" s="17" customFormat="1" ht="19.2" customHeight="1">
      <c r="A52" s="3"/>
      <c r="B52" s="3"/>
      <c r="C52" s="325" t="s">
        <v>498</v>
      </c>
      <c r="D52" s="316" t="s">
        <v>237</v>
      </c>
      <c r="E52" s="316" t="s">
        <v>237</v>
      </c>
      <c r="F52" s="316" t="s">
        <v>237</v>
      </c>
      <c r="G52" s="316">
        <v>6.0606060606060608E-2</v>
      </c>
      <c r="H52" s="316" t="s">
        <v>237</v>
      </c>
      <c r="I52" s="316">
        <v>1.9193857965451051E-3</v>
      </c>
      <c r="J52" s="316" t="s">
        <v>237</v>
      </c>
      <c r="K52" s="316" t="s">
        <v>237</v>
      </c>
      <c r="L52" s="316" t="s">
        <v>237</v>
      </c>
      <c r="M52" s="316" t="s">
        <v>237</v>
      </c>
      <c r="N52" s="316" t="s">
        <v>237</v>
      </c>
      <c r="O52" s="316" t="s">
        <v>237</v>
      </c>
      <c r="P52" s="316" t="s">
        <v>237</v>
      </c>
    </row>
    <row r="53" spans="1:18" s="17" customFormat="1" ht="19.2" customHeight="1">
      <c r="A53" s="3"/>
      <c r="B53" s="3"/>
      <c r="C53" s="324" t="s">
        <v>128</v>
      </c>
      <c r="D53" s="318" t="s">
        <v>237</v>
      </c>
      <c r="E53" s="318" t="s">
        <v>237</v>
      </c>
      <c r="F53" s="318">
        <v>2.564102564102564E-2</v>
      </c>
      <c r="G53" s="318">
        <v>0.01</v>
      </c>
      <c r="H53" s="318" t="s">
        <v>237</v>
      </c>
      <c r="I53" s="318">
        <v>2.18522372528616E-2</v>
      </c>
      <c r="J53" s="318" t="s">
        <v>237</v>
      </c>
      <c r="K53" s="318">
        <v>2.9629629629629631E-2</v>
      </c>
      <c r="L53" s="318" t="s">
        <v>237</v>
      </c>
      <c r="M53" s="318">
        <v>2.180685358255452E-2</v>
      </c>
      <c r="N53" s="318" t="s">
        <v>237</v>
      </c>
      <c r="O53" s="318" t="s">
        <v>237</v>
      </c>
      <c r="P53" s="318">
        <v>3.8135593220338992E-2</v>
      </c>
    </row>
    <row r="54" spans="1:18" s="17" customFormat="1" ht="19.2" customHeight="1">
      <c r="A54" s="3"/>
      <c r="B54" s="3"/>
      <c r="C54" s="325" t="s">
        <v>502</v>
      </c>
      <c r="D54" s="316" t="s">
        <v>237</v>
      </c>
      <c r="E54" s="316" t="s">
        <v>237</v>
      </c>
      <c r="F54" s="316" t="s">
        <v>237</v>
      </c>
      <c r="G54" s="316" t="s">
        <v>237</v>
      </c>
      <c r="H54" s="316" t="s">
        <v>237</v>
      </c>
      <c r="I54" s="316">
        <v>6.5420560747663545E-2</v>
      </c>
      <c r="J54" s="316" t="s">
        <v>237</v>
      </c>
      <c r="K54" s="316" t="s">
        <v>237</v>
      </c>
      <c r="L54" s="316" t="s">
        <v>237</v>
      </c>
      <c r="M54" s="316" t="s">
        <v>237</v>
      </c>
      <c r="N54" s="316" t="s">
        <v>237</v>
      </c>
      <c r="O54" s="316">
        <v>5.7142857142857141E-2</v>
      </c>
      <c r="P54" s="316" t="s">
        <v>237</v>
      </c>
    </row>
    <row r="55" spans="1:18" s="17" customFormat="1" ht="19.2" customHeight="1">
      <c r="A55" s="3"/>
      <c r="B55" s="3"/>
      <c r="C55" s="324" t="s">
        <v>503</v>
      </c>
      <c r="D55" s="318" t="s">
        <v>237</v>
      </c>
      <c r="E55" s="318" t="s">
        <v>237</v>
      </c>
      <c r="F55" s="318" t="s">
        <v>237</v>
      </c>
      <c r="G55" s="318" t="s">
        <v>237</v>
      </c>
      <c r="H55" s="318" t="s">
        <v>237</v>
      </c>
      <c r="I55" s="318">
        <v>0</v>
      </c>
      <c r="J55" s="318" t="s">
        <v>237</v>
      </c>
      <c r="K55" s="318" t="s">
        <v>237</v>
      </c>
      <c r="L55" s="318" t="s">
        <v>237</v>
      </c>
      <c r="M55" s="318" t="s">
        <v>237</v>
      </c>
      <c r="N55" s="318" t="s">
        <v>237</v>
      </c>
      <c r="O55" s="318" t="s">
        <v>237</v>
      </c>
      <c r="P55" s="318" t="s">
        <v>237</v>
      </c>
    </row>
    <row r="56" spans="1:18" s="17" customFormat="1" ht="19.2" customHeight="1">
      <c r="A56" s="3"/>
      <c r="B56" s="3"/>
      <c r="C56" s="325" t="s">
        <v>505</v>
      </c>
      <c r="D56" s="316" t="s">
        <v>237</v>
      </c>
      <c r="E56" s="316" t="s">
        <v>237</v>
      </c>
      <c r="F56" s="316" t="s">
        <v>237</v>
      </c>
      <c r="G56" s="316" t="s">
        <v>237</v>
      </c>
      <c r="H56" s="316" t="s">
        <v>237</v>
      </c>
      <c r="I56" s="316" t="s">
        <v>237</v>
      </c>
      <c r="J56" s="316" t="s">
        <v>237</v>
      </c>
      <c r="K56" s="316" t="s">
        <v>237</v>
      </c>
      <c r="L56" s="316" t="s">
        <v>237</v>
      </c>
      <c r="M56" s="316" t="s">
        <v>237</v>
      </c>
      <c r="N56" s="316" t="s">
        <v>237</v>
      </c>
      <c r="O56" s="316">
        <v>1.2422360248447201E-2</v>
      </c>
      <c r="P56" s="316" t="s">
        <v>237</v>
      </c>
    </row>
    <row r="57" spans="1:18" s="17" customFormat="1" ht="19.2" customHeight="1">
      <c r="A57" s="3"/>
      <c r="B57" s="3"/>
      <c r="C57" s="324" t="s">
        <v>506</v>
      </c>
      <c r="D57" s="318" t="s">
        <v>237</v>
      </c>
      <c r="E57" s="318" t="s">
        <v>237</v>
      </c>
      <c r="F57" s="318" t="s">
        <v>237</v>
      </c>
      <c r="G57" s="318" t="s">
        <v>237</v>
      </c>
      <c r="H57" s="318" t="s">
        <v>237</v>
      </c>
      <c r="I57" s="318">
        <v>2.538071065989848E-2</v>
      </c>
      <c r="J57" s="318" t="s">
        <v>237</v>
      </c>
      <c r="K57" s="318" t="s">
        <v>237</v>
      </c>
      <c r="L57" s="318" t="s">
        <v>237</v>
      </c>
      <c r="M57" s="318" t="s">
        <v>237</v>
      </c>
      <c r="N57" s="318" t="s">
        <v>237</v>
      </c>
      <c r="O57" s="318" t="s">
        <v>237</v>
      </c>
      <c r="P57" s="318" t="s">
        <v>237</v>
      </c>
    </row>
    <row r="58" spans="1:18" s="17" customFormat="1" ht="19.2" customHeight="1">
      <c r="A58" s="3"/>
      <c r="B58" s="3"/>
      <c r="C58" s="325" t="s">
        <v>507</v>
      </c>
      <c r="D58" s="316" t="s">
        <v>237</v>
      </c>
      <c r="E58" s="316" t="s">
        <v>237</v>
      </c>
      <c r="F58" s="316" t="s">
        <v>237</v>
      </c>
      <c r="G58" s="316">
        <v>0.14049586776859499</v>
      </c>
      <c r="H58" s="316" t="s">
        <v>237</v>
      </c>
      <c r="I58" s="316" t="s">
        <v>237</v>
      </c>
      <c r="J58" s="316" t="s">
        <v>237</v>
      </c>
      <c r="K58" s="316" t="s">
        <v>237</v>
      </c>
      <c r="L58" s="316" t="s">
        <v>237</v>
      </c>
      <c r="M58" s="316" t="s">
        <v>237</v>
      </c>
      <c r="N58" s="316" t="s">
        <v>237</v>
      </c>
      <c r="O58" s="316" t="s">
        <v>237</v>
      </c>
      <c r="P58" s="316" t="s">
        <v>237</v>
      </c>
    </row>
    <row r="59" spans="1:18" s="17" customFormat="1" ht="19.2" customHeight="1">
      <c r="A59" s="3"/>
      <c r="B59" s="3"/>
      <c r="C59" s="324" t="s">
        <v>508</v>
      </c>
      <c r="D59" s="318" t="s">
        <v>237</v>
      </c>
      <c r="E59" s="318" t="s">
        <v>237</v>
      </c>
      <c r="F59" s="318" t="s">
        <v>237</v>
      </c>
      <c r="G59" s="318" t="s">
        <v>237</v>
      </c>
      <c r="H59" s="318" t="s">
        <v>237</v>
      </c>
      <c r="I59" s="318">
        <v>1.515151515151515E-2</v>
      </c>
      <c r="J59" s="318" t="s">
        <v>237</v>
      </c>
      <c r="K59" s="318" t="s">
        <v>237</v>
      </c>
      <c r="L59" s="318" t="s">
        <v>237</v>
      </c>
      <c r="M59" s="318" t="s">
        <v>237</v>
      </c>
      <c r="N59" s="318" t="s">
        <v>237</v>
      </c>
      <c r="O59" s="318" t="s">
        <v>237</v>
      </c>
      <c r="P59" s="318" t="s">
        <v>237</v>
      </c>
      <c r="R59" s="433"/>
    </row>
    <row r="60" spans="1:18" s="17" customFormat="1" ht="19.2" customHeight="1">
      <c r="A60" s="3"/>
      <c r="B60" s="3"/>
      <c r="C60" s="325" t="s">
        <v>129</v>
      </c>
      <c r="D60" s="316" t="s">
        <v>237</v>
      </c>
      <c r="E60" s="316" t="s">
        <v>237</v>
      </c>
      <c r="F60" s="316">
        <v>2.8753993610223641E-2</v>
      </c>
      <c r="G60" s="316">
        <v>3.896103896103896E-2</v>
      </c>
      <c r="H60" s="316" t="s">
        <v>237</v>
      </c>
      <c r="I60" s="316">
        <v>2.0366598778004071E-3</v>
      </c>
      <c r="J60" s="316">
        <v>5.9701492537313432E-2</v>
      </c>
      <c r="K60" s="316">
        <v>3.717472118959108E-2</v>
      </c>
      <c r="L60" s="316" t="s">
        <v>237</v>
      </c>
      <c r="M60" s="316">
        <v>1.38121546961326E-2</v>
      </c>
      <c r="N60" s="316" t="s">
        <v>237</v>
      </c>
      <c r="O60" s="316">
        <v>3.0136986301369861E-2</v>
      </c>
      <c r="P60" s="316" t="s">
        <v>237</v>
      </c>
    </row>
    <row r="61" spans="1:18" s="17" customFormat="1" ht="19.2" customHeight="1">
      <c r="A61" s="3"/>
      <c r="B61" s="3"/>
      <c r="C61" s="324" t="s">
        <v>510</v>
      </c>
      <c r="D61" s="318" t="s">
        <v>237</v>
      </c>
      <c r="E61" s="318" t="s">
        <v>237</v>
      </c>
      <c r="F61" s="318" t="s">
        <v>237</v>
      </c>
      <c r="G61" s="318" t="s">
        <v>237</v>
      </c>
      <c r="H61" s="318" t="s">
        <v>237</v>
      </c>
      <c r="I61" s="318">
        <v>5.4216867469879519E-2</v>
      </c>
      <c r="J61" s="318" t="s">
        <v>237</v>
      </c>
      <c r="K61" s="318" t="s">
        <v>237</v>
      </c>
      <c r="L61" s="318" t="s">
        <v>237</v>
      </c>
      <c r="M61" s="318" t="s">
        <v>237</v>
      </c>
      <c r="N61" s="318" t="s">
        <v>237</v>
      </c>
      <c r="O61" s="318" t="s">
        <v>237</v>
      </c>
      <c r="P61" s="318" t="s">
        <v>237</v>
      </c>
    </row>
    <row r="62" spans="1:18" s="17" customFormat="1" ht="19.2" customHeight="1">
      <c r="A62" s="3"/>
      <c r="B62" s="3"/>
      <c r="C62" s="325" t="s">
        <v>511</v>
      </c>
      <c r="D62" s="316" t="s">
        <v>237</v>
      </c>
      <c r="E62" s="316" t="s">
        <v>237</v>
      </c>
      <c r="F62" s="316">
        <v>2.1582733812949641E-2</v>
      </c>
      <c r="G62" s="316">
        <v>6.5934065934065936E-2</v>
      </c>
      <c r="H62" s="316" t="s">
        <v>237</v>
      </c>
      <c r="I62" s="316">
        <v>3.7974683544303799E-2</v>
      </c>
      <c r="J62" s="316" t="s">
        <v>237</v>
      </c>
      <c r="K62" s="316">
        <v>6.8181818181818177E-2</v>
      </c>
      <c r="L62" s="316" t="s">
        <v>237</v>
      </c>
      <c r="M62" s="316">
        <v>7.4257425742574254E-2</v>
      </c>
      <c r="N62" s="316" t="s">
        <v>237</v>
      </c>
      <c r="O62" s="316">
        <v>0.216</v>
      </c>
      <c r="P62" s="316" t="s">
        <v>237</v>
      </c>
    </row>
    <row r="63" spans="1:18" s="17" customFormat="1" ht="19.2" customHeight="1">
      <c r="A63" s="3"/>
      <c r="B63" s="3"/>
      <c r="C63" s="324" t="s">
        <v>512</v>
      </c>
      <c r="D63" s="318" t="s">
        <v>237</v>
      </c>
      <c r="E63" s="318" t="s">
        <v>237</v>
      </c>
      <c r="F63" s="318" t="s">
        <v>237</v>
      </c>
      <c r="G63" s="318" t="s">
        <v>237</v>
      </c>
      <c r="H63" s="318" t="s">
        <v>237</v>
      </c>
      <c r="I63" s="318">
        <v>3.015075376884422E-2</v>
      </c>
      <c r="J63" s="318" t="s">
        <v>237</v>
      </c>
      <c r="K63" s="318" t="s">
        <v>237</v>
      </c>
      <c r="L63" s="318" t="s">
        <v>237</v>
      </c>
      <c r="M63" s="318" t="s">
        <v>237</v>
      </c>
      <c r="N63" s="318" t="s">
        <v>237</v>
      </c>
      <c r="O63" s="318">
        <v>4.3749999999999997E-2</v>
      </c>
      <c r="P63" s="318" t="s">
        <v>237</v>
      </c>
    </row>
    <row r="64" spans="1:18" s="17" customFormat="1" ht="19.2" customHeight="1">
      <c r="A64" s="3"/>
      <c r="B64" s="3"/>
      <c r="C64" s="325" t="s">
        <v>514</v>
      </c>
      <c r="D64" s="316" t="s">
        <v>237</v>
      </c>
      <c r="E64" s="316" t="s">
        <v>237</v>
      </c>
      <c r="F64" s="316" t="s">
        <v>237</v>
      </c>
      <c r="G64" s="316" t="s">
        <v>237</v>
      </c>
      <c r="H64" s="316" t="s">
        <v>237</v>
      </c>
      <c r="I64" s="316">
        <v>1.360544217687075E-2</v>
      </c>
      <c r="J64" s="316" t="s">
        <v>237</v>
      </c>
      <c r="K64" s="316" t="s">
        <v>237</v>
      </c>
      <c r="L64" s="316" t="s">
        <v>237</v>
      </c>
      <c r="M64" s="316" t="s">
        <v>237</v>
      </c>
      <c r="N64" s="316" t="s">
        <v>237</v>
      </c>
      <c r="O64" s="316">
        <v>0</v>
      </c>
      <c r="P64" s="316" t="s">
        <v>237</v>
      </c>
    </row>
    <row r="65" spans="1:16" s="17" customFormat="1" ht="19.2" customHeight="1">
      <c r="A65" s="3"/>
      <c r="B65" s="3"/>
      <c r="C65" s="324" t="s">
        <v>130</v>
      </c>
      <c r="D65" s="318" t="s">
        <v>237</v>
      </c>
      <c r="E65" s="318" t="s">
        <v>237</v>
      </c>
      <c r="F65" s="318" t="s">
        <v>237</v>
      </c>
      <c r="G65" s="318" t="s">
        <v>237</v>
      </c>
      <c r="H65" s="318" t="s">
        <v>237</v>
      </c>
      <c r="I65" s="318">
        <v>7.0422535211267607E-3</v>
      </c>
      <c r="J65" s="318" t="s">
        <v>237</v>
      </c>
      <c r="K65" s="318" t="s">
        <v>237</v>
      </c>
      <c r="L65" s="318" t="s">
        <v>237</v>
      </c>
      <c r="M65" s="318" t="s">
        <v>237</v>
      </c>
      <c r="N65" s="318" t="s">
        <v>237</v>
      </c>
      <c r="O65" s="318">
        <v>1.3157894736842099E-2</v>
      </c>
      <c r="P65" s="318" t="s">
        <v>237</v>
      </c>
    </row>
    <row r="66" spans="1:16" s="17" customFormat="1" ht="19.2" customHeight="1">
      <c r="A66" s="3"/>
      <c r="B66" s="3"/>
      <c r="C66" s="325" t="s">
        <v>517</v>
      </c>
      <c r="D66" s="316" t="s">
        <v>237</v>
      </c>
      <c r="E66" s="316" t="s">
        <v>237</v>
      </c>
      <c r="F66" s="316">
        <v>2.3809523809523812E-2</v>
      </c>
      <c r="G66" s="316" t="s">
        <v>237</v>
      </c>
      <c r="H66" s="316" t="s">
        <v>237</v>
      </c>
      <c r="I66" s="316">
        <v>2.7472527472527469E-2</v>
      </c>
      <c r="J66" s="316" t="s">
        <v>237</v>
      </c>
      <c r="K66" s="316">
        <v>1.136363636363636E-2</v>
      </c>
      <c r="L66" s="316" t="s">
        <v>237</v>
      </c>
      <c r="M66" s="316" t="s">
        <v>237</v>
      </c>
      <c r="N66" s="316" t="s">
        <v>237</v>
      </c>
      <c r="O66" s="316" t="s">
        <v>237</v>
      </c>
      <c r="P66" s="316" t="s">
        <v>237</v>
      </c>
    </row>
    <row r="67" spans="1:16" s="17" customFormat="1" ht="19.2" customHeight="1">
      <c r="A67" s="3"/>
      <c r="B67" s="3"/>
      <c r="C67" s="324" t="s">
        <v>518</v>
      </c>
      <c r="D67" s="318" t="s">
        <v>237</v>
      </c>
      <c r="E67" s="318" t="s">
        <v>237</v>
      </c>
      <c r="F67" s="318" t="s">
        <v>237</v>
      </c>
      <c r="G67" s="318" t="s">
        <v>237</v>
      </c>
      <c r="H67" s="318" t="s">
        <v>237</v>
      </c>
      <c r="I67" s="318">
        <v>8.0402010050251257E-2</v>
      </c>
      <c r="J67" s="318" t="s">
        <v>237</v>
      </c>
      <c r="K67" s="318" t="s">
        <v>237</v>
      </c>
      <c r="L67" s="318" t="s">
        <v>237</v>
      </c>
      <c r="M67" s="318" t="s">
        <v>237</v>
      </c>
      <c r="N67" s="318" t="s">
        <v>237</v>
      </c>
      <c r="O67" s="318" t="s">
        <v>237</v>
      </c>
      <c r="P67" s="318" t="s">
        <v>237</v>
      </c>
    </row>
    <row r="68" spans="1:16" s="17" customFormat="1" ht="18.75" hidden="1" customHeight="1" outlineLevel="1">
      <c r="A68" s="3"/>
      <c r="B68" s="3"/>
      <c r="C68" s="434" t="s">
        <v>520</v>
      </c>
      <c r="D68" s="431" t="s">
        <v>237</v>
      </c>
      <c r="E68" s="431" t="s">
        <v>237</v>
      </c>
      <c r="F68" s="431" t="s">
        <v>237</v>
      </c>
      <c r="G68" s="431" t="s">
        <v>237</v>
      </c>
      <c r="H68" s="431" t="s">
        <v>237</v>
      </c>
      <c r="I68" s="431" t="s">
        <v>237</v>
      </c>
      <c r="J68" s="431" t="s">
        <v>237</v>
      </c>
      <c r="K68" s="431" t="s">
        <v>237</v>
      </c>
      <c r="L68" s="431" t="s">
        <v>237</v>
      </c>
      <c r="M68" s="431" t="s">
        <v>237</v>
      </c>
      <c r="N68" s="431" t="s">
        <v>237</v>
      </c>
      <c r="O68" s="435" t="s">
        <v>237</v>
      </c>
      <c r="P68" s="432" t="s">
        <v>237</v>
      </c>
    </row>
    <row r="69" spans="1:16" s="17" customFormat="1" ht="19.2" hidden="1" customHeight="1" outlineLevel="1">
      <c r="A69" s="3"/>
      <c r="B69" s="3"/>
      <c r="C69" s="324" t="s">
        <v>522</v>
      </c>
      <c r="D69" s="318" t="s">
        <v>237</v>
      </c>
      <c r="E69" s="318" t="s">
        <v>237</v>
      </c>
      <c r="F69" s="318" t="s">
        <v>237</v>
      </c>
      <c r="G69" s="318" t="s">
        <v>237</v>
      </c>
      <c r="H69" s="318" t="s">
        <v>237</v>
      </c>
      <c r="I69" s="318" t="s">
        <v>237</v>
      </c>
      <c r="J69" s="318" t="s">
        <v>237</v>
      </c>
      <c r="K69" s="318" t="s">
        <v>237</v>
      </c>
      <c r="L69" s="318" t="s">
        <v>237</v>
      </c>
      <c r="M69" s="318" t="s">
        <v>237</v>
      </c>
      <c r="N69" s="318" t="s">
        <v>237</v>
      </c>
      <c r="O69" s="328" t="s">
        <v>237</v>
      </c>
      <c r="P69" s="319" t="s">
        <v>237</v>
      </c>
    </row>
    <row r="70" spans="1:16" s="17" customFormat="1" ht="19.2" hidden="1" customHeight="1" outlineLevel="1">
      <c r="A70" s="3"/>
      <c r="B70" s="3"/>
      <c r="C70" s="325" t="s">
        <v>522</v>
      </c>
      <c r="D70" s="316" t="s">
        <v>237</v>
      </c>
      <c r="E70" s="316" t="s">
        <v>237</v>
      </c>
      <c r="F70" s="316" t="s">
        <v>237</v>
      </c>
      <c r="G70" s="316" t="s">
        <v>237</v>
      </c>
      <c r="H70" s="316" t="s">
        <v>237</v>
      </c>
      <c r="I70" s="316" t="s">
        <v>237</v>
      </c>
      <c r="J70" s="316" t="s">
        <v>237</v>
      </c>
      <c r="K70" s="316" t="s">
        <v>237</v>
      </c>
      <c r="L70" s="316" t="s">
        <v>237</v>
      </c>
      <c r="M70" s="316" t="s">
        <v>237</v>
      </c>
      <c r="N70" s="316" t="s">
        <v>237</v>
      </c>
      <c r="O70" s="329" t="s">
        <v>237</v>
      </c>
      <c r="P70" s="317" t="s">
        <v>237</v>
      </c>
    </row>
    <row r="71" spans="1:16" s="17" customFormat="1" ht="19.2" hidden="1" customHeight="1" outlineLevel="1">
      <c r="A71" s="3"/>
      <c r="B71" s="3"/>
      <c r="C71" s="324" t="s">
        <v>522</v>
      </c>
      <c r="D71" s="318" t="s">
        <v>237</v>
      </c>
      <c r="E71" s="318" t="s">
        <v>237</v>
      </c>
      <c r="F71" s="318" t="s">
        <v>237</v>
      </c>
      <c r="G71" s="318" t="s">
        <v>237</v>
      </c>
      <c r="H71" s="318" t="s">
        <v>237</v>
      </c>
      <c r="I71" s="318" t="s">
        <v>237</v>
      </c>
      <c r="J71" s="318" t="s">
        <v>237</v>
      </c>
      <c r="K71" s="318" t="s">
        <v>237</v>
      </c>
      <c r="L71" s="318" t="s">
        <v>237</v>
      </c>
      <c r="M71" s="318" t="s">
        <v>237</v>
      </c>
      <c r="N71" s="318" t="s">
        <v>237</v>
      </c>
      <c r="O71" s="328" t="s">
        <v>237</v>
      </c>
      <c r="P71" s="319" t="s">
        <v>237</v>
      </c>
    </row>
    <row r="72" spans="1:16" s="17" customFormat="1" ht="19.2" hidden="1" customHeight="1" outlineLevel="1">
      <c r="A72" s="3"/>
      <c r="B72" s="3"/>
      <c r="C72" s="325" t="s">
        <v>522</v>
      </c>
      <c r="D72" s="316" t="s">
        <v>237</v>
      </c>
      <c r="E72" s="316" t="s">
        <v>237</v>
      </c>
      <c r="F72" s="316" t="s">
        <v>237</v>
      </c>
      <c r="G72" s="316" t="s">
        <v>237</v>
      </c>
      <c r="H72" s="316" t="s">
        <v>237</v>
      </c>
      <c r="I72" s="316" t="s">
        <v>237</v>
      </c>
      <c r="J72" s="316" t="s">
        <v>237</v>
      </c>
      <c r="K72" s="316" t="s">
        <v>237</v>
      </c>
      <c r="L72" s="316" t="s">
        <v>237</v>
      </c>
      <c r="M72" s="316" t="s">
        <v>237</v>
      </c>
      <c r="N72" s="316" t="s">
        <v>237</v>
      </c>
      <c r="O72" s="329" t="s">
        <v>237</v>
      </c>
      <c r="P72" s="317" t="s">
        <v>237</v>
      </c>
    </row>
    <row r="73" spans="1:16" s="17" customFormat="1" ht="19.2" hidden="1" customHeight="1" outlineLevel="1">
      <c r="A73" s="3"/>
      <c r="B73" s="3"/>
      <c r="C73" s="324" t="s">
        <v>522</v>
      </c>
      <c r="D73" s="330" t="s">
        <v>237</v>
      </c>
      <c r="E73" s="330" t="s">
        <v>237</v>
      </c>
      <c r="F73" s="330" t="s">
        <v>237</v>
      </c>
      <c r="G73" s="330" t="s">
        <v>237</v>
      </c>
      <c r="H73" s="330" t="s">
        <v>237</v>
      </c>
      <c r="I73" s="330" t="s">
        <v>237</v>
      </c>
      <c r="J73" s="330" t="s">
        <v>237</v>
      </c>
      <c r="K73" s="330" t="s">
        <v>237</v>
      </c>
      <c r="L73" s="330" t="s">
        <v>237</v>
      </c>
      <c r="M73" s="330" t="s">
        <v>237</v>
      </c>
      <c r="N73" s="330" t="s">
        <v>237</v>
      </c>
      <c r="O73" s="331" t="s">
        <v>237</v>
      </c>
      <c r="P73" s="332" t="s">
        <v>237</v>
      </c>
    </row>
    <row r="74" spans="1:16" s="17" customFormat="1" ht="19.2" hidden="1" customHeight="1" outlineLevel="1">
      <c r="A74" s="3"/>
      <c r="B74" s="3"/>
      <c r="C74" s="325" t="s">
        <v>522</v>
      </c>
      <c r="D74" s="316" t="s">
        <v>237</v>
      </c>
      <c r="E74" s="316" t="s">
        <v>237</v>
      </c>
      <c r="F74" s="316" t="s">
        <v>237</v>
      </c>
      <c r="G74" s="316" t="s">
        <v>237</v>
      </c>
      <c r="H74" s="316" t="s">
        <v>237</v>
      </c>
      <c r="I74" s="316" t="s">
        <v>237</v>
      </c>
      <c r="J74" s="316" t="s">
        <v>237</v>
      </c>
      <c r="K74" s="316" t="s">
        <v>237</v>
      </c>
      <c r="L74" s="316" t="s">
        <v>237</v>
      </c>
      <c r="M74" s="316" t="s">
        <v>237</v>
      </c>
      <c r="N74" s="316" t="s">
        <v>237</v>
      </c>
      <c r="O74" s="329" t="s">
        <v>237</v>
      </c>
      <c r="P74" s="317" t="s">
        <v>237</v>
      </c>
    </row>
    <row r="75" spans="1:16" s="17" customFormat="1" ht="19.2" hidden="1" customHeight="1" outlineLevel="1">
      <c r="A75" s="3"/>
      <c r="B75" s="3"/>
      <c r="C75" s="324" t="s">
        <v>522</v>
      </c>
      <c r="D75" s="318" t="s">
        <v>237</v>
      </c>
      <c r="E75" s="318" t="s">
        <v>237</v>
      </c>
      <c r="F75" s="318" t="s">
        <v>237</v>
      </c>
      <c r="G75" s="318" t="s">
        <v>237</v>
      </c>
      <c r="H75" s="318" t="s">
        <v>237</v>
      </c>
      <c r="I75" s="318" t="s">
        <v>237</v>
      </c>
      <c r="J75" s="318" t="s">
        <v>237</v>
      </c>
      <c r="K75" s="318" t="s">
        <v>237</v>
      </c>
      <c r="L75" s="318" t="s">
        <v>237</v>
      </c>
      <c r="M75" s="318" t="s">
        <v>237</v>
      </c>
      <c r="N75" s="318" t="s">
        <v>237</v>
      </c>
      <c r="O75" s="328" t="s">
        <v>237</v>
      </c>
      <c r="P75" s="319" t="s">
        <v>237</v>
      </c>
    </row>
    <row r="76" spans="1:16" s="17" customFormat="1" ht="19.2" hidden="1" customHeight="1" outlineLevel="1">
      <c r="A76" s="3"/>
      <c r="B76" s="3"/>
      <c r="C76" s="325" t="s">
        <v>522</v>
      </c>
      <c r="D76" s="316" t="s">
        <v>237</v>
      </c>
      <c r="E76" s="316" t="s">
        <v>237</v>
      </c>
      <c r="F76" s="316" t="s">
        <v>237</v>
      </c>
      <c r="G76" s="316" t="s">
        <v>237</v>
      </c>
      <c r="H76" s="316" t="s">
        <v>237</v>
      </c>
      <c r="I76" s="316" t="s">
        <v>237</v>
      </c>
      <c r="J76" s="316" t="s">
        <v>237</v>
      </c>
      <c r="K76" s="316" t="s">
        <v>237</v>
      </c>
      <c r="L76" s="316" t="s">
        <v>237</v>
      </c>
      <c r="M76" s="316" t="s">
        <v>237</v>
      </c>
      <c r="N76" s="316" t="s">
        <v>237</v>
      </c>
      <c r="O76" s="329" t="s">
        <v>237</v>
      </c>
      <c r="P76" s="317" t="s">
        <v>237</v>
      </c>
    </row>
    <row r="77" spans="1:16" s="17" customFormat="1" ht="19.2" hidden="1" customHeight="1" outlineLevel="1">
      <c r="A77" s="3"/>
      <c r="B77" s="3"/>
      <c r="C77" s="324" t="s">
        <v>522</v>
      </c>
      <c r="D77" s="318" t="s">
        <v>237</v>
      </c>
      <c r="E77" s="318" t="s">
        <v>237</v>
      </c>
      <c r="F77" s="318" t="s">
        <v>237</v>
      </c>
      <c r="G77" s="318" t="s">
        <v>237</v>
      </c>
      <c r="H77" s="318" t="s">
        <v>237</v>
      </c>
      <c r="I77" s="318" t="s">
        <v>237</v>
      </c>
      <c r="J77" s="318" t="s">
        <v>237</v>
      </c>
      <c r="K77" s="318" t="s">
        <v>237</v>
      </c>
      <c r="L77" s="318" t="s">
        <v>237</v>
      </c>
      <c r="M77" s="318" t="s">
        <v>237</v>
      </c>
      <c r="N77" s="318" t="s">
        <v>237</v>
      </c>
      <c r="O77" s="328" t="s">
        <v>237</v>
      </c>
      <c r="P77" s="319" t="s">
        <v>237</v>
      </c>
    </row>
    <row r="78" spans="1:16" s="17" customFormat="1" ht="19.2" hidden="1" customHeight="1" outlineLevel="1">
      <c r="A78" s="3"/>
      <c r="B78" s="3"/>
      <c r="C78" s="325" t="s">
        <v>522</v>
      </c>
      <c r="D78" s="316" t="s">
        <v>237</v>
      </c>
      <c r="E78" s="316" t="s">
        <v>237</v>
      </c>
      <c r="F78" s="316" t="s">
        <v>237</v>
      </c>
      <c r="G78" s="316" t="s">
        <v>237</v>
      </c>
      <c r="H78" s="316" t="s">
        <v>237</v>
      </c>
      <c r="I78" s="316" t="s">
        <v>237</v>
      </c>
      <c r="J78" s="316" t="s">
        <v>237</v>
      </c>
      <c r="K78" s="316" t="s">
        <v>237</v>
      </c>
      <c r="L78" s="316" t="s">
        <v>237</v>
      </c>
      <c r="M78" s="316" t="s">
        <v>237</v>
      </c>
      <c r="N78" s="316" t="s">
        <v>237</v>
      </c>
      <c r="O78" s="329" t="s">
        <v>237</v>
      </c>
      <c r="P78" s="317" t="s">
        <v>237</v>
      </c>
    </row>
    <row r="79" spans="1:16" s="17" customFormat="1" ht="19.2" hidden="1" customHeight="1" outlineLevel="1">
      <c r="A79" s="3"/>
      <c r="B79" s="3"/>
      <c r="C79" s="324" t="s">
        <v>522</v>
      </c>
      <c r="D79" s="330" t="s">
        <v>237</v>
      </c>
      <c r="E79" s="330" t="s">
        <v>237</v>
      </c>
      <c r="F79" s="330" t="s">
        <v>237</v>
      </c>
      <c r="G79" s="330" t="s">
        <v>237</v>
      </c>
      <c r="H79" s="330" t="s">
        <v>237</v>
      </c>
      <c r="I79" s="330" t="s">
        <v>237</v>
      </c>
      <c r="J79" s="330" t="s">
        <v>237</v>
      </c>
      <c r="K79" s="330" t="s">
        <v>237</v>
      </c>
      <c r="L79" s="330" t="s">
        <v>237</v>
      </c>
      <c r="M79" s="330" t="s">
        <v>237</v>
      </c>
      <c r="N79" s="330" t="s">
        <v>237</v>
      </c>
      <c r="O79" s="331" t="s">
        <v>237</v>
      </c>
      <c r="P79" s="332" t="s">
        <v>237</v>
      </c>
    </row>
    <row r="80" spans="1:16" s="17" customFormat="1" ht="19.2" hidden="1" customHeight="1" outlineLevel="1">
      <c r="A80" s="3"/>
      <c r="B80" s="3"/>
      <c r="C80" s="325" t="s">
        <v>522</v>
      </c>
      <c r="D80" s="316" t="s">
        <v>237</v>
      </c>
      <c r="E80" s="316" t="s">
        <v>237</v>
      </c>
      <c r="F80" s="316" t="s">
        <v>237</v>
      </c>
      <c r="G80" s="316" t="s">
        <v>237</v>
      </c>
      <c r="H80" s="316" t="s">
        <v>237</v>
      </c>
      <c r="I80" s="316" t="s">
        <v>237</v>
      </c>
      <c r="J80" s="316" t="s">
        <v>237</v>
      </c>
      <c r="K80" s="316" t="s">
        <v>237</v>
      </c>
      <c r="L80" s="316" t="s">
        <v>237</v>
      </c>
      <c r="M80" s="316" t="s">
        <v>237</v>
      </c>
      <c r="N80" s="316" t="s">
        <v>237</v>
      </c>
      <c r="O80" s="329" t="s">
        <v>237</v>
      </c>
      <c r="P80" s="317" t="s">
        <v>237</v>
      </c>
    </row>
    <row r="81" spans="1:16" s="17" customFormat="1" ht="19.2" hidden="1" customHeight="1" outlineLevel="1">
      <c r="A81" s="3"/>
      <c r="B81" s="3"/>
      <c r="C81" s="324" t="s">
        <v>522</v>
      </c>
      <c r="D81" s="318" t="s">
        <v>237</v>
      </c>
      <c r="E81" s="318" t="s">
        <v>237</v>
      </c>
      <c r="F81" s="318" t="s">
        <v>237</v>
      </c>
      <c r="G81" s="318" t="s">
        <v>237</v>
      </c>
      <c r="H81" s="318" t="s">
        <v>237</v>
      </c>
      <c r="I81" s="318" t="s">
        <v>237</v>
      </c>
      <c r="J81" s="318" t="s">
        <v>237</v>
      </c>
      <c r="K81" s="318" t="s">
        <v>237</v>
      </c>
      <c r="L81" s="318" t="s">
        <v>237</v>
      </c>
      <c r="M81" s="318" t="s">
        <v>237</v>
      </c>
      <c r="N81" s="318" t="s">
        <v>237</v>
      </c>
      <c r="O81" s="328" t="s">
        <v>237</v>
      </c>
      <c r="P81" s="319" t="s">
        <v>237</v>
      </c>
    </row>
    <row r="82" spans="1:16" s="17" customFormat="1" ht="19.2" hidden="1" customHeight="1" outlineLevel="1">
      <c r="A82" s="3"/>
      <c r="B82" s="3"/>
      <c r="C82" s="325" t="s">
        <v>522</v>
      </c>
      <c r="D82" s="316" t="s">
        <v>237</v>
      </c>
      <c r="E82" s="316" t="s">
        <v>237</v>
      </c>
      <c r="F82" s="316" t="s">
        <v>237</v>
      </c>
      <c r="G82" s="316" t="s">
        <v>237</v>
      </c>
      <c r="H82" s="316" t="s">
        <v>237</v>
      </c>
      <c r="I82" s="316" t="s">
        <v>237</v>
      </c>
      <c r="J82" s="316" t="s">
        <v>237</v>
      </c>
      <c r="K82" s="316" t="s">
        <v>237</v>
      </c>
      <c r="L82" s="316" t="s">
        <v>237</v>
      </c>
      <c r="M82" s="316" t="s">
        <v>237</v>
      </c>
      <c r="N82" s="316" t="s">
        <v>237</v>
      </c>
      <c r="O82" s="329" t="s">
        <v>237</v>
      </c>
      <c r="P82" s="317" t="s">
        <v>237</v>
      </c>
    </row>
    <row r="83" spans="1:16" s="17" customFormat="1" ht="19.2" hidden="1" customHeight="1" outlineLevel="1">
      <c r="A83" s="3"/>
      <c r="B83" s="3"/>
      <c r="C83" s="324" t="s">
        <v>522</v>
      </c>
      <c r="D83" s="318" t="s">
        <v>237</v>
      </c>
      <c r="E83" s="318" t="s">
        <v>237</v>
      </c>
      <c r="F83" s="318" t="s">
        <v>237</v>
      </c>
      <c r="G83" s="318" t="s">
        <v>237</v>
      </c>
      <c r="H83" s="318" t="s">
        <v>237</v>
      </c>
      <c r="I83" s="318" t="s">
        <v>237</v>
      </c>
      <c r="J83" s="318" t="s">
        <v>237</v>
      </c>
      <c r="K83" s="318" t="s">
        <v>237</v>
      </c>
      <c r="L83" s="318" t="s">
        <v>237</v>
      </c>
      <c r="M83" s="318" t="s">
        <v>237</v>
      </c>
      <c r="N83" s="318" t="s">
        <v>237</v>
      </c>
      <c r="O83" s="328" t="s">
        <v>237</v>
      </c>
      <c r="P83" s="319" t="s">
        <v>237</v>
      </c>
    </row>
    <row r="84" spans="1:16" s="17" customFormat="1" ht="19.2" hidden="1" customHeight="1" outlineLevel="1">
      <c r="A84" s="3"/>
      <c r="B84" s="3"/>
      <c r="C84" s="325" t="s">
        <v>522</v>
      </c>
      <c r="D84" s="316" t="s">
        <v>237</v>
      </c>
      <c r="E84" s="316" t="s">
        <v>237</v>
      </c>
      <c r="F84" s="316" t="s">
        <v>237</v>
      </c>
      <c r="G84" s="316" t="s">
        <v>237</v>
      </c>
      <c r="H84" s="316" t="s">
        <v>237</v>
      </c>
      <c r="I84" s="316" t="s">
        <v>237</v>
      </c>
      <c r="J84" s="316" t="s">
        <v>237</v>
      </c>
      <c r="K84" s="316" t="s">
        <v>237</v>
      </c>
      <c r="L84" s="316" t="s">
        <v>237</v>
      </c>
      <c r="M84" s="316" t="s">
        <v>237</v>
      </c>
      <c r="N84" s="316" t="s">
        <v>237</v>
      </c>
      <c r="O84" s="329" t="s">
        <v>237</v>
      </c>
      <c r="P84" s="317" t="s">
        <v>237</v>
      </c>
    </row>
    <row r="85" spans="1:16" s="17" customFormat="1" ht="19.2" hidden="1" customHeight="1" outlineLevel="1">
      <c r="A85" s="3"/>
      <c r="B85" s="3"/>
      <c r="C85" s="324" t="s">
        <v>522</v>
      </c>
      <c r="D85" s="330" t="s">
        <v>237</v>
      </c>
      <c r="E85" s="330" t="s">
        <v>237</v>
      </c>
      <c r="F85" s="330" t="s">
        <v>237</v>
      </c>
      <c r="G85" s="330" t="s">
        <v>237</v>
      </c>
      <c r="H85" s="330" t="s">
        <v>237</v>
      </c>
      <c r="I85" s="330" t="s">
        <v>237</v>
      </c>
      <c r="J85" s="330" t="s">
        <v>237</v>
      </c>
      <c r="K85" s="330" t="s">
        <v>237</v>
      </c>
      <c r="L85" s="330" t="s">
        <v>237</v>
      </c>
      <c r="M85" s="330" t="s">
        <v>237</v>
      </c>
      <c r="N85" s="330" t="s">
        <v>237</v>
      </c>
      <c r="O85" s="331" t="s">
        <v>237</v>
      </c>
      <c r="P85" s="332" t="s">
        <v>237</v>
      </c>
    </row>
    <row r="86" spans="1:16" s="17" customFormat="1" ht="19.2" hidden="1" customHeight="1" outlineLevel="1">
      <c r="A86" s="3"/>
      <c r="B86" s="3"/>
      <c r="C86" s="325" t="s">
        <v>522</v>
      </c>
      <c r="D86" s="316" t="s">
        <v>237</v>
      </c>
      <c r="E86" s="316" t="s">
        <v>237</v>
      </c>
      <c r="F86" s="316" t="s">
        <v>237</v>
      </c>
      <c r="G86" s="316" t="s">
        <v>237</v>
      </c>
      <c r="H86" s="316" t="s">
        <v>237</v>
      </c>
      <c r="I86" s="316" t="s">
        <v>237</v>
      </c>
      <c r="J86" s="316" t="s">
        <v>237</v>
      </c>
      <c r="K86" s="316" t="s">
        <v>237</v>
      </c>
      <c r="L86" s="316" t="s">
        <v>237</v>
      </c>
      <c r="M86" s="316" t="s">
        <v>237</v>
      </c>
      <c r="N86" s="316" t="s">
        <v>237</v>
      </c>
      <c r="O86" s="329" t="s">
        <v>237</v>
      </c>
      <c r="P86" s="317" t="s">
        <v>237</v>
      </c>
    </row>
    <row r="87" spans="1:16" s="17" customFormat="1" ht="19.2" hidden="1" customHeight="1" outlineLevel="1">
      <c r="A87" s="3"/>
      <c r="B87" s="3"/>
      <c r="C87" s="324" t="s">
        <v>522</v>
      </c>
      <c r="D87" s="318" t="s">
        <v>237</v>
      </c>
      <c r="E87" s="318" t="s">
        <v>237</v>
      </c>
      <c r="F87" s="318" t="s">
        <v>237</v>
      </c>
      <c r="G87" s="318" t="s">
        <v>237</v>
      </c>
      <c r="H87" s="318" t="s">
        <v>237</v>
      </c>
      <c r="I87" s="318" t="s">
        <v>237</v>
      </c>
      <c r="J87" s="318" t="s">
        <v>237</v>
      </c>
      <c r="K87" s="318" t="s">
        <v>237</v>
      </c>
      <c r="L87" s="318" t="s">
        <v>237</v>
      </c>
      <c r="M87" s="318" t="s">
        <v>237</v>
      </c>
      <c r="N87" s="318" t="s">
        <v>237</v>
      </c>
      <c r="O87" s="328" t="s">
        <v>237</v>
      </c>
      <c r="P87" s="319" t="s">
        <v>237</v>
      </c>
    </row>
    <row r="88" spans="1:16" s="17" customFormat="1" ht="19.2" hidden="1" customHeight="1" outlineLevel="1">
      <c r="A88" s="3"/>
      <c r="B88" s="3"/>
      <c r="C88" s="325" t="s">
        <v>522</v>
      </c>
      <c r="D88" s="316" t="s">
        <v>237</v>
      </c>
      <c r="E88" s="316" t="s">
        <v>237</v>
      </c>
      <c r="F88" s="316" t="s">
        <v>237</v>
      </c>
      <c r="G88" s="316" t="s">
        <v>237</v>
      </c>
      <c r="H88" s="316" t="s">
        <v>237</v>
      </c>
      <c r="I88" s="316" t="s">
        <v>237</v>
      </c>
      <c r="J88" s="316" t="s">
        <v>237</v>
      </c>
      <c r="K88" s="316" t="s">
        <v>237</v>
      </c>
      <c r="L88" s="316" t="s">
        <v>237</v>
      </c>
      <c r="M88" s="316" t="s">
        <v>237</v>
      </c>
      <c r="N88" s="316" t="s">
        <v>237</v>
      </c>
      <c r="O88" s="329" t="s">
        <v>237</v>
      </c>
      <c r="P88" s="317" t="s">
        <v>237</v>
      </c>
    </row>
    <row r="89" spans="1:16" s="17" customFormat="1" ht="19.2" hidden="1" customHeight="1" outlineLevel="1">
      <c r="A89" s="3"/>
      <c r="B89" s="3"/>
      <c r="C89" s="324" t="s">
        <v>522</v>
      </c>
      <c r="D89" s="330" t="s">
        <v>237</v>
      </c>
      <c r="E89" s="330" t="s">
        <v>237</v>
      </c>
      <c r="F89" s="330" t="s">
        <v>237</v>
      </c>
      <c r="G89" s="330" t="s">
        <v>237</v>
      </c>
      <c r="H89" s="330" t="s">
        <v>237</v>
      </c>
      <c r="I89" s="330" t="s">
        <v>237</v>
      </c>
      <c r="J89" s="330" t="s">
        <v>237</v>
      </c>
      <c r="K89" s="330" t="s">
        <v>237</v>
      </c>
      <c r="L89" s="330" t="s">
        <v>237</v>
      </c>
      <c r="M89" s="330" t="s">
        <v>237</v>
      </c>
      <c r="N89" s="330" t="s">
        <v>237</v>
      </c>
      <c r="O89" s="331" t="s">
        <v>237</v>
      </c>
      <c r="P89" s="332" t="s">
        <v>237</v>
      </c>
    </row>
    <row r="90" spans="1:16" s="17" customFormat="1" ht="19.2" hidden="1" customHeight="1" outlineLevel="1">
      <c r="A90" s="3"/>
      <c r="B90" s="3"/>
      <c r="C90" s="325" t="s">
        <v>522</v>
      </c>
      <c r="D90" s="316" t="s">
        <v>237</v>
      </c>
      <c r="E90" s="316" t="s">
        <v>237</v>
      </c>
      <c r="F90" s="316" t="s">
        <v>237</v>
      </c>
      <c r="G90" s="316" t="s">
        <v>237</v>
      </c>
      <c r="H90" s="316" t="s">
        <v>237</v>
      </c>
      <c r="I90" s="316" t="s">
        <v>237</v>
      </c>
      <c r="J90" s="316" t="s">
        <v>237</v>
      </c>
      <c r="K90" s="316" t="s">
        <v>237</v>
      </c>
      <c r="L90" s="316" t="s">
        <v>237</v>
      </c>
      <c r="M90" s="316" t="s">
        <v>237</v>
      </c>
      <c r="N90" s="316" t="s">
        <v>237</v>
      </c>
      <c r="O90" s="329" t="s">
        <v>237</v>
      </c>
      <c r="P90" s="317" t="s">
        <v>237</v>
      </c>
    </row>
    <row r="91" spans="1:16" s="17" customFormat="1" ht="19.2" hidden="1" customHeight="1" outlineLevel="1">
      <c r="A91" s="3"/>
      <c r="B91" s="3"/>
      <c r="C91" s="324" t="s">
        <v>522</v>
      </c>
      <c r="D91" s="318" t="s">
        <v>237</v>
      </c>
      <c r="E91" s="318" t="s">
        <v>237</v>
      </c>
      <c r="F91" s="318" t="s">
        <v>237</v>
      </c>
      <c r="G91" s="318" t="s">
        <v>237</v>
      </c>
      <c r="H91" s="318" t="s">
        <v>237</v>
      </c>
      <c r="I91" s="318" t="s">
        <v>237</v>
      </c>
      <c r="J91" s="318" t="s">
        <v>237</v>
      </c>
      <c r="K91" s="318" t="s">
        <v>237</v>
      </c>
      <c r="L91" s="318" t="s">
        <v>237</v>
      </c>
      <c r="M91" s="318" t="s">
        <v>237</v>
      </c>
      <c r="N91" s="318" t="s">
        <v>237</v>
      </c>
      <c r="O91" s="328" t="s">
        <v>237</v>
      </c>
      <c r="P91" s="319" t="s">
        <v>237</v>
      </c>
    </row>
    <row r="92" spans="1:16" s="17" customFormat="1" ht="19.2" hidden="1" customHeight="1" outlineLevel="1">
      <c r="A92" s="3"/>
      <c r="B92" s="3"/>
      <c r="C92" s="325" t="s">
        <v>522</v>
      </c>
      <c r="D92" s="316" t="s">
        <v>237</v>
      </c>
      <c r="E92" s="316" t="s">
        <v>237</v>
      </c>
      <c r="F92" s="316" t="s">
        <v>237</v>
      </c>
      <c r="G92" s="316" t="s">
        <v>237</v>
      </c>
      <c r="H92" s="316" t="s">
        <v>237</v>
      </c>
      <c r="I92" s="316" t="s">
        <v>237</v>
      </c>
      <c r="J92" s="316" t="s">
        <v>237</v>
      </c>
      <c r="K92" s="316" t="s">
        <v>237</v>
      </c>
      <c r="L92" s="316" t="s">
        <v>237</v>
      </c>
      <c r="M92" s="316" t="s">
        <v>237</v>
      </c>
      <c r="N92" s="316" t="s">
        <v>237</v>
      </c>
      <c r="O92" s="329" t="s">
        <v>237</v>
      </c>
      <c r="P92" s="317" t="s">
        <v>237</v>
      </c>
    </row>
    <row r="93" spans="1:16" s="17" customFormat="1" ht="19.2" hidden="1" customHeight="1" outlineLevel="1">
      <c r="A93" s="3"/>
      <c r="B93" s="3"/>
      <c r="C93" s="324" t="s">
        <v>522</v>
      </c>
      <c r="D93" s="318" t="s">
        <v>237</v>
      </c>
      <c r="E93" s="318" t="s">
        <v>237</v>
      </c>
      <c r="F93" s="318" t="s">
        <v>237</v>
      </c>
      <c r="G93" s="318" t="s">
        <v>237</v>
      </c>
      <c r="H93" s="318" t="s">
        <v>237</v>
      </c>
      <c r="I93" s="318" t="s">
        <v>237</v>
      </c>
      <c r="J93" s="318" t="s">
        <v>237</v>
      </c>
      <c r="K93" s="318" t="s">
        <v>237</v>
      </c>
      <c r="L93" s="318" t="s">
        <v>237</v>
      </c>
      <c r="M93" s="318" t="s">
        <v>237</v>
      </c>
      <c r="N93" s="318" t="s">
        <v>237</v>
      </c>
      <c r="O93" s="328" t="s">
        <v>237</v>
      </c>
      <c r="P93" s="319" t="s">
        <v>237</v>
      </c>
    </row>
    <row r="94" spans="1:16" s="17" customFormat="1" ht="19.2" hidden="1" customHeight="1" outlineLevel="1">
      <c r="A94" s="3"/>
      <c r="B94" s="3"/>
      <c r="C94" s="325" t="s">
        <v>522</v>
      </c>
      <c r="D94" s="316" t="s">
        <v>237</v>
      </c>
      <c r="E94" s="316" t="s">
        <v>237</v>
      </c>
      <c r="F94" s="316" t="s">
        <v>237</v>
      </c>
      <c r="G94" s="316" t="s">
        <v>237</v>
      </c>
      <c r="H94" s="316" t="s">
        <v>237</v>
      </c>
      <c r="I94" s="316" t="s">
        <v>237</v>
      </c>
      <c r="J94" s="316" t="s">
        <v>237</v>
      </c>
      <c r="K94" s="316" t="s">
        <v>237</v>
      </c>
      <c r="L94" s="316" t="s">
        <v>237</v>
      </c>
      <c r="M94" s="316" t="s">
        <v>237</v>
      </c>
      <c r="N94" s="316" t="s">
        <v>237</v>
      </c>
      <c r="O94" s="329" t="s">
        <v>237</v>
      </c>
      <c r="P94" s="317" t="s">
        <v>237</v>
      </c>
    </row>
    <row r="95" spans="1:16" s="17" customFormat="1" ht="19.2" hidden="1" customHeight="1" outlineLevel="1">
      <c r="A95" s="3"/>
      <c r="B95" s="3"/>
      <c r="C95" s="324" t="s">
        <v>522</v>
      </c>
      <c r="D95" s="330" t="s">
        <v>237</v>
      </c>
      <c r="E95" s="330" t="s">
        <v>237</v>
      </c>
      <c r="F95" s="330" t="s">
        <v>237</v>
      </c>
      <c r="G95" s="330" t="s">
        <v>237</v>
      </c>
      <c r="H95" s="330" t="s">
        <v>237</v>
      </c>
      <c r="I95" s="330" t="s">
        <v>237</v>
      </c>
      <c r="J95" s="330" t="s">
        <v>237</v>
      </c>
      <c r="K95" s="330" t="s">
        <v>237</v>
      </c>
      <c r="L95" s="330" t="s">
        <v>237</v>
      </c>
      <c r="M95" s="330" t="s">
        <v>237</v>
      </c>
      <c r="N95" s="330" t="s">
        <v>237</v>
      </c>
      <c r="O95" s="331" t="s">
        <v>237</v>
      </c>
      <c r="P95" s="332" t="s">
        <v>237</v>
      </c>
    </row>
    <row r="96" spans="1:16" s="17" customFormat="1" ht="19.2" hidden="1" customHeight="1" outlineLevel="1">
      <c r="A96" s="3"/>
      <c r="B96" s="3"/>
      <c r="C96" s="468" t="s">
        <v>522</v>
      </c>
      <c r="D96" s="469" t="s">
        <v>237</v>
      </c>
      <c r="E96" s="469" t="s">
        <v>237</v>
      </c>
      <c r="F96" s="469" t="s">
        <v>237</v>
      </c>
      <c r="G96" s="469" t="s">
        <v>237</v>
      </c>
      <c r="H96" s="469" t="s">
        <v>237</v>
      </c>
      <c r="I96" s="469" t="s">
        <v>237</v>
      </c>
      <c r="J96" s="469" t="s">
        <v>237</v>
      </c>
      <c r="K96" s="469" t="s">
        <v>237</v>
      </c>
      <c r="L96" s="469" t="s">
        <v>237</v>
      </c>
      <c r="M96" s="469" t="s">
        <v>237</v>
      </c>
      <c r="N96" s="469" t="s">
        <v>237</v>
      </c>
      <c r="O96" s="470" t="s">
        <v>237</v>
      </c>
      <c r="P96" s="471" t="s">
        <v>237</v>
      </c>
    </row>
    <row r="97" spans="1:17" collapsed="1">
      <c r="C97" s="474" t="s">
        <v>224</v>
      </c>
      <c r="D97" s="472"/>
      <c r="E97" s="473"/>
      <c r="F97" s="473"/>
      <c r="G97" s="473"/>
      <c r="H97" s="473"/>
      <c r="I97" s="473"/>
      <c r="J97" s="473"/>
      <c r="K97" s="473"/>
      <c r="L97" s="473"/>
      <c r="M97" s="466"/>
      <c r="N97" s="466"/>
      <c r="O97" s="466"/>
      <c r="P97" s="466"/>
    </row>
    <row r="98" spans="1:17">
      <c r="C98" s="474" t="s">
        <v>131</v>
      </c>
      <c r="D98" s="472"/>
      <c r="E98" s="473"/>
      <c r="F98" s="473"/>
      <c r="G98" s="473"/>
      <c r="H98" s="473"/>
      <c r="I98" s="473"/>
      <c r="J98" s="473"/>
      <c r="K98" s="473"/>
      <c r="L98" s="473"/>
      <c r="M98" s="466"/>
      <c r="N98" s="466"/>
      <c r="O98" s="466"/>
      <c r="P98" s="466"/>
    </row>
    <row r="99" spans="1:17">
      <c r="C99" s="5"/>
      <c r="D99" s="8"/>
      <c r="F99" s="6"/>
      <c r="G99" s="3"/>
    </row>
    <row r="100" spans="1:17">
      <c r="C100" s="5"/>
      <c r="D100" s="8"/>
      <c r="F100" s="6"/>
      <c r="G100" s="3"/>
    </row>
    <row r="101" spans="1:17" s="8" customFormat="1">
      <c r="A101" s="3"/>
      <c r="B101" s="3"/>
      <c r="C101" s="5"/>
      <c r="F101" s="6"/>
      <c r="G101" s="3"/>
      <c r="M101" s="3"/>
      <c r="N101" s="3"/>
      <c r="O101" s="3"/>
      <c r="P101" s="3"/>
      <c r="Q101" s="3"/>
    </row>
    <row r="102" spans="1:17" s="8" customFormat="1">
      <c r="A102" s="3"/>
      <c r="B102" s="3"/>
      <c r="C102" s="5"/>
      <c r="F102" s="6"/>
      <c r="G102" s="3"/>
      <c r="M102" s="3"/>
      <c r="N102" s="3"/>
      <c r="O102" s="3"/>
      <c r="P102" s="3"/>
      <c r="Q102" s="3"/>
    </row>
    <row r="103" spans="1:17" s="8" customFormat="1">
      <c r="A103" s="3"/>
      <c r="B103" s="3"/>
      <c r="C103" s="5"/>
      <c r="F103" s="6"/>
      <c r="G103" s="3"/>
      <c r="M103" s="3"/>
      <c r="N103" s="3"/>
      <c r="O103" s="3"/>
      <c r="P103" s="3"/>
      <c r="Q103" s="3"/>
    </row>
    <row r="104" spans="1:17" s="8" customFormat="1">
      <c r="A104" s="3"/>
      <c r="B104" s="3"/>
      <c r="C104" s="5"/>
      <c r="F104" s="6"/>
      <c r="G104" s="3"/>
      <c r="M104" s="3"/>
      <c r="N104" s="3"/>
      <c r="O104" s="3"/>
      <c r="P104" s="3"/>
      <c r="Q104" s="3"/>
    </row>
    <row r="105" spans="1:17" s="8" customFormat="1">
      <c r="A105" s="3"/>
      <c r="B105" s="3"/>
      <c r="C105" s="5"/>
      <c r="F105" s="6"/>
      <c r="G105" s="3"/>
      <c r="M105" s="3"/>
      <c r="N105" s="3"/>
      <c r="O105" s="3"/>
      <c r="P105" s="3"/>
      <c r="Q105" s="3"/>
    </row>
    <row r="106" spans="1:17" s="8" customFormat="1">
      <c r="A106" s="3"/>
      <c r="B106" s="3"/>
      <c r="C106" s="5"/>
      <c r="F106" s="6"/>
      <c r="G106" s="3"/>
      <c r="M106" s="3"/>
      <c r="N106" s="3"/>
      <c r="O106" s="3"/>
      <c r="P106" s="3"/>
      <c r="Q106" s="3"/>
    </row>
    <row r="107" spans="1:17" s="8" customFormat="1">
      <c r="A107" s="3"/>
      <c r="B107" s="3"/>
      <c r="C107" s="5"/>
      <c r="F107" s="6"/>
      <c r="G107" s="3"/>
      <c r="M107" s="3"/>
      <c r="N107" s="3"/>
      <c r="O107" s="3"/>
      <c r="P107" s="3"/>
      <c r="Q107" s="3"/>
    </row>
    <row r="108" spans="1:17" s="8" customFormat="1">
      <c r="A108" s="3"/>
      <c r="B108" s="3"/>
      <c r="C108" s="5"/>
      <c r="F108" s="6"/>
      <c r="G108" s="3"/>
      <c r="M108" s="3"/>
      <c r="N108" s="3"/>
      <c r="O108" s="3"/>
      <c r="P108" s="3"/>
      <c r="Q108" s="3"/>
    </row>
    <row r="109" spans="1:17" s="8" customFormat="1">
      <c r="A109" s="3"/>
      <c r="B109" s="3"/>
      <c r="C109" s="5"/>
      <c r="F109" s="6"/>
      <c r="G109" s="3"/>
      <c r="M109" s="3"/>
      <c r="N109" s="3"/>
      <c r="O109" s="3"/>
      <c r="P109" s="3"/>
      <c r="Q109" s="3"/>
    </row>
    <row r="110" spans="1:17" s="8" customFormat="1">
      <c r="A110" s="3"/>
      <c r="B110" s="3"/>
      <c r="C110" s="5"/>
      <c r="F110" s="6"/>
      <c r="G110" s="3"/>
      <c r="M110" s="3"/>
      <c r="N110" s="3"/>
      <c r="O110" s="3"/>
      <c r="P110" s="3"/>
      <c r="Q110" s="3"/>
    </row>
    <row r="111" spans="1:17" s="8" customFormat="1">
      <c r="A111" s="3"/>
      <c r="B111" s="3"/>
      <c r="C111" s="5"/>
      <c r="F111" s="6"/>
      <c r="G111" s="3"/>
      <c r="M111" s="3"/>
      <c r="N111" s="3"/>
      <c r="O111" s="3"/>
      <c r="P111" s="3"/>
      <c r="Q111" s="3"/>
    </row>
    <row r="112" spans="1:17" s="8" customFormat="1">
      <c r="A112" s="3"/>
      <c r="B112" s="3"/>
      <c r="C112" s="5"/>
      <c r="F112" s="6"/>
      <c r="G112" s="3"/>
      <c r="M112" s="3"/>
      <c r="N112" s="3"/>
      <c r="O112" s="3"/>
      <c r="P112" s="3"/>
      <c r="Q112" s="3"/>
    </row>
    <row r="113" spans="1:17" s="8" customFormat="1">
      <c r="A113" s="3"/>
      <c r="B113" s="3"/>
      <c r="C113" s="5"/>
      <c r="F113" s="6"/>
      <c r="G113" s="3"/>
      <c r="M113" s="3"/>
      <c r="N113" s="3"/>
      <c r="O113" s="3"/>
      <c r="P113" s="3"/>
      <c r="Q113" s="3"/>
    </row>
    <row r="114" spans="1:17" s="8" customFormat="1">
      <c r="A114" s="3"/>
      <c r="B114" s="3"/>
      <c r="C114" s="5"/>
      <c r="F114" s="6"/>
      <c r="G114" s="3"/>
      <c r="M114" s="3"/>
      <c r="N114" s="3"/>
      <c r="O114" s="3"/>
      <c r="P114" s="3"/>
      <c r="Q114" s="3"/>
    </row>
    <row r="115" spans="1:17" s="8" customFormat="1">
      <c r="A115" s="3"/>
      <c r="B115" s="3"/>
      <c r="C115" s="5"/>
      <c r="F115" s="6"/>
      <c r="G115" s="3"/>
      <c r="M115" s="3"/>
      <c r="N115" s="3"/>
      <c r="O115" s="3"/>
      <c r="P115" s="3"/>
      <c r="Q115" s="3"/>
    </row>
    <row r="116" spans="1:17" s="8" customFormat="1">
      <c r="A116" s="3"/>
      <c r="B116" s="3"/>
      <c r="C116" s="5"/>
      <c r="F116" s="6"/>
      <c r="G116" s="3"/>
      <c r="M116" s="3"/>
      <c r="N116" s="3"/>
      <c r="O116" s="3"/>
      <c r="P116" s="3"/>
      <c r="Q116" s="3"/>
    </row>
    <row r="117" spans="1:17" s="8" customFormat="1">
      <c r="A117" s="3"/>
      <c r="B117" s="3"/>
      <c r="C117" s="5"/>
      <c r="F117" s="6"/>
      <c r="G117" s="3"/>
      <c r="M117" s="3"/>
      <c r="N117" s="3"/>
      <c r="O117" s="3"/>
      <c r="P117" s="3"/>
      <c r="Q117" s="3"/>
    </row>
    <row r="118" spans="1:17" s="8" customFormat="1">
      <c r="A118" s="3"/>
      <c r="B118" s="3"/>
      <c r="C118" s="5"/>
      <c r="F118" s="6"/>
      <c r="G118" s="3"/>
      <c r="M118" s="3"/>
      <c r="N118" s="3"/>
      <c r="O118" s="3"/>
      <c r="P118" s="3"/>
      <c r="Q118" s="3"/>
    </row>
    <row r="119" spans="1:17" s="8" customFormat="1">
      <c r="A119" s="3"/>
      <c r="B119" s="3"/>
      <c r="C119" s="5"/>
      <c r="F119" s="6"/>
      <c r="G119" s="3"/>
      <c r="M119" s="3"/>
      <c r="N119" s="3"/>
      <c r="O119" s="3"/>
      <c r="P119" s="3"/>
      <c r="Q119" s="3"/>
    </row>
    <row r="120" spans="1:17" s="8" customFormat="1">
      <c r="A120" s="3"/>
      <c r="B120" s="3"/>
      <c r="C120" s="5"/>
      <c r="F120" s="6"/>
      <c r="G120" s="3"/>
      <c r="M120" s="3"/>
      <c r="N120" s="3"/>
      <c r="O120" s="3"/>
      <c r="P120" s="3"/>
      <c r="Q120" s="3"/>
    </row>
    <row r="121" spans="1:17" s="8" customFormat="1">
      <c r="A121" s="3"/>
      <c r="B121" s="3"/>
      <c r="C121" s="5"/>
      <c r="F121" s="6"/>
      <c r="G121" s="3"/>
      <c r="M121" s="3"/>
      <c r="N121" s="3"/>
      <c r="O121" s="3"/>
      <c r="P121" s="3"/>
      <c r="Q121" s="3"/>
    </row>
    <row r="122" spans="1:17" s="8" customFormat="1">
      <c r="A122" s="3"/>
      <c r="B122" s="3"/>
      <c r="C122" s="5"/>
      <c r="F122" s="6"/>
      <c r="G122" s="3"/>
      <c r="M122" s="3"/>
      <c r="N122" s="3"/>
      <c r="O122" s="3"/>
      <c r="P122" s="3"/>
      <c r="Q122" s="3"/>
    </row>
    <row r="123" spans="1:17" s="8" customFormat="1">
      <c r="A123" s="3"/>
      <c r="B123" s="3"/>
      <c r="C123" s="5"/>
      <c r="F123" s="6"/>
      <c r="G123" s="3"/>
      <c r="M123" s="3"/>
      <c r="N123" s="3"/>
      <c r="O123" s="3"/>
      <c r="P123" s="3"/>
      <c r="Q123" s="3"/>
    </row>
    <row r="124" spans="1:17" s="8" customFormat="1">
      <c r="A124" s="3"/>
      <c r="B124" s="3"/>
      <c r="C124" s="5"/>
      <c r="F124" s="6"/>
      <c r="G124" s="3"/>
      <c r="M124" s="3"/>
      <c r="N124" s="3"/>
      <c r="O124" s="3"/>
      <c r="P124" s="3"/>
      <c r="Q124" s="3"/>
    </row>
    <row r="125" spans="1:17" s="8" customFormat="1">
      <c r="A125" s="3"/>
      <c r="B125" s="3"/>
      <c r="C125" s="5"/>
      <c r="F125" s="6"/>
      <c r="G125" s="3"/>
      <c r="M125" s="3"/>
      <c r="N125" s="3"/>
      <c r="O125" s="3"/>
      <c r="P125" s="3"/>
      <c r="Q125" s="3"/>
    </row>
    <row r="126" spans="1:17" s="8" customFormat="1">
      <c r="A126" s="3"/>
      <c r="B126" s="3"/>
      <c r="C126" s="5"/>
      <c r="F126" s="6"/>
      <c r="G126" s="3"/>
      <c r="M126" s="3"/>
      <c r="N126" s="3"/>
      <c r="O126" s="3"/>
      <c r="P126" s="3"/>
      <c r="Q126" s="3"/>
    </row>
    <row r="127" spans="1:17" s="8" customFormat="1">
      <c r="A127" s="3"/>
      <c r="B127" s="3"/>
      <c r="C127" s="5"/>
      <c r="F127" s="6"/>
      <c r="G127" s="3"/>
      <c r="M127" s="3"/>
      <c r="N127" s="3"/>
      <c r="O127" s="3"/>
      <c r="P127" s="3"/>
      <c r="Q127" s="3"/>
    </row>
    <row r="128" spans="1:17" s="8" customFormat="1">
      <c r="A128" s="3"/>
      <c r="B128" s="3"/>
      <c r="C128" s="5"/>
      <c r="F128" s="6"/>
      <c r="G128" s="3"/>
      <c r="M128" s="3"/>
      <c r="N128" s="3"/>
      <c r="O128" s="3"/>
      <c r="P128" s="3"/>
      <c r="Q128" s="3"/>
    </row>
    <row r="129" spans="1:17" s="8" customFormat="1">
      <c r="A129" s="3"/>
      <c r="B129" s="3"/>
      <c r="C129" s="5"/>
      <c r="F129" s="6"/>
      <c r="G129" s="3"/>
      <c r="M129" s="3"/>
      <c r="N129" s="3"/>
      <c r="O129" s="3"/>
      <c r="P129" s="3"/>
      <c r="Q129" s="3"/>
    </row>
    <row r="130" spans="1:17" s="8" customFormat="1">
      <c r="A130" s="3"/>
      <c r="B130" s="3"/>
      <c r="C130" s="5"/>
      <c r="F130" s="6"/>
      <c r="G130" s="3"/>
      <c r="M130" s="3"/>
      <c r="N130" s="3"/>
      <c r="O130" s="3"/>
      <c r="P130" s="3"/>
      <c r="Q130" s="3"/>
    </row>
    <row r="131" spans="1:17" s="8" customFormat="1">
      <c r="A131" s="3"/>
      <c r="B131" s="3"/>
      <c r="C131" s="5"/>
      <c r="F131" s="6"/>
      <c r="G131" s="3"/>
      <c r="M131" s="3"/>
      <c r="N131" s="3"/>
      <c r="O131" s="3"/>
      <c r="P131" s="3"/>
      <c r="Q131" s="3"/>
    </row>
    <row r="132" spans="1:17" s="8" customFormat="1">
      <c r="A132" s="3"/>
      <c r="B132" s="3"/>
      <c r="C132" s="5"/>
      <c r="F132" s="6"/>
      <c r="G132" s="3"/>
      <c r="M132" s="3"/>
      <c r="N132" s="3"/>
      <c r="O132" s="3"/>
      <c r="P132" s="3"/>
      <c r="Q132" s="3"/>
    </row>
    <row r="133" spans="1:17" s="8" customFormat="1">
      <c r="A133" s="3"/>
      <c r="B133" s="3"/>
      <c r="C133" s="5"/>
      <c r="F133" s="6"/>
      <c r="G133" s="3"/>
      <c r="M133" s="3"/>
      <c r="N133" s="3"/>
      <c r="O133" s="3"/>
      <c r="P133" s="3"/>
      <c r="Q133" s="3"/>
    </row>
    <row r="134" spans="1:17" s="8" customFormat="1">
      <c r="A134" s="3"/>
      <c r="B134" s="3"/>
      <c r="C134" s="5"/>
      <c r="F134" s="6"/>
      <c r="G134" s="3"/>
      <c r="M134" s="3"/>
      <c r="N134" s="3"/>
      <c r="O134" s="3"/>
      <c r="P134" s="3"/>
      <c r="Q134" s="3"/>
    </row>
    <row r="135" spans="1:17" s="8" customFormat="1">
      <c r="A135" s="3"/>
      <c r="B135" s="3"/>
      <c r="C135" s="5"/>
      <c r="F135" s="6"/>
      <c r="G135" s="3"/>
      <c r="M135" s="3"/>
      <c r="N135" s="3"/>
      <c r="O135" s="3"/>
      <c r="P135" s="3"/>
      <c r="Q135" s="3"/>
    </row>
    <row r="136" spans="1:17" s="8" customFormat="1">
      <c r="A136" s="3"/>
      <c r="B136" s="3"/>
      <c r="C136" s="5"/>
      <c r="F136" s="6"/>
      <c r="G136" s="3"/>
      <c r="M136" s="3"/>
      <c r="N136" s="3"/>
      <c r="O136" s="3"/>
      <c r="P136" s="3"/>
      <c r="Q136" s="3"/>
    </row>
    <row r="137" spans="1:17" s="8" customFormat="1">
      <c r="A137" s="3"/>
      <c r="B137" s="3"/>
      <c r="C137" s="5"/>
      <c r="F137" s="6"/>
      <c r="G137" s="3"/>
      <c r="M137" s="3"/>
      <c r="N137" s="3"/>
      <c r="O137" s="3"/>
      <c r="P137" s="3"/>
      <c r="Q137" s="3"/>
    </row>
    <row r="138" spans="1:17" s="8" customFormat="1">
      <c r="A138" s="3"/>
      <c r="B138" s="3"/>
      <c r="C138" s="5"/>
      <c r="F138" s="6"/>
      <c r="G138" s="3"/>
      <c r="M138" s="3"/>
      <c r="N138" s="3"/>
      <c r="O138" s="3"/>
      <c r="P138" s="3"/>
      <c r="Q138" s="3"/>
    </row>
    <row r="139" spans="1:17" s="8" customFormat="1">
      <c r="A139" s="3"/>
      <c r="B139" s="3"/>
      <c r="C139" s="5"/>
      <c r="F139" s="6"/>
      <c r="G139" s="3"/>
      <c r="M139" s="3"/>
      <c r="N139" s="3"/>
      <c r="O139" s="3"/>
      <c r="P139" s="3"/>
      <c r="Q139" s="3"/>
    </row>
    <row r="140" spans="1:17" s="8" customFormat="1">
      <c r="A140" s="3"/>
      <c r="B140" s="3"/>
      <c r="C140" s="5"/>
      <c r="F140" s="6"/>
      <c r="G140" s="3"/>
      <c r="M140" s="3"/>
      <c r="N140" s="3"/>
      <c r="O140" s="3"/>
      <c r="P140" s="3"/>
      <c r="Q140" s="3"/>
    </row>
    <row r="141" spans="1:17" s="8" customFormat="1">
      <c r="A141" s="3"/>
      <c r="B141" s="3"/>
      <c r="C141" s="5"/>
      <c r="F141" s="6"/>
      <c r="G141" s="3"/>
      <c r="M141" s="3"/>
      <c r="N141" s="3"/>
      <c r="O141" s="3"/>
      <c r="P141" s="3"/>
      <c r="Q141" s="3"/>
    </row>
    <row r="142" spans="1:17" s="8" customFormat="1">
      <c r="A142" s="3"/>
      <c r="B142" s="3"/>
      <c r="C142" s="5"/>
      <c r="F142" s="6"/>
      <c r="G142" s="3"/>
      <c r="M142" s="3"/>
      <c r="N142" s="3"/>
      <c r="O142" s="3"/>
      <c r="P142" s="3"/>
      <c r="Q142" s="3"/>
    </row>
    <row r="143" spans="1:17" s="8" customFormat="1">
      <c r="A143" s="3"/>
      <c r="B143" s="3"/>
      <c r="C143" s="5"/>
      <c r="F143" s="6"/>
      <c r="G143" s="3"/>
      <c r="M143" s="3"/>
      <c r="N143" s="3"/>
      <c r="O143" s="3"/>
      <c r="P143" s="3"/>
      <c r="Q143" s="3"/>
    </row>
    <row r="144" spans="1:17" s="8" customFormat="1">
      <c r="A144" s="3"/>
      <c r="B144" s="3"/>
      <c r="C144" s="5"/>
      <c r="F144" s="6"/>
      <c r="G144" s="3"/>
      <c r="M144" s="3"/>
      <c r="N144" s="3"/>
      <c r="O144" s="3"/>
      <c r="P144" s="3"/>
      <c r="Q144" s="3"/>
    </row>
    <row r="145" spans="1:17" s="8" customFormat="1">
      <c r="A145" s="3"/>
      <c r="B145" s="3"/>
      <c r="C145" s="5"/>
      <c r="F145" s="6"/>
      <c r="G145" s="3"/>
      <c r="M145" s="3"/>
      <c r="N145" s="3"/>
      <c r="O145" s="3"/>
      <c r="P145" s="3"/>
      <c r="Q145" s="3"/>
    </row>
    <row r="146" spans="1:17" s="8" customFormat="1">
      <c r="A146" s="3"/>
      <c r="B146" s="3"/>
      <c r="C146" s="5"/>
      <c r="F146" s="6"/>
      <c r="G146" s="3"/>
      <c r="M146" s="3"/>
      <c r="N146" s="3"/>
      <c r="O146" s="3"/>
      <c r="P146" s="3"/>
      <c r="Q146" s="3"/>
    </row>
    <row r="147" spans="1:17" s="8" customFormat="1">
      <c r="A147" s="3"/>
      <c r="B147" s="3"/>
      <c r="C147" s="5"/>
      <c r="F147" s="6"/>
      <c r="G147" s="3"/>
      <c r="M147" s="3"/>
      <c r="N147" s="3"/>
      <c r="O147" s="3"/>
      <c r="P147" s="3"/>
      <c r="Q147" s="3"/>
    </row>
    <row r="148" spans="1:17" s="8" customFormat="1">
      <c r="A148" s="3"/>
      <c r="B148" s="3"/>
      <c r="C148" s="5"/>
      <c r="F148" s="6"/>
      <c r="G148" s="3"/>
      <c r="M148" s="3"/>
      <c r="N148" s="3"/>
      <c r="O148" s="3"/>
      <c r="P148" s="3"/>
      <c r="Q148" s="3"/>
    </row>
    <row r="149" spans="1:17" s="8" customFormat="1">
      <c r="A149" s="3"/>
      <c r="B149" s="3"/>
      <c r="C149" s="5"/>
      <c r="F149" s="6"/>
      <c r="G149" s="3"/>
      <c r="M149" s="3"/>
      <c r="N149" s="3"/>
      <c r="O149" s="3"/>
      <c r="P149" s="3"/>
      <c r="Q149" s="3"/>
    </row>
    <row r="150" spans="1:17" s="8" customFormat="1">
      <c r="A150" s="3"/>
      <c r="B150" s="3"/>
      <c r="C150" s="5"/>
      <c r="F150" s="6"/>
      <c r="G150" s="3"/>
      <c r="M150" s="3"/>
      <c r="N150" s="3"/>
      <c r="O150" s="3"/>
      <c r="P150" s="3"/>
      <c r="Q150" s="3"/>
    </row>
    <row r="151" spans="1:17" s="8" customFormat="1">
      <c r="A151" s="3"/>
      <c r="B151" s="3"/>
      <c r="C151" s="5"/>
      <c r="F151" s="6"/>
      <c r="G151" s="3"/>
      <c r="M151" s="3"/>
      <c r="N151" s="3"/>
      <c r="O151" s="3"/>
      <c r="P151" s="3"/>
      <c r="Q151" s="3"/>
    </row>
    <row r="152" spans="1:17" s="8" customFormat="1">
      <c r="A152" s="3"/>
      <c r="B152" s="3"/>
      <c r="C152" s="5"/>
      <c r="F152" s="6"/>
      <c r="G152" s="3"/>
      <c r="M152" s="3"/>
      <c r="N152" s="3"/>
      <c r="O152" s="3"/>
      <c r="P152" s="3"/>
      <c r="Q152" s="3"/>
    </row>
    <row r="153" spans="1:17" s="8" customFormat="1">
      <c r="A153" s="3"/>
      <c r="B153" s="3"/>
      <c r="C153" s="5"/>
      <c r="F153" s="6"/>
      <c r="G153" s="3"/>
      <c r="M153" s="3"/>
      <c r="N153" s="3"/>
      <c r="O153" s="3"/>
      <c r="P153" s="3"/>
      <c r="Q153" s="3"/>
    </row>
    <row r="154" spans="1:17" s="8" customFormat="1">
      <c r="A154" s="3"/>
      <c r="B154" s="3"/>
      <c r="C154" s="5"/>
      <c r="F154" s="6"/>
      <c r="G154" s="3"/>
      <c r="M154" s="3"/>
      <c r="N154" s="3"/>
      <c r="O154" s="3"/>
      <c r="P154" s="3"/>
      <c r="Q154" s="3"/>
    </row>
    <row r="155" spans="1:17" s="8" customFormat="1">
      <c r="A155" s="3"/>
      <c r="B155" s="3"/>
      <c r="C155" s="5"/>
      <c r="F155" s="6"/>
      <c r="G155" s="3"/>
      <c r="M155" s="3"/>
      <c r="N155" s="3"/>
      <c r="O155" s="3"/>
      <c r="P155" s="3"/>
      <c r="Q155" s="3"/>
    </row>
    <row r="156" spans="1:17" s="8" customFormat="1">
      <c r="A156" s="3"/>
      <c r="B156" s="3"/>
      <c r="C156" s="5"/>
      <c r="F156" s="6"/>
      <c r="G156" s="3"/>
      <c r="M156" s="3"/>
      <c r="N156" s="3"/>
      <c r="O156" s="3"/>
      <c r="P156" s="3"/>
      <c r="Q156" s="3"/>
    </row>
    <row r="157" spans="1:17" s="8" customFormat="1">
      <c r="A157" s="3"/>
      <c r="B157" s="3"/>
      <c r="C157" s="5"/>
      <c r="F157" s="6"/>
      <c r="G157" s="3"/>
      <c r="M157" s="3"/>
      <c r="N157" s="3"/>
      <c r="O157" s="3"/>
      <c r="P157" s="3"/>
      <c r="Q157" s="3"/>
    </row>
    <row r="158" spans="1:17" s="8" customFormat="1">
      <c r="A158" s="3"/>
      <c r="B158" s="3"/>
      <c r="C158" s="5"/>
      <c r="F158" s="6"/>
      <c r="G158" s="3"/>
      <c r="M158" s="3"/>
      <c r="N158" s="3"/>
      <c r="O158" s="3"/>
      <c r="P158" s="3"/>
      <c r="Q158" s="3"/>
    </row>
    <row r="159" spans="1:17" s="8" customFormat="1">
      <c r="A159" s="3"/>
      <c r="B159" s="3"/>
      <c r="C159" s="5"/>
      <c r="F159" s="6"/>
      <c r="G159" s="3"/>
      <c r="M159" s="3"/>
      <c r="N159" s="3"/>
      <c r="O159" s="3"/>
      <c r="P159" s="3"/>
      <c r="Q159" s="3"/>
    </row>
    <row r="160" spans="1:17" s="8" customFormat="1">
      <c r="A160" s="3"/>
      <c r="B160" s="3"/>
      <c r="C160" s="5"/>
      <c r="F160" s="6"/>
      <c r="G160" s="3"/>
      <c r="M160" s="3"/>
      <c r="N160" s="3"/>
      <c r="O160" s="3"/>
      <c r="P160" s="3"/>
      <c r="Q160" s="3"/>
    </row>
    <row r="161" spans="1:17" s="8" customFormat="1">
      <c r="A161" s="3"/>
      <c r="B161" s="3"/>
      <c r="C161" s="5"/>
      <c r="F161" s="6"/>
      <c r="G161" s="3"/>
      <c r="M161" s="3"/>
      <c r="N161" s="3"/>
      <c r="O161" s="3"/>
      <c r="P161" s="3"/>
      <c r="Q161" s="3"/>
    </row>
    <row r="162" spans="1:17" s="8" customFormat="1">
      <c r="A162" s="3"/>
      <c r="B162" s="3"/>
      <c r="C162" s="5"/>
      <c r="F162" s="6"/>
      <c r="G162" s="3"/>
      <c r="M162" s="3"/>
      <c r="N162" s="3"/>
      <c r="O162" s="3"/>
      <c r="P162" s="3"/>
      <c r="Q162" s="3"/>
    </row>
    <row r="163" spans="1:17" s="8" customFormat="1">
      <c r="A163" s="3"/>
      <c r="B163" s="3"/>
      <c r="C163" s="5"/>
      <c r="F163" s="6"/>
      <c r="G163" s="3"/>
      <c r="M163" s="3"/>
      <c r="N163" s="3"/>
      <c r="O163" s="3"/>
      <c r="P163" s="3"/>
      <c r="Q163" s="3"/>
    </row>
    <row r="164" spans="1:17" s="8" customFormat="1">
      <c r="A164" s="3"/>
      <c r="B164" s="3"/>
      <c r="C164" s="5"/>
      <c r="F164" s="6"/>
      <c r="G164" s="3"/>
      <c r="M164" s="3"/>
      <c r="N164" s="3"/>
      <c r="O164" s="3"/>
      <c r="P164" s="3"/>
      <c r="Q164" s="3"/>
    </row>
    <row r="165" spans="1:17" s="8" customFormat="1">
      <c r="A165" s="3"/>
      <c r="B165" s="3"/>
      <c r="C165" s="5"/>
      <c r="F165" s="6"/>
      <c r="G165" s="3"/>
      <c r="M165" s="3"/>
      <c r="N165" s="3"/>
      <c r="O165" s="3"/>
      <c r="P165" s="3"/>
      <c r="Q165" s="3"/>
    </row>
    <row r="166" spans="1:17" s="8" customFormat="1">
      <c r="A166" s="3"/>
      <c r="B166" s="3"/>
      <c r="C166" s="5"/>
      <c r="F166" s="6"/>
      <c r="G166" s="3"/>
      <c r="M166" s="3"/>
      <c r="N166" s="3"/>
      <c r="O166" s="3"/>
      <c r="P166" s="3"/>
      <c r="Q166" s="3"/>
    </row>
    <row r="167" spans="1:17" s="8" customFormat="1">
      <c r="A167" s="3"/>
      <c r="B167" s="3"/>
      <c r="C167" s="5"/>
      <c r="F167" s="6"/>
      <c r="G167" s="3"/>
      <c r="M167" s="3"/>
      <c r="N167" s="3"/>
      <c r="O167" s="3"/>
      <c r="P167" s="3"/>
      <c r="Q167" s="3"/>
    </row>
    <row r="168" spans="1:17" s="8" customFormat="1">
      <c r="A168" s="3"/>
      <c r="B168" s="3"/>
      <c r="C168" s="5"/>
      <c r="F168" s="6"/>
      <c r="G168" s="3"/>
      <c r="M168" s="3"/>
      <c r="N168" s="3"/>
      <c r="O168" s="3"/>
      <c r="P168" s="3"/>
      <c r="Q168" s="3"/>
    </row>
    <row r="169" spans="1:17" s="8" customFormat="1">
      <c r="A169" s="3"/>
      <c r="B169" s="3"/>
      <c r="C169" s="5"/>
      <c r="F169" s="6"/>
      <c r="G169" s="3"/>
      <c r="M169" s="3"/>
      <c r="N169" s="3"/>
      <c r="O169" s="3"/>
      <c r="P169" s="3"/>
      <c r="Q169" s="3"/>
    </row>
    <row r="170" spans="1:17" s="8" customFormat="1">
      <c r="A170" s="3"/>
      <c r="B170" s="3"/>
      <c r="C170" s="5"/>
      <c r="F170" s="6"/>
      <c r="G170" s="3"/>
      <c r="M170" s="3"/>
      <c r="N170" s="3"/>
      <c r="O170" s="3"/>
      <c r="P170" s="3"/>
      <c r="Q170" s="3"/>
    </row>
    <row r="171" spans="1:17" s="8" customFormat="1">
      <c r="A171" s="3"/>
      <c r="B171" s="3"/>
      <c r="C171" s="5"/>
      <c r="F171" s="6"/>
      <c r="G171" s="3"/>
      <c r="M171" s="3"/>
      <c r="N171" s="3"/>
      <c r="O171" s="3"/>
      <c r="P171" s="3"/>
      <c r="Q171" s="3"/>
    </row>
    <row r="172" spans="1:17" s="8" customFormat="1">
      <c r="A172" s="3"/>
      <c r="B172" s="3"/>
      <c r="C172" s="5"/>
      <c r="F172" s="6"/>
      <c r="G172" s="3"/>
      <c r="M172" s="3"/>
      <c r="N172" s="3"/>
      <c r="O172" s="3"/>
      <c r="P172" s="3"/>
      <c r="Q172" s="3"/>
    </row>
    <row r="173" spans="1:17" s="8" customFormat="1">
      <c r="A173" s="3"/>
      <c r="B173" s="3"/>
      <c r="C173" s="5"/>
      <c r="F173" s="6"/>
      <c r="G173" s="3"/>
      <c r="M173" s="3"/>
      <c r="N173" s="3"/>
      <c r="O173" s="3"/>
      <c r="P173" s="3"/>
      <c r="Q173" s="3"/>
    </row>
    <row r="174" spans="1:17" s="8" customFormat="1">
      <c r="A174" s="3"/>
      <c r="B174" s="3"/>
      <c r="C174" s="5"/>
      <c r="F174" s="6"/>
      <c r="G174" s="3"/>
      <c r="M174" s="3"/>
      <c r="N174" s="3"/>
      <c r="O174" s="3"/>
      <c r="P174" s="3"/>
      <c r="Q174" s="3"/>
    </row>
    <row r="175" spans="1:17" s="8" customFormat="1">
      <c r="A175" s="3"/>
      <c r="B175" s="3"/>
      <c r="C175" s="5"/>
      <c r="F175" s="6"/>
      <c r="G175" s="3"/>
      <c r="M175" s="3"/>
      <c r="N175" s="3"/>
      <c r="O175" s="3"/>
      <c r="P175" s="3"/>
      <c r="Q175" s="3"/>
    </row>
    <row r="176" spans="1:17" s="8" customFormat="1">
      <c r="A176" s="3"/>
      <c r="B176" s="3"/>
      <c r="C176" s="5"/>
      <c r="F176" s="6"/>
      <c r="G176" s="3"/>
      <c r="M176" s="3"/>
      <c r="N176" s="3"/>
      <c r="O176" s="3"/>
      <c r="P176" s="3"/>
      <c r="Q176" s="3"/>
    </row>
    <row r="177" spans="1:17" s="8" customFormat="1">
      <c r="A177" s="3"/>
      <c r="B177" s="3"/>
      <c r="C177" s="5"/>
      <c r="F177" s="6"/>
      <c r="G177" s="3"/>
      <c r="M177" s="3"/>
      <c r="N177" s="3"/>
      <c r="O177" s="3"/>
      <c r="P177" s="3"/>
      <c r="Q177" s="3"/>
    </row>
    <row r="178" spans="1:17" s="8" customFormat="1">
      <c r="A178" s="3"/>
      <c r="B178" s="3"/>
      <c r="C178" s="5"/>
      <c r="F178" s="6"/>
      <c r="G178" s="3"/>
      <c r="M178" s="3"/>
      <c r="N178" s="3"/>
      <c r="O178" s="3"/>
      <c r="P178" s="3"/>
      <c r="Q178" s="3"/>
    </row>
    <row r="179" spans="1:17" s="8" customFormat="1">
      <c r="A179" s="3"/>
      <c r="B179" s="3"/>
      <c r="C179" s="5"/>
      <c r="F179" s="6"/>
      <c r="G179" s="3"/>
      <c r="M179" s="3"/>
      <c r="N179" s="3"/>
      <c r="O179" s="3"/>
      <c r="P179" s="3"/>
      <c r="Q179" s="3"/>
    </row>
    <row r="180" spans="1:17" s="8" customFormat="1">
      <c r="A180" s="3"/>
      <c r="B180" s="3"/>
      <c r="C180" s="5"/>
      <c r="F180" s="6"/>
      <c r="G180" s="3"/>
      <c r="M180" s="3"/>
      <c r="N180" s="3"/>
      <c r="O180" s="3"/>
      <c r="P180" s="3"/>
      <c r="Q180" s="3"/>
    </row>
    <row r="181" spans="1:17" s="8" customFormat="1">
      <c r="A181" s="3"/>
      <c r="B181" s="3"/>
      <c r="C181" s="5"/>
      <c r="F181" s="6"/>
      <c r="G181" s="3"/>
      <c r="M181" s="3"/>
      <c r="N181" s="3"/>
      <c r="O181" s="3"/>
      <c r="P181" s="3"/>
      <c r="Q181" s="3"/>
    </row>
    <row r="182" spans="1:17" s="8" customFormat="1">
      <c r="A182" s="3"/>
      <c r="B182" s="3"/>
      <c r="C182" s="5"/>
      <c r="F182" s="6"/>
      <c r="G182" s="3"/>
      <c r="M182" s="3"/>
      <c r="N182" s="3"/>
      <c r="O182" s="3"/>
      <c r="P182" s="3"/>
      <c r="Q182" s="3"/>
    </row>
    <row r="183" spans="1:17" s="8" customFormat="1">
      <c r="A183" s="3"/>
      <c r="B183" s="3"/>
      <c r="C183" s="5"/>
      <c r="F183" s="6"/>
      <c r="G183" s="3"/>
      <c r="M183" s="3"/>
      <c r="N183" s="3"/>
      <c r="O183" s="3"/>
      <c r="P183" s="3"/>
      <c r="Q183" s="3"/>
    </row>
    <row r="184" spans="1:17" s="8" customFormat="1">
      <c r="A184" s="3"/>
      <c r="B184" s="3"/>
      <c r="C184" s="5"/>
      <c r="F184" s="6"/>
      <c r="G184" s="3"/>
      <c r="M184" s="3"/>
      <c r="N184" s="3"/>
      <c r="O184" s="3"/>
      <c r="P184" s="3"/>
      <c r="Q184" s="3"/>
    </row>
    <row r="185" spans="1:17" s="8" customFormat="1">
      <c r="A185" s="3"/>
      <c r="B185" s="3"/>
      <c r="C185" s="5"/>
      <c r="F185" s="6"/>
      <c r="G185" s="3"/>
      <c r="M185" s="3"/>
      <c r="N185" s="3"/>
      <c r="O185" s="3"/>
      <c r="P185" s="3"/>
      <c r="Q185" s="3"/>
    </row>
    <row r="186" spans="1:17" s="8" customFormat="1">
      <c r="A186" s="3"/>
      <c r="B186" s="3"/>
      <c r="C186" s="5"/>
      <c r="F186" s="6"/>
      <c r="G186" s="3"/>
      <c r="M186" s="3"/>
      <c r="N186" s="3"/>
      <c r="O186" s="3"/>
      <c r="P186" s="3"/>
      <c r="Q186" s="3"/>
    </row>
    <row r="187" spans="1:17" s="8" customFormat="1">
      <c r="A187" s="3"/>
      <c r="B187" s="3"/>
      <c r="C187" s="5"/>
      <c r="F187" s="6"/>
      <c r="G187" s="3"/>
      <c r="M187" s="3"/>
      <c r="N187" s="3"/>
      <c r="O187" s="3"/>
      <c r="P187" s="3"/>
      <c r="Q187" s="3"/>
    </row>
    <row r="188" spans="1:17" s="8" customFormat="1">
      <c r="A188" s="3"/>
      <c r="B188" s="3"/>
      <c r="C188" s="5"/>
      <c r="F188" s="6"/>
      <c r="G188" s="3"/>
      <c r="M188" s="3"/>
      <c r="N188" s="3"/>
      <c r="O188" s="3"/>
      <c r="P188" s="3"/>
      <c r="Q188" s="3"/>
    </row>
    <row r="189" spans="1:17" s="8" customFormat="1">
      <c r="A189" s="3"/>
      <c r="B189" s="3"/>
      <c r="C189" s="5"/>
      <c r="F189" s="6"/>
      <c r="G189" s="3"/>
      <c r="M189" s="3"/>
      <c r="N189" s="3"/>
      <c r="O189" s="3"/>
      <c r="P189" s="3"/>
      <c r="Q189" s="3"/>
    </row>
    <row r="190" spans="1:17" s="8" customFormat="1">
      <c r="A190" s="3"/>
      <c r="B190" s="3"/>
      <c r="C190" s="5"/>
      <c r="F190" s="6"/>
      <c r="G190" s="3"/>
      <c r="M190" s="3"/>
      <c r="N190" s="3"/>
      <c r="O190" s="3"/>
      <c r="P190" s="3"/>
      <c r="Q190" s="3"/>
    </row>
    <row r="191" spans="1:17" s="8" customFormat="1">
      <c r="A191" s="3"/>
      <c r="B191" s="3"/>
      <c r="C191" s="5"/>
      <c r="F191" s="6"/>
      <c r="G191" s="3"/>
      <c r="M191" s="3"/>
      <c r="N191" s="3"/>
      <c r="O191" s="3"/>
      <c r="P191" s="3"/>
      <c r="Q191" s="3"/>
    </row>
    <row r="192" spans="1:17" s="8" customFormat="1">
      <c r="A192" s="3"/>
      <c r="B192" s="3"/>
      <c r="C192" s="5"/>
      <c r="F192" s="6"/>
      <c r="G192" s="3"/>
      <c r="M192" s="3"/>
      <c r="N192" s="3"/>
      <c r="O192" s="3"/>
      <c r="P192" s="3"/>
      <c r="Q192" s="3"/>
    </row>
    <row r="193" spans="1:17" s="8" customFormat="1">
      <c r="A193" s="3"/>
      <c r="B193" s="3"/>
      <c r="C193" s="5"/>
      <c r="F193" s="6"/>
      <c r="G193" s="3"/>
      <c r="M193" s="3"/>
      <c r="N193" s="3"/>
      <c r="O193" s="3"/>
      <c r="P193" s="3"/>
      <c r="Q193" s="3"/>
    </row>
    <row r="194" spans="1:17" s="8" customFormat="1">
      <c r="A194" s="3"/>
      <c r="B194" s="3"/>
      <c r="C194" s="5"/>
      <c r="F194" s="6"/>
      <c r="G194" s="3"/>
      <c r="M194" s="3"/>
      <c r="N194" s="3"/>
      <c r="O194" s="3"/>
      <c r="P194" s="3"/>
      <c r="Q194" s="3"/>
    </row>
    <row r="195" spans="1:17" s="8" customFormat="1">
      <c r="A195" s="3"/>
      <c r="B195" s="3"/>
      <c r="C195" s="5"/>
      <c r="F195" s="6"/>
      <c r="G195" s="3"/>
      <c r="M195" s="3"/>
      <c r="N195" s="3"/>
      <c r="O195" s="3"/>
      <c r="P195" s="3"/>
      <c r="Q195" s="3"/>
    </row>
    <row r="196" spans="1:17" s="8" customFormat="1">
      <c r="A196" s="3"/>
      <c r="B196" s="3"/>
      <c r="C196" s="5"/>
      <c r="F196" s="6"/>
      <c r="G196" s="3"/>
      <c r="M196" s="3"/>
      <c r="N196" s="3"/>
      <c r="O196" s="3"/>
      <c r="P196" s="3"/>
      <c r="Q196" s="3"/>
    </row>
    <row r="197" spans="1:17" s="8" customFormat="1">
      <c r="A197" s="3"/>
      <c r="B197" s="3"/>
      <c r="C197" s="5"/>
      <c r="F197" s="6"/>
      <c r="G197" s="3"/>
      <c r="M197" s="3"/>
      <c r="N197" s="3"/>
      <c r="O197" s="3"/>
      <c r="P197" s="3"/>
      <c r="Q197" s="3"/>
    </row>
    <row r="198" spans="1:17" s="8" customFormat="1">
      <c r="A198" s="3"/>
      <c r="B198" s="3"/>
      <c r="C198" s="5"/>
      <c r="F198" s="6"/>
      <c r="G198" s="3"/>
      <c r="M198" s="3"/>
      <c r="N198" s="3"/>
      <c r="O198" s="3"/>
      <c r="P198" s="3"/>
      <c r="Q198" s="3"/>
    </row>
    <row r="199" spans="1:17" s="8" customFormat="1">
      <c r="A199" s="3"/>
      <c r="B199" s="3"/>
      <c r="C199" s="5"/>
      <c r="F199" s="6"/>
      <c r="G199" s="3"/>
      <c r="M199" s="3"/>
      <c r="N199" s="3"/>
      <c r="O199" s="3"/>
      <c r="P199" s="3"/>
      <c r="Q199" s="3"/>
    </row>
    <row r="200" spans="1:17" s="8" customFormat="1">
      <c r="A200" s="3"/>
      <c r="B200" s="3"/>
      <c r="C200" s="5"/>
      <c r="F200" s="6"/>
      <c r="G200" s="3"/>
      <c r="M200" s="3"/>
      <c r="N200" s="3"/>
      <c r="O200" s="3"/>
      <c r="P200" s="3"/>
      <c r="Q200" s="3"/>
    </row>
    <row r="201" spans="1:17" s="8" customFormat="1">
      <c r="A201" s="3"/>
      <c r="B201" s="3"/>
      <c r="C201" s="5"/>
      <c r="F201" s="6"/>
      <c r="G201" s="3"/>
      <c r="M201" s="3"/>
      <c r="N201" s="3"/>
      <c r="O201" s="3"/>
      <c r="P201" s="3"/>
      <c r="Q201" s="3"/>
    </row>
    <row r="202" spans="1:17" s="8" customFormat="1">
      <c r="A202" s="3"/>
      <c r="B202" s="3"/>
      <c r="C202" s="5"/>
      <c r="F202" s="6"/>
      <c r="G202" s="3"/>
      <c r="M202" s="3"/>
      <c r="N202" s="3"/>
      <c r="O202" s="3"/>
      <c r="P202" s="3"/>
      <c r="Q202" s="3"/>
    </row>
    <row r="203" spans="1:17" s="8" customFormat="1">
      <c r="A203" s="3"/>
      <c r="B203" s="3"/>
      <c r="C203" s="5"/>
      <c r="F203" s="6"/>
      <c r="G203" s="3"/>
      <c r="M203" s="3"/>
      <c r="N203" s="3"/>
      <c r="O203" s="3"/>
      <c r="P203" s="3"/>
      <c r="Q203" s="3"/>
    </row>
    <row r="204" spans="1:17" s="8" customFormat="1">
      <c r="A204" s="3"/>
      <c r="B204" s="3"/>
      <c r="C204" s="5"/>
      <c r="F204" s="6"/>
      <c r="G204" s="3"/>
      <c r="M204" s="3"/>
      <c r="N204" s="3"/>
      <c r="O204" s="3"/>
      <c r="P204" s="3"/>
      <c r="Q204" s="3"/>
    </row>
    <row r="205" spans="1:17" s="8" customFormat="1">
      <c r="A205" s="3"/>
      <c r="B205" s="3"/>
      <c r="C205" s="5"/>
      <c r="F205" s="6"/>
      <c r="G205" s="3"/>
      <c r="M205" s="3"/>
      <c r="N205" s="3"/>
      <c r="O205" s="3"/>
      <c r="P205" s="3"/>
      <c r="Q205" s="3"/>
    </row>
    <row r="206" spans="1:17" s="8" customFormat="1">
      <c r="A206" s="3"/>
      <c r="B206" s="3"/>
      <c r="C206" s="5"/>
      <c r="F206" s="6"/>
      <c r="G206" s="3"/>
      <c r="M206" s="3"/>
      <c r="N206" s="3"/>
      <c r="O206" s="3"/>
      <c r="P206" s="3"/>
      <c r="Q206" s="3"/>
    </row>
    <row r="207" spans="1:17" s="8" customFormat="1">
      <c r="A207" s="3"/>
      <c r="B207" s="3"/>
      <c r="C207" s="5"/>
      <c r="F207" s="6"/>
      <c r="G207" s="3"/>
      <c r="M207" s="3"/>
      <c r="N207" s="3"/>
      <c r="O207" s="3"/>
      <c r="P207" s="3"/>
      <c r="Q207" s="3"/>
    </row>
    <row r="208" spans="1:17" s="8" customFormat="1">
      <c r="A208" s="3"/>
      <c r="B208" s="3"/>
      <c r="C208" s="5"/>
      <c r="F208" s="6"/>
      <c r="G208" s="3"/>
      <c r="M208" s="3"/>
      <c r="N208" s="3"/>
      <c r="O208" s="3"/>
      <c r="P208" s="3"/>
      <c r="Q208" s="3"/>
    </row>
    <row r="209" spans="1:17" s="8" customFormat="1">
      <c r="A209" s="3"/>
      <c r="B209" s="3"/>
      <c r="C209" s="5"/>
      <c r="F209" s="6"/>
      <c r="G209" s="3"/>
      <c r="M209" s="3"/>
      <c r="N209" s="3"/>
      <c r="O209" s="3"/>
      <c r="P209" s="3"/>
      <c r="Q209" s="3"/>
    </row>
    <row r="210" spans="1:17" s="8" customFormat="1">
      <c r="A210" s="3"/>
      <c r="B210" s="3"/>
      <c r="C210" s="5"/>
      <c r="F210" s="6"/>
      <c r="G210" s="3"/>
      <c r="M210" s="3"/>
      <c r="N210" s="3"/>
      <c r="O210" s="3"/>
      <c r="P210" s="3"/>
      <c r="Q210" s="3"/>
    </row>
    <row r="211" spans="1:17" s="8" customFormat="1">
      <c r="A211" s="3"/>
      <c r="B211" s="3"/>
      <c r="C211" s="5"/>
      <c r="F211" s="6"/>
      <c r="G211" s="3"/>
      <c r="M211" s="3"/>
      <c r="N211" s="3"/>
      <c r="O211" s="3"/>
      <c r="P211" s="3"/>
      <c r="Q211" s="3"/>
    </row>
    <row r="212" spans="1:17" s="8" customFormat="1">
      <c r="A212" s="3"/>
      <c r="B212" s="3"/>
      <c r="C212" s="5"/>
      <c r="F212" s="6"/>
      <c r="G212" s="3"/>
      <c r="M212" s="3"/>
      <c r="N212" s="3"/>
      <c r="O212" s="3"/>
      <c r="P212" s="3"/>
      <c r="Q212" s="3"/>
    </row>
    <row r="213" spans="1:17" s="8" customFormat="1">
      <c r="A213" s="3"/>
      <c r="B213" s="3"/>
      <c r="C213" s="5"/>
      <c r="F213" s="6"/>
      <c r="G213" s="3"/>
      <c r="M213" s="3"/>
      <c r="N213" s="3"/>
      <c r="O213" s="3"/>
      <c r="P213" s="3"/>
      <c r="Q213" s="3"/>
    </row>
    <row r="214" spans="1:17" s="8" customFormat="1">
      <c r="A214" s="3"/>
      <c r="B214" s="3"/>
      <c r="C214" s="5"/>
      <c r="F214" s="6"/>
      <c r="G214" s="3"/>
      <c r="M214" s="3"/>
      <c r="N214" s="3"/>
      <c r="O214" s="3"/>
      <c r="P214" s="3"/>
      <c r="Q214" s="3"/>
    </row>
    <row r="215" spans="1:17" s="8" customFormat="1">
      <c r="A215" s="3"/>
      <c r="B215" s="3"/>
      <c r="C215" s="5"/>
      <c r="F215" s="6"/>
      <c r="G215" s="3"/>
      <c r="M215" s="3"/>
      <c r="N215" s="3"/>
      <c r="O215" s="3"/>
      <c r="P215" s="3"/>
      <c r="Q215" s="3"/>
    </row>
    <row r="216" spans="1:17" s="8" customFormat="1">
      <c r="A216" s="3"/>
      <c r="B216" s="3"/>
      <c r="C216" s="5"/>
      <c r="F216" s="6"/>
      <c r="G216" s="3"/>
      <c r="M216" s="3"/>
      <c r="N216" s="3"/>
      <c r="O216" s="3"/>
      <c r="P216" s="3"/>
      <c r="Q216" s="3"/>
    </row>
    <row r="217" spans="1:17" s="8" customFormat="1">
      <c r="A217" s="3"/>
      <c r="B217" s="3"/>
      <c r="C217" s="5"/>
      <c r="F217" s="6"/>
      <c r="G217" s="3"/>
      <c r="M217" s="3"/>
      <c r="N217" s="3"/>
      <c r="O217" s="3"/>
      <c r="P217" s="3"/>
      <c r="Q217" s="3"/>
    </row>
    <row r="218" spans="1:17" s="8" customFormat="1">
      <c r="A218" s="3"/>
      <c r="B218" s="3"/>
      <c r="C218" s="5"/>
      <c r="F218" s="6"/>
      <c r="G218" s="3"/>
      <c r="M218" s="3"/>
      <c r="N218" s="3"/>
      <c r="O218" s="3"/>
      <c r="P218" s="3"/>
      <c r="Q218" s="3"/>
    </row>
    <row r="219" spans="1:17" s="8" customFormat="1">
      <c r="A219" s="3"/>
      <c r="B219" s="3"/>
      <c r="C219" s="5"/>
      <c r="F219" s="6"/>
      <c r="G219" s="3"/>
      <c r="M219" s="3"/>
      <c r="N219" s="3"/>
      <c r="O219" s="3"/>
      <c r="P219" s="3"/>
      <c r="Q219" s="3"/>
    </row>
    <row r="220" spans="1:17" s="8" customFormat="1">
      <c r="A220" s="3"/>
      <c r="B220" s="3"/>
      <c r="C220" s="5"/>
      <c r="F220" s="6"/>
      <c r="G220" s="3"/>
      <c r="M220" s="3"/>
      <c r="N220" s="3"/>
      <c r="O220" s="3"/>
      <c r="P220" s="3"/>
      <c r="Q220" s="3"/>
    </row>
    <row r="221" spans="1:17" s="8" customFormat="1">
      <c r="A221" s="3"/>
      <c r="B221" s="3"/>
      <c r="C221" s="5"/>
      <c r="F221" s="6"/>
      <c r="G221" s="3"/>
      <c r="M221" s="3"/>
      <c r="N221" s="3"/>
      <c r="O221" s="3"/>
      <c r="P221" s="3"/>
      <c r="Q221" s="3"/>
    </row>
    <row r="222" spans="1:17" s="8" customFormat="1">
      <c r="A222" s="3"/>
      <c r="B222" s="3"/>
      <c r="C222" s="5"/>
      <c r="F222" s="6"/>
      <c r="G222" s="3"/>
      <c r="M222" s="3"/>
      <c r="N222" s="3"/>
      <c r="O222" s="3"/>
      <c r="P222" s="3"/>
      <c r="Q222" s="3"/>
    </row>
    <row r="223" spans="1:17" s="8" customFormat="1">
      <c r="A223" s="3"/>
      <c r="B223" s="3"/>
      <c r="C223" s="5"/>
      <c r="F223" s="6"/>
      <c r="G223" s="3"/>
      <c r="M223" s="3"/>
      <c r="N223" s="3"/>
      <c r="O223" s="3"/>
      <c r="P223" s="3"/>
      <c r="Q223" s="3"/>
    </row>
    <row r="224" spans="1:17" s="8" customFormat="1">
      <c r="A224" s="3"/>
      <c r="B224" s="3"/>
      <c r="C224" s="5"/>
      <c r="F224" s="6"/>
      <c r="G224" s="3"/>
      <c r="M224" s="3"/>
      <c r="N224" s="3"/>
      <c r="O224" s="3"/>
      <c r="P224" s="3"/>
      <c r="Q224" s="3"/>
    </row>
    <row r="225" spans="1:17" s="8" customFormat="1">
      <c r="A225" s="3"/>
      <c r="B225" s="3"/>
      <c r="C225" s="5"/>
      <c r="F225" s="6"/>
      <c r="G225" s="3"/>
      <c r="M225" s="3"/>
      <c r="N225" s="3"/>
      <c r="O225" s="3"/>
      <c r="P225" s="3"/>
      <c r="Q225" s="3"/>
    </row>
    <row r="226" spans="1:17" s="8" customFormat="1">
      <c r="A226" s="3"/>
      <c r="B226" s="3"/>
      <c r="C226" s="5"/>
      <c r="F226" s="6"/>
      <c r="G226" s="3"/>
      <c r="M226" s="3"/>
      <c r="N226" s="3"/>
      <c r="O226" s="3"/>
      <c r="P226" s="3"/>
      <c r="Q226" s="3"/>
    </row>
    <row r="227" spans="1:17" s="8" customFormat="1">
      <c r="A227" s="3"/>
      <c r="B227" s="3"/>
      <c r="C227" s="5"/>
      <c r="F227" s="6"/>
      <c r="G227" s="3"/>
      <c r="M227" s="3"/>
      <c r="N227" s="3"/>
      <c r="O227" s="3"/>
      <c r="P227" s="3"/>
      <c r="Q227" s="3"/>
    </row>
    <row r="228" spans="1:17" s="8" customFormat="1">
      <c r="A228" s="3"/>
      <c r="B228" s="3"/>
      <c r="C228" s="5"/>
      <c r="F228" s="6"/>
      <c r="G228" s="3"/>
      <c r="M228" s="3"/>
      <c r="N228" s="3"/>
      <c r="O228" s="3"/>
      <c r="P228" s="3"/>
      <c r="Q228" s="3"/>
    </row>
    <row r="229" spans="1:17" s="8" customFormat="1">
      <c r="A229" s="3"/>
      <c r="B229" s="3"/>
      <c r="C229" s="5"/>
      <c r="F229" s="6"/>
      <c r="G229" s="3"/>
      <c r="M229" s="3"/>
      <c r="N229" s="3"/>
      <c r="O229" s="3"/>
      <c r="P229" s="3"/>
      <c r="Q229" s="3"/>
    </row>
    <row r="230" spans="1:17" s="8" customFormat="1">
      <c r="A230" s="3"/>
      <c r="B230" s="3"/>
      <c r="C230" s="5"/>
      <c r="F230" s="6"/>
      <c r="G230" s="3"/>
      <c r="M230" s="3"/>
      <c r="N230" s="3"/>
      <c r="O230" s="3"/>
      <c r="P230" s="3"/>
      <c r="Q230" s="3"/>
    </row>
    <row r="231" spans="1:17" s="8" customFormat="1">
      <c r="A231" s="3"/>
      <c r="B231" s="3"/>
      <c r="C231" s="5"/>
      <c r="F231" s="6"/>
      <c r="G231" s="3"/>
      <c r="M231" s="3"/>
      <c r="N231" s="3"/>
      <c r="O231" s="3"/>
      <c r="P231" s="3"/>
      <c r="Q231" s="3"/>
    </row>
    <row r="232" spans="1:17" s="8" customFormat="1">
      <c r="A232" s="3"/>
      <c r="B232" s="3"/>
      <c r="C232" s="5"/>
      <c r="F232" s="6"/>
      <c r="G232" s="3"/>
      <c r="M232" s="3"/>
      <c r="N232" s="3"/>
      <c r="O232" s="3"/>
      <c r="P232" s="3"/>
      <c r="Q232" s="3"/>
    </row>
    <row r="233" spans="1:17" s="8" customFormat="1">
      <c r="A233" s="3"/>
      <c r="B233" s="3"/>
      <c r="C233" s="5"/>
      <c r="F233" s="6"/>
      <c r="G233" s="3"/>
      <c r="M233" s="3"/>
      <c r="N233" s="3"/>
      <c r="O233" s="3"/>
      <c r="P233" s="3"/>
      <c r="Q233" s="3"/>
    </row>
    <row r="234" spans="1:17" s="8" customFormat="1">
      <c r="A234" s="3"/>
      <c r="B234" s="3"/>
      <c r="C234" s="5"/>
      <c r="F234" s="6"/>
      <c r="G234" s="3"/>
      <c r="M234" s="3"/>
      <c r="N234" s="3"/>
      <c r="O234" s="3"/>
      <c r="P234" s="3"/>
      <c r="Q234" s="3"/>
    </row>
    <row r="235" spans="1:17" s="8" customFormat="1">
      <c r="A235" s="3"/>
      <c r="B235" s="3"/>
      <c r="C235" s="5"/>
      <c r="F235" s="6"/>
      <c r="G235" s="3"/>
      <c r="M235" s="3"/>
      <c r="N235" s="3"/>
      <c r="O235" s="3"/>
      <c r="P235" s="3"/>
      <c r="Q235" s="3"/>
    </row>
    <row r="236" spans="1:17" s="8" customFormat="1">
      <c r="A236" s="3"/>
      <c r="B236" s="3"/>
      <c r="C236" s="5"/>
      <c r="F236" s="6"/>
      <c r="G236" s="3"/>
      <c r="M236" s="3"/>
      <c r="N236" s="3"/>
      <c r="O236" s="3"/>
      <c r="P236" s="3"/>
      <c r="Q236" s="3"/>
    </row>
    <row r="237" spans="1:17" s="8" customFormat="1">
      <c r="A237" s="3"/>
      <c r="B237" s="3"/>
      <c r="C237" s="5"/>
      <c r="F237" s="6"/>
      <c r="G237" s="3"/>
      <c r="M237" s="3"/>
      <c r="N237" s="3"/>
      <c r="O237" s="3"/>
      <c r="P237" s="3"/>
      <c r="Q237" s="3"/>
    </row>
    <row r="238" spans="1:17" s="8" customFormat="1">
      <c r="A238" s="3"/>
      <c r="B238" s="3"/>
      <c r="C238" s="5"/>
      <c r="F238" s="6"/>
      <c r="G238" s="3"/>
      <c r="M238" s="3"/>
      <c r="N238" s="3"/>
      <c r="O238" s="3"/>
      <c r="P238" s="3"/>
      <c r="Q238" s="3"/>
    </row>
    <row r="239" spans="1:17" s="8" customFormat="1">
      <c r="A239" s="3"/>
      <c r="B239" s="3"/>
      <c r="C239" s="5"/>
      <c r="F239" s="6"/>
      <c r="G239" s="3"/>
      <c r="M239" s="3"/>
      <c r="N239" s="3"/>
      <c r="O239" s="3"/>
      <c r="P239" s="3"/>
      <c r="Q239" s="3"/>
    </row>
    <row r="240" spans="1:17" s="8" customFormat="1">
      <c r="A240" s="3"/>
      <c r="B240" s="3"/>
      <c r="C240" s="5"/>
      <c r="F240" s="6"/>
      <c r="G240" s="3"/>
      <c r="M240" s="3"/>
      <c r="N240" s="3"/>
      <c r="O240" s="3"/>
      <c r="P240" s="3"/>
      <c r="Q240" s="3"/>
    </row>
    <row r="241" spans="1:17" s="8" customFormat="1">
      <c r="A241" s="3"/>
      <c r="B241" s="3"/>
      <c r="C241" s="5"/>
      <c r="F241" s="6"/>
      <c r="G241" s="3"/>
      <c r="M241" s="3"/>
      <c r="N241" s="3"/>
      <c r="O241" s="3"/>
      <c r="P241" s="3"/>
      <c r="Q241" s="3"/>
    </row>
    <row r="242" spans="1:17" s="8" customFormat="1">
      <c r="A242" s="3"/>
      <c r="B242" s="3"/>
      <c r="C242" s="5"/>
      <c r="F242" s="6"/>
      <c r="G242" s="3"/>
      <c r="M242" s="3"/>
      <c r="N242" s="3"/>
      <c r="O242" s="3"/>
      <c r="P242" s="3"/>
      <c r="Q242" s="3"/>
    </row>
    <row r="243" spans="1:17" s="8" customFormat="1">
      <c r="A243" s="3"/>
      <c r="B243" s="3"/>
      <c r="C243" s="5"/>
      <c r="F243" s="6"/>
      <c r="G243" s="3"/>
      <c r="M243" s="3"/>
      <c r="N243" s="3"/>
      <c r="O243" s="3"/>
      <c r="P243" s="3"/>
      <c r="Q243" s="3"/>
    </row>
    <row r="244" spans="1:17" s="8" customFormat="1">
      <c r="A244" s="3"/>
      <c r="B244" s="3"/>
      <c r="C244" s="5"/>
      <c r="F244" s="6"/>
      <c r="G244" s="3"/>
      <c r="M244" s="3"/>
      <c r="N244" s="3"/>
      <c r="O244" s="3"/>
      <c r="P244" s="3"/>
      <c r="Q244" s="3"/>
    </row>
    <row r="245" spans="1:17">
      <c r="C245" s="5"/>
      <c r="D245" s="8"/>
      <c r="F245" s="6"/>
      <c r="L245" s="3"/>
    </row>
    <row r="246" spans="1:17">
      <c r="C246" s="5"/>
      <c r="D246" s="8"/>
      <c r="F246" s="6"/>
      <c r="L246" s="3"/>
    </row>
    <row r="247" spans="1:17">
      <c r="C247" s="5"/>
      <c r="D247" s="8"/>
      <c r="F247" s="6"/>
      <c r="L247" s="3"/>
    </row>
    <row r="248" spans="1:17">
      <c r="C248" s="5"/>
      <c r="D248" s="8"/>
      <c r="F248" s="6"/>
      <c r="L248" s="3"/>
    </row>
    <row r="249" spans="1:17">
      <c r="C249" s="5"/>
      <c r="D249" s="8"/>
      <c r="F249" s="6"/>
      <c r="L249" s="3"/>
    </row>
    <row r="250" spans="1:17">
      <c r="C250" s="5"/>
      <c r="D250" s="8"/>
      <c r="F250" s="6"/>
      <c r="L250" s="3"/>
    </row>
    <row r="251" spans="1:17">
      <c r="C251" s="5"/>
      <c r="D251" s="8"/>
      <c r="F251" s="6"/>
      <c r="L251" s="3"/>
    </row>
    <row r="252" spans="1:17">
      <c r="C252" s="5"/>
      <c r="D252" s="8"/>
      <c r="F252" s="6"/>
      <c r="L252" s="3"/>
    </row>
    <row r="253" spans="1:17">
      <c r="C253" s="5"/>
      <c r="D253" s="8"/>
      <c r="F253" s="6"/>
      <c r="L253" s="3"/>
    </row>
    <row r="254" spans="1:17">
      <c r="C254" s="5"/>
      <c r="D254" s="8"/>
      <c r="F254" s="6"/>
      <c r="L254" s="3"/>
    </row>
    <row r="255" spans="1:17">
      <c r="C255" s="5"/>
      <c r="D255" s="8"/>
      <c r="F255" s="6"/>
      <c r="L255" s="3"/>
    </row>
    <row r="256" spans="1:17">
      <c r="C256" s="5"/>
      <c r="D256" s="8"/>
      <c r="F256" s="6"/>
    </row>
    <row r="257" spans="1:17">
      <c r="C257" s="5"/>
      <c r="D257" s="8"/>
      <c r="F257" s="6"/>
    </row>
    <row r="258" spans="1:17">
      <c r="C258" s="5"/>
      <c r="D258" s="8"/>
      <c r="F258" s="6"/>
    </row>
    <row r="259" spans="1:17">
      <c r="C259" s="5"/>
      <c r="D259" s="8"/>
      <c r="F259" s="6"/>
    </row>
    <row r="260" spans="1:17">
      <c r="C260" s="5"/>
      <c r="D260" s="8"/>
      <c r="F260" s="6"/>
    </row>
    <row r="261" spans="1:17" s="8" customFormat="1">
      <c r="A261" s="3"/>
      <c r="B261" s="3"/>
      <c r="C261" s="5"/>
      <c r="F261" s="6"/>
      <c r="M261" s="3"/>
      <c r="N261" s="3"/>
      <c r="O261" s="3"/>
      <c r="P261" s="3"/>
      <c r="Q261" s="3"/>
    </row>
    <row r="262" spans="1:17" s="8" customFormat="1">
      <c r="A262" s="3"/>
      <c r="B262" s="3"/>
      <c r="C262" s="5"/>
      <c r="F262" s="6"/>
      <c r="M262" s="3"/>
      <c r="N262" s="3"/>
      <c r="O262" s="3"/>
      <c r="P262" s="3"/>
      <c r="Q262" s="3"/>
    </row>
    <row r="263" spans="1:17" s="8" customFormat="1">
      <c r="A263" s="3"/>
      <c r="B263" s="3"/>
      <c r="C263" s="5"/>
      <c r="F263" s="6"/>
      <c r="M263" s="3"/>
      <c r="N263" s="3"/>
      <c r="O263" s="3"/>
      <c r="P263" s="3"/>
      <c r="Q263" s="3"/>
    </row>
    <row r="264" spans="1:17" s="8" customFormat="1">
      <c r="A264" s="3"/>
      <c r="B264" s="3"/>
      <c r="C264" s="5"/>
      <c r="F264" s="6"/>
      <c r="M264" s="3"/>
      <c r="N264" s="3"/>
      <c r="O264" s="3"/>
      <c r="P264" s="3"/>
      <c r="Q264" s="3"/>
    </row>
    <row r="265" spans="1:17">
      <c r="C265" s="5"/>
      <c r="D265" s="8"/>
      <c r="F265" s="6"/>
    </row>
    <row r="266" spans="1:17">
      <c r="C266" s="5"/>
      <c r="D266" s="8"/>
      <c r="F266" s="6"/>
    </row>
    <row r="267" spans="1:17">
      <c r="C267" s="5"/>
      <c r="D267" s="8"/>
      <c r="F267" s="6"/>
    </row>
    <row r="268" spans="1:17">
      <c r="C268" s="5"/>
      <c r="D268" s="8"/>
      <c r="F268" s="6"/>
    </row>
    <row r="269" spans="1:17">
      <c r="C269" s="5"/>
      <c r="D269" s="8"/>
      <c r="F269" s="6"/>
    </row>
    <row r="270" spans="1:17">
      <c r="C270" s="5"/>
      <c r="D270" s="8"/>
      <c r="F270" s="6"/>
    </row>
    <row r="271" spans="1:17">
      <c r="C271" s="5"/>
      <c r="D271" s="8"/>
      <c r="F271" s="6"/>
    </row>
    <row r="272" spans="1:17">
      <c r="C272" s="5"/>
      <c r="D272" s="8"/>
      <c r="F272" s="6"/>
    </row>
    <row r="273" spans="3:6">
      <c r="C273" s="5"/>
      <c r="D273" s="8"/>
      <c r="F273" s="6"/>
    </row>
    <row r="274" spans="3:6">
      <c r="C274" s="5"/>
      <c r="D274" s="8"/>
      <c r="F274" s="6"/>
    </row>
    <row r="275" spans="3:6">
      <c r="C275" s="5"/>
      <c r="D275" s="8"/>
      <c r="F275" s="6"/>
    </row>
    <row r="276" spans="3:6">
      <c r="C276" s="5"/>
      <c r="D276" s="8"/>
      <c r="F276" s="6"/>
    </row>
    <row r="277" spans="3:6">
      <c r="C277" s="5"/>
      <c r="D277" s="8"/>
      <c r="F277" s="6"/>
    </row>
    <row r="278" spans="3:6">
      <c r="C278" s="5"/>
      <c r="D278" s="8"/>
      <c r="F278" s="6"/>
    </row>
    <row r="279" spans="3:6">
      <c r="C279" s="5"/>
      <c r="D279" s="8"/>
      <c r="F279" s="6"/>
    </row>
    <row r="280" spans="3:6">
      <c r="C280" s="5"/>
      <c r="D280" s="8"/>
      <c r="F280" s="6"/>
    </row>
    <row r="281" spans="3:6">
      <c r="C281" s="5"/>
      <c r="D281" s="8"/>
      <c r="F281" s="6"/>
    </row>
    <row r="282" spans="3:6">
      <c r="C282" s="5"/>
      <c r="D282" s="8"/>
      <c r="F282" s="6"/>
    </row>
    <row r="283" spans="3:6">
      <c r="C283" s="5"/>
      <c r="D283" s="8"/>
      <c r="F283" s="6"/>
    </row>
    <row r="284" spans="3:6">
      <c r="C284" s="5"/>
      <c r="D284" s="8"/>
      <c r="F284" s="6"/>
    </row>
    <row r="285" spans="3:6">
      <c r="C285" s="5"/>
      <c r="D285" s="8"/>
      <c r="F285" s="6"/>
    </row>
    <row r="286" spans="3:6">
      <c r="C286" s="5"/>
      <c r="D286" s="8"/>
      <c r="F286" s="6"/>
    </row>
    <row r="287" spans="3:6">
      <c r="C287" s="5"/>
      <c r="D287" s="8"/>
      <c r="F287" s="6"/>
    </row>
    <row r="288" spans="3:6">
      <c r="C288" s="5"/>
      <c r="D288" s="8"/>
      <c r="F288" s="6"/>
    </row>
    <row r="289" spans="3:6">
      <c r="C289" s="5"/>
      <c r="D289" s="8"/>
      <c r="F289" s="6"/>
    </row>
    <row r="290" spans="3:6">
      <c r="C290" s="5"/>
      <c r="D290" s="8"/>
      <c r="F290" s="6"/>
    </row>
    <row r="291" spans="3:6">
      <c r="C291" s="5"/>
      <c r="D291" s="8"/>
      <c r="F291" s="6"/>
    </row>
    <row r="292" spans="3:6">
      <c r="C292" s="5"/>
      <c r="D292" s="8"/>
      <c r="F292" s="6"/>
    </row>
    <row r="293" spans="3:6">
      <c r="C293" s="5"/>
      <c r="D293" s="8"/>
      <c r="F293" s="6"/>
    </row>
    <row r="294" spans="3:6">
      <c r="C294" s="5"/>
      <c r="D294" s="8"/>
      <c r="F294" s="6"/>
    </row>
    <row r="295" spans="3:6">
      <c r="C295" s="5"/>
      <c r="D295" s="8"/>
      <c r="F295" s="6"/>
    </row>
    <row r="296" spans="3:6">
      <c r="C296" s="5"/>
      <c r="D296" s="8"/>
      <c r="F296" s="6"/>
    </row>
    <row r="297" spans="3:6">
      <c r="C297" s="5"/>
      <c r="D297" s="8"/>
      <c r="F297" s="6"/>
    </row>
    <row r="298" spans="3:6">
      <c r="C298" s="5"/>
      <c r="D298" s="8"/>
      <c r="F298" s="6"/>
    </row>
    <row r="299" spans="3:6">
      <c r="C299" s="5"/>
      <c r="D299" s="8"/>
      <c r="F299" s="6"/>
    </row>
    <row r="300" spans="3:6">
      <c r="C300" s="5"/>
      <c r="D300" s="8"/>
      <c r="F300" s="6"/>
    </row>
    <row r="301" spans="3:6">
      <c r="C301" s="5"/>
      <c r="D301" s="8"/>
      <c r="F301" s="6"/>
    </row>
    <row r="302" spans="3:6">
      <c r="C302" s="5"/>
      <c r="D302" s="8"/>
      <c r="F302" s="6"/>
    </row>
    <row r="303" spans="3:6">
      <c r="C303" s="5"/>
      <c r="D303" s="8"/>
      <c r="F303" s="6"/>
    </row>
    <row r="304" spans="3:6">
      <c r="C304" s="5"/>
      <c r="D304" s="8"/>
      <c r="F304" s="6"/>
    </row>
    <row r="305" spans="3:6">
      <c r="C305" s="5"/>
      <c r="D305" s="8"/>
      <c r="F305" s="6"/>
    </row>
    <row r="306" spans="3:6">
      <c r="C306" s="5"/>
      <c r="D306" s="8"/>
      <c r="F306" s="6"/>
    </row>
    <row r="307" spans="3:6">
      <c r="C307" s="5"/>
      <c r="D307" s="8"/>
      <c r="F307" s="6"/>
    </row>
    <row r="308" spans="3:6">
      <c r="C308" s="5"/>
      <c r="D308" s="8"/>
      <c r="F308" s="6"/>
    </row>
    <row r="309" spans="3:6">
      <c r="C309" s="5"/>
      <c r="D309" s="8"/>
      <c r="F309" s="6"/>
    </row>
  </sheetData>
  <mergeCells count="1">
    <mergeCell ref="C1:Q1"/>
  </mergeCells>
  <conditionalFormatting sqref="C4:P34 C37:P96">
    <cfRule type="expression" dxfId="30" priority="1">
      <formula>ISERROR(C4)=TRUE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AA1-DDED-4C57-A022-49B8D3328C7B}">
  <dimension ref="B2:AH120"/>
  <sheetViews>
    <sheetView workbookViewId="0"/>
  </sheetViews>
  <sheetFormatPr defaultColWidth="9" defaultRowHeight="14.4" outlineLevelRow="1"/>
  <cols>
    <col min="1" max="1" width="9" style="3"/>
    <col min="2" max="2" width="9" style="6"/>
    <col min="3" max="3" width="10.3984375" style="3" bestFit="1" customWidth="1"/>
    <col min="4" max="34" width="6.59765625" style="3" customWidth="1"/>
    <col min="35" max="16384" width="9" style="3"/>
  </cols>
  <sheetData>
    <row r="2" spans="2:34">
      <c r="B2" s="236" t="s">
        <v>384</v>
      </c>
    </row>
    <row r="3" spans="2:34">
      <c r="B3" s="236"/>
    </row>
    <row r="4" spans="2:34" ht="43.2">
      <c r="B4" s="424" t="s">
        <v>124</v>
      </c>
      <c r="C4" s="424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2:34">
      <c r="B5" s="427" t="s">
        <v>251</v>
      </c>
      <c r="C5" s="428">
        <v>8.6956521739130436E-3</v>
      </c>
      <c r="D5" s="263">
        <v>0</v>
      </c>
      <c r="E5" s="263">
        <v>0</v>
      </c>
      <c r="F5" s="263">
        <v>0</v>
      </c>
      <c r="G5" s="263">
        <v>0</v>
      </c>
      <c r="H5" s="263">
        <v>0</v>
      </c>
      <c r="I5" s="263">
        <v>0</v>
      </c>
      <c r="J5" s="263">
        <v>0</v>
      </c>
      <c r="K5" s="263">
        <v>0</v>
      </c>
      <c r="L5" s="263">
        <v>0</v>
      </c>
      <c r="M5" s="263">
        <v>0</v>
      </c>
      <c r="N5" s="263">
        <v>0</v>
      </c>
      <c r="O5" s="263">
        <v>0</v>
      </c>
      <c r="P5" s="263">
        <v>0</v>
      </c>
      <c r="Q5" s="263">
        <v>0</v>
      </c>
      <c r="R5" s="263">
        <v>0</v>
      </c>
      <c r="S5" s="263">
        <v>0</v>
      </c>
      <c r="T5" s="263">
        <v>0</v>
      </c>
      <c r="U5" s="263">
        <v>0.16666666666666671</v>
      </c>
      <c r="V5" s="263">
        <v>0</v>
      </c>
      <c r="W5" s="263">
        <v>0</v>
      </c>
      <c r="X5" s="263">
        <v>0</v>
      </c>
      <c r="Y5" s="263">
        <v>0</v>
      </c>
      <c r="Z5" s="263">
        <v>0</v>
      </c>
      <c r="AA5" s="263">
        <v>0</v>
      </c>
      <c r="AB5" s="263">
        <v>0</v>
      </c>
      <c r="AC5" s="263">
        <v>0</v>
      </c>
      <c r="AD5" s="263">
        <v>0</v>
      </c>
      <c r="AE5" s="263">
        <v>0</v>
      </c>
      <c r="AF5" s="263">
        <v>0</v>
      </c>
      <c r="AG5" s="263">
        <v>0</v>
      </c>
      <c r="AH5" s="263">
        <v>0</v>
      </c>
    </row>
    <row r="6" spans="2:34">
      <c r="B6" s="429" t="s">
        <v>252</v>
      </c>
      <c r="C6" s="430">
        <v>0</v>
      </c>
      <c r="D6" s="260">
        <v>0</v>
      </c>
      <c r="E6" s="260">
        <v>0</v>
      </c>
      <c r="F6" s="260">
        <v>0</v>
      </c>
      <c r="G6" s="260">
        <v>0</v>
      </c>
      <c r="H6" s="260">
        <v>0</v>
      </c>
      <c r="I6" s="260">
        <v>0</v>
      </c>
      <c r="J6" s="260">
        <v>0</v>
      </c>
      <c r="K6" s="260">
        <v>0</v>
      </c>
      <c r="L6" s="260">
        <v>0</v>
      </c>
      <c r="M6" s="260">
        <v>0</v>
      </c>
      <c r="N6" s="260">
        <v>0</v>
      </c>
      <c r="O6" s="260">
        <v>0</v>
      </c>
      <c r="P6" s="260">
        <v>0</v>
      </c>
      <c r="Q6" s="260">
        <v>0</v>
      </c>
      <c r="R6" s="260">
        <v>0</v>
      </c>
      <c r="S6" s="260">
        <v>0</v>
      </c>
      <c r="T6" s="260">
        <v>0</v>
      </c>
      <c r="U6" s="260">
        <v>0</v>
      </c>
      <c r="V6" s="260">
        <v>0</v>
      </c>
      <c r="W6" s="260">
        <v>0</v>
      </c>
      <c r="X6" s="260">
        <v>0</v>
      </c>
      <c r="Y6" s="260">
        <v>0</v>
      </c>
      <c r="Z6" s="260">
        <v>0</v>
      </c>
      <c r="AA6" s="260">
        <v>0</v>
      </c>
      <c r="AB6" s="260">
        <v>0</v>
      </c>
      <c r="AC6" s="260">
        <v>0</v>
      </c>
      <c r="AD6" s="260">
        <v>0</v>
      </c>
      <c r="AE6" s="260">
        <v>0</v>
      </c>
      <c r="AF6" s="260">
        <v>0</v>
      </c>
      <c r="AG6" s="260">
        <v>0</v>
      </c>
      <c r="AH6" s="260">
        <v>0</v>
      </c>
    </row>
    <row r="7" spans="2:34">
      <c r="B7" s="427" t="s">
        <v>253</v>
      </c>
      <c r="C7" s="428">
        <v>6.5217391304347824E-2</v>
      </c>
      <c r="D7" s="263">
        <v>0</v>
      </c>
      <c r="E7" s="263">
        <v>0</v>
      </c>
      <c r="F7" s="263">
        <v>0</v>
      </c>
      <c r="G7" s="263">
        <v>0</v>
      </c>
      <c r="H7" s="263">
        <v>0</v>
      </c>
      <c r="I7" s="263">
        <v>0</v>
      </c>
      <c r="J7" s="263">
        <v>0</v>
      </c>
      <c r="K7" s="263">
        <v>0</v>
      </c>
      <c r="L7" s="263">
        <v>0.66666666666666663</v>
      </c>
      <c r="M7" s="263">
        <v>0</v>
      </c>
      <c r="N7" s="263">
        <v>0</v>
      </c>
      <c r="O7" s="263">
        <v>0</v>
      </c>
      <c r="P7" s="263">
        <v>0</v>
      </c>
      <c r="Q7" s="263">
        <v>0</v>
      </c>
      <c r="R7" s="263">
        <v>0.14285714285714279</v>
      </c>
      <c r="S7" s="263">
        <v>0</v>
      </c>
      <c r="T7" s="263">
        <v>0</v>
      </c>
      <c r="U7" s="263">
        <v>0</v>
      </c>
      <c r="V7" s="263">
        <v>0</v>
      </c>
      <c r="W7" s="263">
        <v>0</v>
      </c>
      <c r="X7" s="263">
        <v>0</v>
      </c>
      <c r="Y7" s="263">
        <v>0</v>
      </c>
      <c r="Z7" s="263">
        <v>0</v>
      </c>
      <c r="AA7" s="263">
        <v>0</v>
      </c>
      <c r="AB7" s="263">
        <v>0.14285714285714279</v>
      </c>
      <c r="AC7" s="263">
        <v>0</v>
      </c>
      <c r="AD7" s="263">
        <v>0.2</v>
      </c>
      <c r="AE7" s="263">
        <v>9.0909090909090912E-2</v>
      </c>
      <c r="AF7" s="263">
        <v>0</v>
      </c>
      <c r="AG7" s="263">
        <v>0</v>
      </c>
      <c r="AH7" s="263">
        <v>0</v>
      </c>
    </row>
    <row r="8" spans="2:34">
      <c r="B8" s="429" t="s">
        <v>254</v>
      </c>
      <c r="C8" s="430">
        <v>3.8288288288288293E-2</v>
      </c>
      <c r="D8" s="260">
        <v>0</v>
      </c>
      <c r="E8" s="260">
        <v>0</v>
      </c>
      <c r="F8" s="260">
        <v>0</v>
      </c>
      <c r="G8" s="260">
        <v>0</v>
      </c>
      <c r="H8" s="260">
        <v>0</v>
      </c>
      <c r="I8" s="260">
        <v>0</v>
      </c>
      <c r="J8" s="260">
        <v>0</v>
      </c>
      <c r="K8" s="260">
        <v>0</v>
      </c>
      <c r="L8" s="260">
        <v>0</v>
      </c>
      <c r="M8" s="260">
        <v>0</v>
      </c>
      <c r="N8" s="260">
        <v>0</v>
      </c>
      <c r="O8" s="260">
        <v>0</v>
      </c>
      <c r="P8" s="260">
        <v>0</v>
      </c>
      <c r="Q8" s="260">
        <v>0</v>
      </c>
      <c r="R8" s="260">
        <v>3.7037037037037028E-2</v>
      </c>
      <c r="S8" s="260">
        <v>2.777777777777778E-2</v>
      </c>
      <c r="T8" s="260">
        <v>0</v>
      </c>
      <c r="U8" s="260">
        <v>2.777777777777778E-2</v>
      </c>
      <c r="V8" s="260">
        <v>0</v>
      </c>
      <c r="W8" s="260">
        <v>0</v>
      </c>
      <c r="X8" s="260">
        <v>0</v>
      </c>
      <c r="Y8" s="260">
        <v>7.4999999999999997E-2</v>
      </c>
      <c r="Z8" s="260">
        <v>0.14285714285714279</v>
      </c>
      <c r="AA8" s="260">
        <v>0.17391304347826089</v>
      </c>
      <c r="AB8" s="260">
        <v>8.3333333333333329E-2</v>
      </c>
      <c r="AC8" s="260">
        <v>0.1</v>
      </c>
      <c r="AD8" s="260">
        <v>0</v>
      </c>
      <c r="AE8" s="260">
        <v>0</v>
      </c>
      <c r="AF8" s="260">
        <v>0</v>
      </c>
      <c r="AG8" s="260">
        <v>0</v>
      </c>
      <c r="AH8" s="260">
        <v>0</v>
      </c>
    </row>
    <row r="9" spans="2:34">
      <c r="B9" s="427" t="s">
        <v>255</v>
      </c>
      <c r="C9" s="428">
        <v>8.4566596194503175E-3</v>
      </c>
      <c r="D9" s="263">
        <v>0</v>
      </c>
      <c r="E9" s="263">
        <v>0</v>
      </c>
      <c r="F9" s="263">
        <v>0</v>
      </c>
      <c r="G9" s="263">
        <v>0</v>
      </c>
      <c r="H9" s="263">
        <v>0</v>
      </c>
      <c r="I9" s="263">
        <v>0</v>
      </c>
      <c r="J9" s="263">
        <v>0</v>
      </c>
      <c r="K9" s="263">
        <v>0</v>
      </c>
      <c r="L9" s="263">
        <v>0.2</v>
      </c>
      <c r="M9" s="263">
        <v>0</v>
      </c>
      <c r="N9" s="263">
        <v>0</v>
      </c>
      <c r="O9" s="263">
        <v>0</v>
      </c>
      <c r="P9" s="263">
        <v>0</v>
      </c>
      <c r="Q9" s="263">
        <v>5.5555555555555552E-2</v>
      </c>
      <c r="R9" s="263">
        <v>0</v>
      </c>
      <c r="S9" s="263">
        <v>0</v>
      </c>
      <c r="T9" s="263">
        <v>4.1666666666666657E-2</v>
      </c>
      <c r="U9" s="263">
        <v>0</v>
      </c>
      <c r="V9" s="263">
        <v>0</v>
      </c>
      <c r="W9" s="263">
        <v>0</v>
      </c>
      <c r="X9" s="263">
        <v>0.04</v>
      </c>
      <c r="Y9" s="263">
        <v>0</v>
      </c>
      <c r="Z9" s="263">
        <v>0</v>
      </c>
      <c r="AA9" s="263">
        <v>0</v>
      </c>
      <c r="AB9" s="263">
        <v>0</v>
      </c>
      <c r="AC9" s="263">
        <v>0</v>
      </c>
      <c r="AD9" s="263">
        <v>0</v>
      </c>
      <c r="AE9" s="263">
        <v>0</v>
      </c>
      <c r="AF9" s="263">
        <v>0</v>
      </c>
      <c r="AG9" s="263">
        <v>0</v>
      </c>
      <c r="AH9" s="263">
        <v>0</v>
      </c>
    </row>
    <row r="10" spans="2:34">
      <c r="B10" s="429" t="s">
        <v>256</v>
      </c>
      <c r="C10" s="430">
        <v>1.9230769230769228E-2</v>
      </c>
      <c r="D10" s="260">
        <v>0</v>
      </c>
      <c r="E10" s="260">
        <v>0</v>
      </c>
      <c r="F10" s="260">
        <v>0</v>
      </c>
      <c r="G10" s="260">
        <v>0</v>
      </c>
      <c r="H10" s="260">
        <v>0</v>
      </c>
      <c r="I10" s="260">
        <v>0</v>
      </c>
      <c r="J10" s="260">
        <v>0</v>
      </c>
      <c r="K10" s="260">
        <v>1</v>
      </c>
      <c r="L10" s="260">
        <v>0</v>
      </c>
      <c r="M10" s="260">
        <v>0</v>
      </c>
      <c r="N10" s="260">
        <v>0.25</v>
      </c>
      <c r="O10" s="260">
        <v>0</v>
      </c>
      <c r="P10" s="260">
        <v>0.25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Z10" s="260">
        <v>0</v>
      </c>
      <c r="AA10" s="260">
        <v>0</v>
      </c>
      <c r="AB10" s="260">
        <v>0</v>
      </c>
      <c r="AC10" s="260">
        <v>0</v>
      </c>
      <c r="AD10" s="260">
        <v>0</v>
      </c>
      <c r="AE10" s="260">
        <v>8.3333333333333329E-2</v>
      </c>
      <c r="AF10" s="260">
        <v>0</v>
      </c>
      <c r="AG10" s="260">
        <v>0</v>
      </c>
      <c r="AH10" s="260">
        <v>0</v>
      </c>
    </row>
    <row r="11" spans="2:34">
      <c r="B11" s="427" t="s">
        <v>257</v>
      </c>
      <c r="C11" s="428">
        <v>4.5112781954887222E-2</v>
      </c>
      <c r="D11" s="263">
        <v>0</v>
      </c>
      <c r="E11" s="263">
        <v>0</v>
      </c>
      <c r="F11" s="263">
        <v>0</v>
      </c>
      <c r="G11" s="263">
        <v>0</v>
      </c>
      <c r="H11" s="263">
        <v>0</v>
      </c>
      <c r="I11" s="263">
        <v>0</v>
      </c>
      <c r="J11" s="263">
        <v>0.5</v>
      </c>
      <c r="K11" s="263">
        <v>0</v>
      </c>
      <c r="L11" s="263">
        <v>0</v>
      </c>
      <c r="M11" s="263">
        <v>0</v>
      </c>
      <c r="N11" s="263">
        <v>0</v>
      </c>
      <c r="O11" s="263">
        <v>0</v>
      </c>
      <c r="P11" s="263">
        <v>0</v>
      </c>
      <c r="Q11" s="263">
        <v>0</v>
      </c>
      <c r="R11" s="263">
        <v>0.1111111111111111</v>
      </c>
      <c r="S11" s="263">
        <v>0</v>
      </c>
      <c r="T11" s="263">
        <v>0</v>
      </c>
      <c r="U11" s="263">
        <v>0.25</v>
      </c>
      <c r="V11" s="263">
        <v>0</v>
      </c>
      <c r="W11" s="263">
        <v>0</v>
      </c>
      <c r="X11" s="263">
        <v>0</v>
      </c>
      <c r="Y11" s="263">
        <v>0</v>
      </c>
      <c r="Z11" s="263">
        <v>0</v>
      </c>
      <c r="AA11" s="263">
        <v>0</v>
      </c>
      <c r="AB11" s="263">
        <v>0</v>
      </c>
      <c r="AC11" s="263">
        <v>0.25</v>
      </c>
      <c r="AD11" s="263">
        <v>0</v>
      </c>
      <c r="AE11" s="263">
        <v>0</v>
      </c>
      <c r="AF11" s="263">
        <v>0</v>
      </c>
      <c r="AG11" s="263">
        <v>0</v>
      </c>
      <c r="AH11" s="263">
        <v>0.25</v>
      </c>
    </row>
    <row r="12" spans="2:34">
      <c r="B12" s="429" t="s">
        <v>258</v>
      </c>
      <c r="C12" s="430">
        <v>3.448275862068965E-3</v>
      </c>
      <c r="D12" s="260">
        <v>0</v>
      </c>
      <c r="E12" s="260">
        <v>0</v>
      </c>
      <c r="F12" s="260">
        <v>0</v>
      </c>
      <c r="G12" s="260">
        <v>0</v>
      </c>
      <c r="H12" s="260">
        <v>0</v>
      </c>
      <c r="I12" s="260">
        <v>0.33333333333333331</v>
      </c>
      <c r="J12" s="260">
        <v>0</v>
      </c>
      <c r="K12" s="260">
        <v>0</v>
      </c>
      <c r="L12" s="260">
        <v>0</v>
      </c>
      <c r="M12" s="260">
        <v>0</v>
      </c>
      <c r="N12" s="260">
        <v>0</v>
      </c>
      <c r="O12" s="260">
        <v>0</v>
      </c>
      <c r="P12" s="260">
        <v>0</v>
      </c>
      <c r="Q12" s="260">
        <v>0</v>
      </c>
      <c r="R12" s="260">
        <v>0</v>
      </c>
      <c r="S12" s="260">
        <v>0</v>
      </c>
      <c r="T12" s="260">
        <v>0</v>
      </c>
      <c r="U12" s="260">
        <v>0</v>
      </c>
      <c r="V12" s="260">
        <v>0</v>
      </c>
      <c r="W12" s="260">
        <v>0</v>
      </c>
      <c r="X12" s="260">
        <v>0</v>
      </c>
      <c r="Y12" s="260">
        <v>0</v>
      </c>
      <c r="Z12" s="260">
        <v>0</v>
      </c>
      <c r="AA12" s="260">
        <v>0</v>
      </c>
      <c r="AB12" s="260">
        <v>0</v>
      </c>
      <c r="AC12" s="260">
        <v>0</v>
      </c>
      <c r="AD12" s="260">
        <v>0</v>
      </c>
      <c r="AE12" s="260">
        <v>0</v>
      </c>
      <c r="AF12" s="260">
        <v>0</v>
      </c>
      <c r="AG12" s="260">
        <v>0</v>
      </c>
      <c r="AH12" s="260">
        <v>0</v>
      </c>
    </row>
    <row r="13" spans="2:34">
      <c r="B13" s="427" t="s">
        <v>261</v>
      </c>
      <c r="C13" s="428">
        <v>2.6109660574412529E-3</v>
      </c>
      <c r="D13" s="263">
        <v>0</v>
      </c>
      <c r="E13" s="263">
        <v>0</v>
      </c>
      <c r="F13" s="263">
        <v>0</v>
      </c>
      <c r="G13" s="263">
        <v>0</v>
      </c>
      <c r="H13" s="263">
        <v>0</v>
      </c>
      <c r="I13" s="263">
        <v>0</v>
      </c>
      <c r="J13" s="263">
        <v>0</v>
      </c>
      <c r="K13" s="263">
        <v>0</v>
      </c>
      <c r="L13" s="263">
        <v>0</v>
      </c>
      <c r="M13" s="263">
        <v>0</v>
      </c>
      <c r="N13" s="263">
        <v>0</v>
      </c>
      <c r="O13" s="263">
        <v>0</v>
      </c>
      <c r="P13" s="263">
        <v>0</v>
      </c>
      <c r="Q13" s="263">
        <v>0</v>
      </c>
      <c r="R13" s="263">
        <v>0</v>
      </c>
      <c r="S13" s="263">
        <v>0</v>
      </c>
      <c r="T13" s="263">
        <v>0</v>
      </c>
      <c r="U13" s="263">
        <v>0</v>
      </c>
      <c r="V13" s="263">
        <v>0</v>
      </c>
      <c r="W13" s="263">
        <v>0</v>
      </c>
      <c r="X13" s="263">
        <v>0</v>
      </c>
      <c r="Y13" s="263">
        <v>0</v>
      </c>
      <c r="Z13" s="263">
        <v>0</v>
      </c>
      <c r="AA13" s="263">
        <v>0</v>
      </c>
      <c r="AB13" s="263">
        <v>0</v>
      </c>
      <c r="AC13" s="263">
        <v>0</v>
      </c>
      <c r="AD13" s="263">
        <v>0</v>
      </c>
      <c r="AE13" s="263">
        <v>0</v>
      </c>
      <c r="AF13" s="263">
        <v>0</v>
      </c>
      <c r="AG13" s="263">
        <v>3.3333333333333333E-2</v>
      </c>
      <c r="AH13" s="263">
        <v>0</v>
      </c>
    </row>
    <row r="14" spans="2:34">
      <c r="B14" s="429" t="s">
        <v>265</v>
      </c>
      <c r="C14" s="430">
        <v>3.825136612021858E-2</v>
      </c>
      <c r="D14" s="260">
        <v>0</v>
      </c>
      <c r="E14" s="260">
        <v>0</v>
      </c>
      <c r="F14" s="260">
        <v>0</v>
      </c>
      <c r="G14" s="260">
        <v>0</v>
      </c>
      <c r="H14" s="260">
        <v>0</v>
      </c>
      <c r="I14" s="260">
        <v>0</v>
      </c>
      <c r="J14" s="260">
        <v>0</v>
      </c>
      <c r="K14" s="260">
        <v>0</v>
      </c>
      <c r="L14" s="260">
        <v>0</v>
      </c>
      <c r="M14" s="260">
        <v>0</v>
      </c>
      <c r="N14" s="260">
        <v>0</v>
      </c>
      <c r="O14" s="260">
        <v>0</v>
      </c>
      <c r="P14" s="260">
        <v>0</v>
      </c>
      <c r="Q14" s="260">
        <v>0</v>
      </c>
      <c r="R14" s="260">
        <v>0</v>
      </c>
      <c r="S14" s="260">
        <v>0</v>
      </c>
      <c r="T14" s="260">
        <v>0</v>
      </c>
      <c r="U14" s="260">
        <v>0</v>
      </c>
      <c r="V14" s="260">
        <v>0</v>
      </c>
      <c r="W14" s="260">
        <v>0</v>
      </c>
      <c r="X14" s="260">
        <v>0</v>
      </c>
      <c r="Y14" s="260">
        <v>0.25</v>
      </c>
      <c r="Z14" s="260">
        <v>0</v>
      </c>
      <c r="AA14" s="260">
        <v>0.2</v>
      </c>
      <c r="AB14" s="260">
        <v>0</v>
      </c>
      <c r="AC14" s="260">
        <v>0</v>
      </c>
      <c r="AD14" s="260">
        <v>0.1111111111111111</v>
      </c>
      <c r="AE14" s="260">
        <v>0</v>
      </c>
      <c r="AF14" s="260">
        <v>5.8823529411764712E-2</v>
      </c>
      <c r="AG14" s="260">
        <v>0</v>
      </c>
      <c r="AH14" s="260">
        <v>0.125</v>
      </c>
    </row>
    <row r="15" spans="2:34">
      <c r="B15" s="427" t="s">
        <v>266</v>
      </c>
      <c r="C15" s="428">
        <v>1.4598540145985399E-2</v>
      </c>
      <c r="D15" s="263">
        <v>0</v>
      </c>
      <c r="E15" s="263">
        <v>0</v>
      </c>
      <c r="F15" s="263">
        <v>0</v>
      </c>
      <c r="G15" s="263">
        <v>0</v>
      </c>
      <c r="H15" s="263">
        <v>0</v>
      </c>
      <c r="I15" s="263">
        <v>0</v>
      </c>
      <c r="J15" s="263">
        <v>0</v>
      </c>
      <c r="K15" s="263">
        <v>0</v>
      </c>
      <c r="L15" s="263">
        <v>0</v>
      </c>
      <c r="M15" s="263">
        <v>0</v>
      </c>
      <c r="N15" s="263">
        <v>0</v>
      </c>
      <c r="O15" s="263">
        <v>0</v>
      </c>
      <c r="P15" s="263">
        <v>0</v>
      </c>
      <c r="Q15" s="263">
        <v>0</v>
      </c>
      <c r="R15" s="263">
        <v>0</v>
      </c>
      <c r="S15" s="263">
        <v>0</v>
      </c>
      <c r="T15" s="263">
        <v>0</v>
      </c>
      <c r="U15" s="263">
        <v>0</v>
      </c>
      <c r="V15" s="263">
        <v>0</v>
      </c>
      <c r="W15" s="263">
        <v>0</v>
      </c>
      <c r="X15" s="263">
        <v>0</v>
      </c>
      <c r="Y15" s="263">
        <v>0.125</v>
      </c>
      <c r="Z15" s="263">
        <v>0</v>
      </c>
      <c r="AA15" s="263">
        <v>7.1428571428571425E-2</v>
      </c>
      <c r="AB15" s="263">
        <v>0</v>
      </c>
      <c r="AC15" s="263">
        <v>0</v>
      </c>
      <c r="AD15" s="263">
        <v>0</v>
      </c>
      <c r="AE15" s="263">
        <v>0</v>
      </c>
      <c r="AF15" s="263">
        <v>0</v>
      </c>
      <c r="AG15" s="263">
        <v>0</v>
      </c>
      <c r="AH15" s="263">
        <v>0</v>
      </c>
    </row>
    <row r="16" spans="2:34">
      <c r="B16" s="429" t="s">
        <v>268</v>
      </c>
      <c r="C16" s="430">
        <v>0</v>
      </c>
      <c r="D16" s="260">
        <v>0</v>
      </c>
      <c r="E16" s="260">
        <v>0</v>
      </c>
      <c r="F16" s="260">
        <v>0</v>
      </c>
      <c r="G16" s="260">
        <v>0</v>
      </c>
      <c r="H16" s="260">
        <v>0</v>
      </c>
      <c r="I16" s="260">
        <v>0</v>
      </c>
      <c r="J16" s="260">
        <v>0</v>
      </c>
      <c r="K16" s="260">
        <v>0</v>
      </c>
      <c r="L16" s="260">
        <v>0</v>
      </c>
      <c r="M16" s="260">
        <v>0</v>
      </c>
      <c r="N16" s="260">
        <v>0</v>
      </c>
      <c r="O16" s="260">
        <v>0</v>
      </c>
      <c r="P16" s="260">
        <v>0</v>
      </c>
      <c r="Q16" s="260">
        <v>0</v>
      </c>
      <c r="R16" s="260">
        <v>0</v>
      </c>
      <c r="S16" s="260">
        <v>0</v>
      </c>
      <c r="T16" s="260">
        <v>0</v>
      </c>
      <c r="U16" s="260">
        <v>0</v>
      </c>
      <c r="V16" s="260">
        <v>0</v>
      </c>
      <c r="W16" s="260">
        <v>0</v>
      </c>
      <c r="X16" s="260">
        <v>0</v>
      </c>
      <c r="Y16" s="260">
        <v>0</v>
      </c>
      <c r="Z16" s="260">
        <v>0</v>
      </c>
      <c r="AA16" s="260">
        <v>0</v>
      </c>
      <c r="AB16" s="260">
        <v>0</v>
      </c>
      <c r="AC16" s="260">
        <v>0</v>
      </c>
      <c r="AD16" s="260">
        <v>0</v>
      </c>
      <c r="AE16" s="260">
        <v>0</v>
      </c>
      <c r="AF16" s="260">
        <v>0</v>
      </c>
      <c r="AG16" s="260">
        <v>0</v>
      </c>
      <c r="AH16" s="260">
        <v>0</v>
      </c>
    </row>
    <row r="17" spans="2:34">
      <c r="B17" s="427" t="s">
        <v>269</v>
      </c>
      <c r="C17" s="428">
        <v>2.1428571428571429E-2</v>
      </c>
      <c r="D17" s="263">
        <v>0</v>
      </c>
      <c r="E17" s="263">
        <v>0</v>
      </c>
      <c r="F17" s="263">
        <v>0</v>
      </c>
      <c r="G17" s="263">
        <v>0</v>
      </c>
      <c r="H17" s="263">
        <v>0</v>
      </c>
      <c r="I17" s="263">
        <v>0</v>
      </c>
      <c r="J17" s="263">
        <v>0</v>
      </c>
      <c r="K17" s="263">
        <v>0</v>
      </c>
      <c r="L17" s="263">
        <v>0</v>
      </c>
      <c r="M17" s="263">
        <v>0.5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X17" s="263">
        <v>0</v>
      </c>
      <c r="Y17" s="263">
        <v>6.6666666666666666E-2</v>
      </c>
      <c r="Z17" s="263">
        <v>6.25E-2</v>
      </c>
      <c r="AA17" s="263">
        <v>6.25E-2</v>
      </c>
      <c r="AB17" s="263">
        <v>0</v>
      </c>
      <c r="AC17" s="263">
        <v>0</v>
      </c>
      <c r="AD17" s="263">
        <v>0</v>
      </c>
      <c r="AE17" s="263">
        <v>4.7619047619047623E-2</v>
      </c>
      <c r="AF17" s="263">
        <v>0</v>
      </c>
      <c r="AG17" s="263">
        <v>4.5454545454545463E-2</v>
      </c>
      <c r="AH17" s="263">
        <v>0</v>
      </c>
    </row>
    <row r="18" spans="2:34">
      <c r="B18" s="429" t="s">
        <v>270</v>
      </c>
      <c r="C18" s="430">
        <v>8.5287846481876331E-3</v>
      </c>
      <c r="D18" s="260">
        <v>0</v>
      </c>
      <c r="E18" s="260">
        <v>0</v>
      </c>
      <c r="F18" s="260">
        <v>0</v>
      </c>
      <c r="G18" s="260">
        <v>0</v>
      </c>
      <c r="H18" s="260">
        <v>0</v>
      </c>
      <c r="I18" s="260">
        <v>0</v>
      </c>
      <c r="J18" s="260">
        <v>0</v>
      </c>
      <c r="K18" s="260">
        <v>0</v>
      </c>
      <c r="L18" s="260">
        <v>0</v>
      </c>
      <c r="M18" s="260">
        <v>0</v>
      </c>
      <c r="N18" s="260">
        <v>0</v>
      </c>
      <c r="O18" s="260">
        <v>0</v>
      </c>
      <c r="P18" s="260">
        <v>0</v>
      </c>
      <c r="Q18" s="260">
        <v>0</v>
      </c>
      <c r="R18" s="260">
        <v>0</v>
      </c>
      <c r="S18" s="260">
        <v>0</v>
      </c>
      <c r="T18" s="260">
        <v>0</v>
      </c>
      <c r="U18" s="260">
        <v>0</v>
      </c>
      <c r="V18" s="260">
        <v>0</v>
      </c>
      <c r="W18" s="260">
        <v>0</v>
      </c>
      <c r="X18" s="260">
        <v>0</v>
      </c>
      <c r="Y18" s="260">
        <v>2.4390243902439029E-2</v>
      </c>
      <c r="Z18" s="260">
        <v>0</v>
      </c>
      <c r="AA18" s="260">
        <v>2.222222222222222E-2</v>
      </c>
      <c r="AB18" s="260">
        <v>0</v>
      </c>
      <c r="AC18" s="260">
        <v>0</v>
      </c>
      <c r="AD18" s="260">
        <v>0</v>
      </c>
      <c r="AE18" s="260">
        <v>0</v>
      </c>
      <c r="AF18" s="260">
        <v>0</v>
      </c>
      <c r="AG18" s="260">
        <v>0</v>
      </c>
      <c r="AH18" s="260">
        <v>7.6923076923076927E-2</v>
      </c>
    </row>
    <row r="19" spans="2:34">
      <c r="B19" s="427" t="s">
        <v>272</v>
      </c>
      <c r="C19" s="428">
        <v>1.79372197309417E-2</v>
      </c>
      <c r="D19" s="263">
        <v>0</v>
      </c>
      <c r="E19" s="263">
        <v>0</v>
      </c>
      <c r="F19" s="263">
        <v>0</v>
      </c>
      <c r="G19" s="263">
        <v>0</v>
      </c>
      <c r="H19" s="263">
        <v>0</v>
      </c>
      <c r="I19" s="263">
        <v>0</v>
      </c>
      <c r="J19" s="263">
        <v>0</v>
      </c>
      <c r="K19" s="263">
        <v>0.33333333333333331</v>
      </c>
      <c r="L19" s="263">
        <v>0</v>
      </c>
      <c r="M19" s="263">
        <v>0.33333333333333331</v>
      </c>
      <c r="N19" s="263">
        <v>0.66666666666666663</v>
      </c>
      <c r="O19" s="263">
        <v>0</v>
      </c>
      <c r="P19" s="263">
        <v>0</v>
      </c>
      <c r="Q19" s="263">
        <v>0</v>
      </c>
      <c r="R19" s="263">
        <v>0</v>
      </c>
      <c r="S19" s="263">
        <v>0</v>
      </c>
      <c r="T19" s="263">
        <v>0</v>
      </c>
      <c r="U19" s="263">
        <v>0</v>
      </c>
      <c r="V19" s="263">
        <v>0</v>
      </c>
      <c r="W19" s="263">
        <v>0</v>
      </c>
      <c r="X19" s="263">
        <v>0</v>
      </c>
      <c r="Y19" s="263">
        <v>0</v>
      </c>
      <c r="Z19" s="263">
        <v>0</v>
      </c>
      <c r="AA19" s="263">
        <v>0</v>
      </c>
      <c r="AB19" s="263">
        <v>0</v>
      </c>
      <c r="AC19" s="263">
        <v>0</v>
      </c>
      <c r="AD19" s="263">
        <v>0</v>
      </c>
      <c r="AE19" s="263">
        <v>0</v>
      </c>
      <c r="AF19" s="263">
        <v>0</v>
      </c>
      <c r="AG19" s="263">
        <v>0</v>
      </c>
      <c r="AH19" s="263">
        <v>0</v>
      </c>
    </row>
    <row r="20" spans="2:34">
      <c r="B20" s="429" t="s">
        <v>273</v>
      </c>
      <c r="C20" s="430">
        <v>0</v>
      </c>
      <c r="D20" s="260">
        <v>0</v>
      </c>
      <c r="E20" s="260">
        <v>0</v>
      </c>
      <c r="F20" s="260">
        <v>0</v>
      </c>
      <c r="G20" s="260">
        <v>0</v>
      </c>
      <c r="H20" s="260">
        <v>0</v>
      </c>
      <c r="I20" s="260">
        <v>0</v>
      </c>
      <c r="J20" s="260">
        <v>0</v>
      </c>
      <c r="K20" s="260">
        <v>0</v>
      </c>
      <c r="L20" s="260">
        <v>0</v>
      </c>
      <c r="M20" s="260">
        <v>0</v>
      </c>
      <c r="N20" s="260">
        <v>0</v>
      </c>
      <c r="O20" s="260">
        <v>0</v>
      </c>
      <c r="P20" s="260">
        <v>0</v>
      </c>
      <c r="Q20" s="260">
        <v>0</v>
      </c>
      <c r="R20" s="260">
        <v>0</v>
      </c>
      <c r="S20" s="260">
        <v>0</v>
      </c>
      <c r="T20" s="260">
        <v>0</v>
      </c>
      <c r="U20" s="260">
        <v>0</v>
      </c>
      <c r="V20" s="260">
        <v>0</v>
      </c>
      <c r="W20" s="260">
        <v>0</v>
      </c>
      <c r="X20" s="260">
        <v>0</v>
      </c>
      <c r="Y20" s="260">
        <v>0</v>
      </c>
      <c r="Z20" s="260">
        <v>0</v>
      </c>
      <c r="AA20" s="260">
        <v>0</v>
      </c>
      <c r="AB20" s="260">
        <v>0</v>
      </c>
      <c r="AC20" s="260">
        <v>0</v>
      </c>
      <c r="AD20" s="260">
        <v>0</v>
      </c>
      <c r="AE20" s="260">
        <v>0</v>
      </c>
      <c r="AF20" s="260">
        <v>0</v>
      </c>
      <c r="AG20" s="260">
        <v>0</v>
      </c>
      <c r="AH20" s="260">
        <v>0</v>
      </c>
    </row>
    <row r="21" spans="2:34">
      <c r="B21" s="427" t="s">
        <v>274</v>
      </c>
      <c r="C21" s="428">
        <v>6.2500000000000003E-3</v>
      </c>
      <c r="D21" s="263">
        <v>0</v>
      </c>
      <c r="E21" s="263">
        <v>0</v>
      </c>
      <c r="F21" s="263">
        <v>0</v>
      </c>
      <c r="G21" s="263">
        <v>0</v>
      </c>
      <c r="H21" s="263">
        <v>0</v>
      </c>
      <c r="I21" s="263">
        <v>0</v>
      </c>
      <c r="J21" s="263">
        <v>0</v>
      </c>
      <c r="K21" s="263">
        <v>0</v>
      </c>
      <c r="L21" s="263">
        <v>0</v>
      </c>
      <c r="M21" s="263">
        <v>0</v>
      </c>
      <c r="N21" s="263">
        <v>0</v>
      </c>
      <c r="O21" s="263">
        <v>0</v>
      </c>
      <c r="P21" s="263">
        <v>0</v>
      </c>
      <c r="Q21" s="263">
        <v>0</v>
      </c>
      <c r="R21" s="263">
        <v>0</v>
      </c>
      <c r="S21" s="263">
        <v>0</v>
      </c>
      <c r="T21" s="263">
        <v>0.2</v>
      </c>
      <c r="U21" s="263">
        <v>0</v>
      </c>
      <c r="V21" s="263">
        <v>0</v>
      </c>
      <c r="W21" s="263">
        <v>0</v>
      </c>
      <c r="X21" s="263">
        <v>0</v>
      </c>
      <c r="Y21" s="263">
        <v>0</v>
      </c>
      <c r="Z21" s="263">
        <v>0</v>
      </c>
      <c r="AA21" s="263">
        <v>0</v>
      </c>
      <c r="AB21" s="263">
        <v>0</v>
      </c>
      <c r="AC21" s="263">
        <v>0</v>
      </c>
      <c r="AD21" s="263">
        <v>0</v>
      </c>
      <c r="AE21" s="263">
        <v>0</v>
      </c>
      <c r="AF21" s="263">
        <v>0</v>
      </c>
      <c r="AG21" s="263">
        <v>0</v>
      </c>
      <c r="AH21" s="263">
        <v>0</v>
      </c>
    </row>
    <row r="22" spans="2:34">
      <c r="B22" s="429" t="s">
        <v>276</v>
      </c>
      <c r="C22" s="430">
        <v>5.5555555555555558E-3</v>
      </c>
      <c r="D22" s="260">
        <v>0</v>
      </c>
      <c r="E22" s="260">
        <v>0</v>
      </c>
      <c r="F22" s="260">
        <v>0</v>
      </c>
      <c r="G22" s="260">
        <v>0</v>
      </c>
      <c r="H22" s="260">
        <v>0</v>
      </c>
      <c r="I22" s="260">
        <v>0</v>
      </c>
      <c r="J22" s="260">
        <v>0</v>
      </c>
      <c r="K22" s="260">
        <v>0.25</v>
      </c>
      <c r="L22" s="260">
        <v>0</v>
      </c>
      <c r="M22" s="260">
        <v>0</v>
      </c>
      <c r="N22" s="260">
        <v>0</v>
      </c>
      <c r="O22" s="260">
        <v>0</v>
      </c>
      <c r="P22" s="260">
        <v>0</v>
      </c>
      <c r="Q22" s="260">
        <v>0</v>
      </c>
      <c r="R22" s="260">
        <v>0.1333333333333333</v>
      </c>
      <c r="S22" s="260">
        <v>0</v>
      </c>
      <c r="T22" s="260">
        <v>0</v>
      </c>
      <c r="U22" s="260">
        <v>0</v>
      </c>
      <c r="V22" s="260">
        <v>0</v>
      </c>
      <c r="W22" s="260">
        <v>0</v>
      </c>
      <c r="X22" s="260">
        <v>0</v>
      </c>
      <c r="Y22" s="260">
        <v>0</v>
      </c>
      <c r="Z22" s="260">
        <v>0</v>
      </c>
      <c r="AA22" s="260">
        <v>0</v>
      </c>
      <c r="AB22" s="260">
        <v>0</v>
      </c>
      <c r="AC22" s="260">
        <v>0</v>
      </c>
      <c r="AD22" s="260">
        <v>0</v>
      </c>
      <c r="AE22" s="260">
        <v>0</v>
      </c>
      <c r="AF22" s="260">
        <v>0</v>
      </c>
      <c r="AG22" s="260">
        <v>0</v>
      </c>
      <c r="AH22" s="260">
        <v>0</v>
      </c>
    </row>
    <row r="23" spans="2:34">
      <c r="B23" s="427" t="s">
        <v>277</v>
      </c>
      <c r="C23" s="428">
        <v>4.1198501872659173E-2</v>
      </c>
      <c r="D23" s="263">
        <v>0</v>
      </c>
      <c r="E23" s="263">
        <v>0</v>
      </c>
      <c r="F23" s="263">
        <v>0</v>
      </c>
      <c r="G23" s="263">
        <v>0</v>
      </c>
      <c r="H23" s="263">
        <v>0</v>
      </c>
      <c r="I23" s="263">
        <v>0</v>
      </c>
      <c r="J23" s="263">
        <v>0</v>
      </c>
      <c r="K23" s="263">
        <v>0</v>
      </c>
      <c r="L23" s="263">
        <v>0</v>
      </c>
      <c r="M23" s="263">
        <v>0</v>
      </c>
      <c r="N23" s="263">
        <v>0</v>
      </c>
      <c r="O23" s="263">
        <v>0.25</v>
      </c>
      <c r="P23" s="263">
        <v>0</v>
      </c>
      <c r="Q23" s="263">
        <v>0</v>
      </c>
      <c r="R23" s="263">
        <v>0.125</v>
      </c>
      <c r="S23" s="263">
        <v>0.1111111111111111</v>
      </c>
      <c r="T23" s="263">
        <v>0.1</v>
      </c>
      <c r="U23" s="263">
        <v>0</v>
      </c>
      <c r="V23" s="263">
        <v>0</v>
      </c>
      <c r="W23" s="263">
        <v>8.3333333333333329E-2</v>
      </c>
      <c r="X23" s="263">
        <v>0</v>
      </c>
      <c r="Y23" s="263">
        <v>0</v>
      </c>
      <c r="Z23" s="263">
        <v>6.6666666666666666E-2</v>
      </c>
      <c r="AA23" s="263">
        <v>6.25E-2</v>
      </c>
      <c r="AB23" s="263">
        <v>0.125</v>
      </c>
      <c r="AC23" s="263">
        <v>6.6666666666666666E-2</v>
      </c>
      <c r="AD23" s="263">
        <v>0</v>
      </c>
      <c r="AE23" s="263">
        <v>0</v>
      </c>
      <c r="AF23" s="263">
        <v>0</v>
      </c>
      <c r="AG23" s="263">
        <v>0</v>
      </c>
      <c r="AH23" s="263">
        <v>0.1</v>
      </c>
    </row>
    <row r="24" spans="2:34">
      <c r="B24" s="429" t="s">
        <v>279</v>
      </c>
      <c r="C24" s="430">
        <v>4.2553191489361703E-3</v>
      </c>
      <c r="D24" s="260">
        <v>0</v>
      </c>
      <c r="E24" s="260">
        <v>0</v>
      </c>
      <c r="F24" s="260">
        <v>0</v>
      </c>
      <c r="G24" s="260">
        <v>0</v>
      </c>
      <c r="H24" s="260">
        <v>0</v>
      </c>
      <c r="I24" s="260">
        <v>0</v>
      </c>
      <c r="J24" s="260">
        <v>0</v>
      </c>
      <c r="K24" s="260">
        <v>0</v>
      </c>
      <c r="L24" s="260">
        <v>0</v>
      </c>
      <c r="M24" s="260">
        <v>0</v>
      </c>
      <c r="N24" s="260">
        <v>0</v>
      </c>
      <c r="O24" s="260">
        <v>0</v>
      </c>
      <c r="P24" s="260">
        <v>0</v>
      </c>
      <c r="Q24" s="260">
        <v>0</v>
      </c>
      <c r="R24" s="260">
        <v>0</v>
      </c>
      <c r="S24" s="260">
        <v>0</v>
      </c>
      <c r="T24" s="260">
        <v>0</v>
      </c>
      <c r="U24" s="260">
        <v>0</v>
      </c>
      <c r="V24" s="260">
        <v>0</v>
      </c>
      <c r="W24" s="260">
        <v>0</v>
      </c>
      <c r="X24" s="260">
        <v>0</v>
      </c>
      <c r="Y24" s="260">
        <v>3.8461538461538457E-2</v>
      </c>
      <c r="Z24" s="260">
        <v>0</v>
      </c>
      <c r="AA24" s="260">
        <v>0</v>
      </c>
      <c r="AB24" s="260">
        <v>0</v>
      </c>
      <c r="AC24" s="260">
        <v>0</v>
      </c>
      <c r="AD24" s="260">
        <v>0</v>
      </c>
      <c r="AE24" s="260">
        <v>0</v>
      </c>
      <c r="AF24" s="260">
        <v>0</v>
      </c>
      <c r="AG24" s="260">
        <v>0</v>
      </c>
      <c r="AH24" s="260">
        <v>0</v>
      </c>
    </row>
    <row r="25" spans="2:34">
      <c r="B25" s="427" t="s">
        <v>280</v>
      </c>
      <c r="C25" s="428">
        <v>4.3859649122807024E-3</v>
      </c>
      <c r="D25" s="263">
        <v>0</v>
      </c>
      <c r="E25" s="263">
        <v>0</v>
      </c>
      <c r="F25" s="263">
        <v>0</v>
      </c>
      <c r="G25" s="263">
        <v>0</v>
      </c>
      <c r="H25" s="263">
        <v>0</v>
      </c>
      <c r="I25" s="263">
        <v>0</v>
      </c>
      <c r="J25" s="263">
        <v>0</v>
      </c>
      <c r="K25" s="263">
        <v>0</v>
      </c>
      <c r="L25" s="263">
        <v>0</v>
      </c>
      <c r="M25" s="263">
        <v>0</v>
      </c>
      <c r="N25" s="263">
        <v>0</v>
      </c>
      <c r="O25" s="263">
        <v>0</v>
      </c>
      <c r="P25" s="263">
        <v>0</v>
      </c>
      <c r="Q25" s="263">
        <v>0</v>
      </c>
      <c r="R25" s="263">
        <v>0</v>
      </c>
      <c r="S25" s="263">
        <v>0</v>
      </c>
      <c r="T25" s="263">
        <v>0</v>
      </c>
      <c r="U25" s="263">
        <v>0</v>
      </c>
      <c r="V25" s="263">
        <v>0</v>
      </c>
      <c r="W25" s="263">
        <v>0</v>
      </c>
      <c r="X25" s="263">
        <v>0</v>
      </c>
      <c r="Y25" s="263">
        <v>3.3333333333333333E-2</v>
      </c>
      <c r="Z25" s="263">
        <v>0</v>
      </c>
      <c r="AA25" s="263">
        <v>0</v>
      </c>
      <c r="AB25" s="263">
        <v>0</v>
      </c>
      <c r="AC25" s="263">
        <v>0</v>
      </c>
      <c r="AD25" s="263">
        <v>0</v>
      </c>
      <c r="AE25" s="263">
        <v>0</v>
      </c>
      <c r="AF25" s="263">
        <v>0</v>
      </c>
      <c r="AG25" s="263">
        <v>0</v>
      </c>
      <c r="AH25" s="263">
        <v>0</v>
      </c>
    </row>
    <row r="26" spans="2:34">
      <c r="B26" s="429" t="s">
        <v>284</v>
      </c>
      <c r="C26" s="430">
        <v>5.7142857142857141E-2</v>
      </c>
      <c r="D26" s="260">
        <v>0</v>
      </c>
      <c r="E26" s="260">
        <v>0</v>
      </c>
      <c r="F26" s="260">
        <v>0</v>
      </c>
      <c r="G26" s="260">
        <v>0</v>
      </c>
      <c r="H26" s="260">
        <v>0.8</v>
      </c>
      <c r="I26" s="260">
        <v>0</v>
      </c>
      <c r="J26" s="260">
        <v>0</v>
      </c>
      <c r="K26" s="260">
        <v>0</v>
      </c>
      <c r="L26" s="260">
        <v>0</v>
      </c>
      <c r="M26" s="260">
        <v>0</v>
      </c>
      <c r="N26" s="260">
        <v>0</v>
      </c>
      <c r="O26" s="260">
        <v>0</v>
      </c>
      <c r="P26" s="260">
        <v>0</v>
      </c>
      <c r="Q26" s="260">
        <v>0</v>
      </c>
      <c r="R26" s="260">
        <v>0</v>
      </c>
      <c r="S26" s="260">
        <v>0</v>
      </c>
      <c r="T26" s="260">
        <v>0</v>
      </c>
      <c r="U26" s="260">
        <v>0</v>
      </c>
      <c r="V26" s="260">
        <v>0</v>
      </c>
      <c r="W26" s="260">
        <v>0</v>
      </c>
      <c r="X26" s="260">
        <v>0</v>
      </c>
      <c r="Y26" s="260">
        <v>0</v>
      </c>
      <c r="Z26" s="260">
        <v>0</v>
      </c>
      <c r="AA26" s="260">
        <v>0</v>
      </c>
      <c r="AB26" s="260">
        <v>0</v>
      </c>
      <c r="AC26" s="260">
        <v>0.14285714285714279</v>
      </c>
      <c r="AD26" s="260">
        <v>0.33333333333333331</v>
      </c>
      <c r="AE26" s="260">
        <v>0</v>
      </c>
      <c r="AF26" s="260">
        <v>0</v>
      </c>
      <c r="AG26" s="260">
        <v>0</v>
      </c>
      <c r="AH26" s="260">
        <v>0.14285714285714279</v>
      </c>
    </row>
    <row r="27" spans="2:34">
      <c r="B27" s="427" t="s">
        <v>285</v>
      </c>
      <c r="C27" s="428">
        <v>1.0224948875255621E-2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9.0909090909090912E-2</v>
      </c>
      <c r="L27" s="263">
        <v>0</v>
      </c>
      <c r="M27" s="263">
        <v>0.125</v>
      </c>
      <c r="N27" s="263">
        <v>0.25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X27" s="263">
        <v>0</v>
      </c>
      <c r="Y27" s="263">
        <v>0</v>
      </c>
      <c r="Z27" s="263">
        <v>0</v>
      </c>
      <c r="AA27" s="263">
        <v>0</v>
      </c>
      <c r="AB27" s="263">
        <v>0</v>
      </c>
      <c r="AC27" s="263">
        <v>2.564102564102564E-2</v>
      </c>
      <c r="AD27" s="263">
        <v>2.3529411764705879E-2</v>
      </c>
      <c r="AE27" s="263">
        <v>0</v>
      </c>
      <c r="AF27" s="263">
        <v>0</v>
      </c>
      <c r="AG27" s="263">
        <v>1.063829787234043E-2</v>
      </c>
      <c r="AH27" s="263">
        <v>9.5238095238095247E-3</v>
      </c>
    </row>
    <row r="28" spans="2:34">
      <c r="B28" s="429" t="s">
        <v>287</v>
      </c>
      <c r="C28" s="430">
        <v>5.8823529411764714E-3</v>
      </c>
      <c r="D28" s="260">
        <v>0</v>
      </c>
      <c r="E28" s="260">
        <v>0</v>
      </c>
      <c r="F28" s="260">
        <v>0.5</v>
      </c>
      <c r="G28" s="260">
        <v>0</v>
      </c>
      <c r="H28" s="260">
        <v>0</v>
      </c>
      <c r="I28" s="260">
        <v>0</v>
      </c>
      <c r="J28" s="260">
        <v>0</v>
      </c>
      <c r="K28" s="260">
        <v>0</v>
      </c>
      <c r="L28" s="260">
        <v>0</v>
      </c>
      <c r="M28" s="260">
        <v>0</v>
      </c>
      <c r="N28" s="260">
        <v>0</v>
      </c>
      <c r="O28" s="260">
        <v>0</v>
      </c>
      <c r="P28" s="260">
        <v>0</v>
      </c>
      <c r="Q28" s="260">
        <v>0</v>
      </c>
      <c r="R28" s="260">
        <v>0</v>
      </c>
      <c r="S28" s="260">
        <v>0</v>
      </c>
      <c r="T28" s="260">
        <v>0</v>
      </c>
      <c r="U28" s="260">
        <v>0</v>
      </c>
      <c r="V28" s="260">
        <v>0</v>
      </c>
      <c r="W28" s="260">
        <v>0</v>
      </c>
      <c r="X28" s="260">
        <v>0</v>
      </c>
      <c r="Y28" s="260">
        <v>0</v>
      </c>
      <c r="Z28" s="260">
        <v>0</v>
      </c>
      <c r="AA28" s="260">
        <v>0</v>
      </c>
      <c r="AB28" s="260">
        <v>0</v>
      </c>
      <c r="AC28" s="260">
        <v>0</v>
      </c>
      <c r="AD28" s="260">
        <v>0</v>
      </c>
      <c r="AE28" s="260">
        <v>0</v>
      </c>
      <c r="AF28" s="260">
        <v>0</v>
      </c>
      <c r="AG28" s="260">
        <v>0</v>
      </c>
      <c r="AH28" s="260">
        <v>0</v>
      </c>
    </row>
    <row r="29" spans="2:34">
      <c r="B29" s="427" t="s">
        <v>288</v>
      </c>
      <c r="C29" s="428">
        <v>2.3376623376623381E-2</v>
      </c>
      <c r="D29" s="263">
        <v>0</v>
      </c>
      <c r="E29" s="263">
        <v>0</v>
      </c>
      <c r="F29" s="263">
        <v>0</v>
      </c>
      <c r="G29" s="263">
        <v>0</v>
      </c>
      <c r="H29" s="263">
        <v>0</v>
      </c>
      <c r="I29" s="263">
        <v>0</v>
      </c>
      <c r="J29" s="263">
        <v>0</v>
      </c>
      <c r="K29" s="263">
        <v>0</v>
      </c>
      <c r="L29" s="263">
        <v>0</v>
      </c>
      <c r="M29" s="263">
        <v>0</v>
      </c>
      <c r="N29" s="263">
        <v>0</v>
      </c>
      <c r="O29" s="263">
        <v>0</v>
      </c>
      <c r="P29" s="263">
        <v>0</v>
      </c>
      <c r="Q29" s="263">
        <v>0.5</v>
      </c>
      <c r="R29" s="263">
        <v>0</v>
      </c>
      <c r="S29" s="263">
        <v>0</v>
      </c>
      <c r="T29" s="263">
        <v>0</v>
      </c>
      <c r="U29" s="263">
        <v>0</v>
      </c>
      <c r="V29" s="263">
        <v>0</v>
      </c>
      <c r="W29" s="263">
        <v>0</v>
      </c>
      <c r="X29" s="263">
        <v>0</v>
      </c>
      <c r="Y29" s="263">
        <v>0</v>
      </c>
      <c r="Z29" s="263">
        <v>9.375E-2</v>
      </c>
      <c r="AA29" s="263">
        <v>3.3333333333333333E-2</v>
      </c>
      <c r="AB29" s="263">
        <v>7.1428571428571425E-2</v>
      </c>
      <c r="AC29" s="263">
        <v>0</v>
      </c>
      <c r="AD29" s="263">
        <v>0</v>
      </c>
      <c r="AE29" s="263">
        <v>3.3333333333333333E-2</v>
      </c>
      <c r="AF29" s="263">
        <v>0</v>
      </c>
      <c r="AG29" s="263">
        <v>3.3333333333333333E-2</v>
      </c>
      <c r="AH29" s="263">
        <v>0</v>
      </c>
    </row>
    <row r="30" spans="2:34">
      <c r="B30" s="429" t="s">
        <v>289</v>
      </c>
      <c r="C30" s="430">
        <v>0</v>
      </c>
      <c r="D30" s="260">
        <v>0</v>
      </c>
      <c r="E30" s="260">
        <v>0</v>
      </c>
      <c r="F30" s="260">
        <v>0</v>
      </c>
      <c r="G30" s="260">
        <v>0</v>
      </c>
      <c r="H30" s="260">
        <v>0</v>
      </c>
      <c r="I30" s="260">
        <v>0</v>
      </c>
      <c r="J30" s="260">
        <v>0</v>
      </c>
      <c r="K30" s="260">
        <v>0</v>
      </c>
      <c r="L30" s="260">
        <v>0</v>
      </c>
      <c r="M30" s="260">
        <v>0</v>
      </c>
      <c r="N30" s="260">
        <v>0</v>
      </c>
      <c r="O30" s="260">
        <v>0</v>
      </c>
      <c r="P30" s="260">
        <v>0</v>
      </c>
      <c r="Q30" s="260">
        <v>0</v>
      </c>
      <c r="R30" s="260">
        <v>0</v>
      </c>
      <c r="S30" s="260">
        <v>0</v>
      </c>
      <c r="T30" s="260">
        <v>0</v>
      </c>
      <c r="U30" s="260">
        <v>0</v>
      </c>
      <c r="V30" s="260">
        <v>0</v>
      </c>
      <c r="W30" s="260">
        <v>0</v>
      </c>
      <c r="X30" s="260">
        <v>0</v>
      </c>
      <c r="Y30" s="260">
        <v>0</v>
      </c>
      <c r="Z30" s="260">
        <v>0</v>
      </c>
      <c r="AA30" s="260">
        <v>0</v>
      </c>
      <c r="AB30" s="260">
        <v>0</v>
      </c>
      <c r="AC30" s="260">
        <v>0</v>
      </c>
      <c r="AD30" s="260">
        <v>0</v>
      </c>
      <c r="AE30" s="260">
        <v>0</v>
      </c>
      <c r="AF30" s="260">
        <v>0</v>
      </c>
      <c r="AG30" s="260">
        <v>0</v>
      </c>
      <c r="AH30" s="260">
        <v>0</v>
      </c>
    </row>
    <row r="31" spans="2:34">
      <c r="B31" s="427" t="s">
        <v>290</v>
      </c>
      <c r="C31" s="428">
        <v>4.9751243781094526E-3</v>
      </c>
      <c r="D31" s="263">
        <v>0</v>
      </c>
      <c r="E31" s="263">
        <v>0</v>
      </c>
      <c r="F31" s="263">
        <v>0</v>
      </c>
      <c r="G31" s="263">
        <v>0</v>
      </c>
      <c r="H31" s="263">
        <v>0</v>
      </c>
      <c r="I31" s="263">
        <v>0</v>
      </c>
      <c r="J31" s="263">
        <v>0</v>
      </c>
      <c r="K31" s="263">
        <v>0</v>
      </c>
      <c r="L31" s="263">
        <v>0</v>
      </c>
      <c r="M31" s="263">
        <v>0</v>
      </c>
      <c r="N31" s="263">
        <v>0</v>
      </c>
      <c r="O31" s="263">
        <v>0</v>
      </c>
      <c r="P31" s="263">
        <v>0</v>
      </c>
      <c r="Q31" s="263">
        <v>0</v>
      </c>
      <c r="R31" s="263">
        <v>0</v>
      </c>
      <c r="S31" s="263">
        <v>0</v>
      </c>
      <c r="T31" s="263">
        <v>0</v>
      </c>
      <c r="U31" s="263">
        <v>0</v>
      </c>
      <c r="V31" s="263">
        <v>0</v>
      </c>
      <c r="W31" s="263">
        <v>0</v>
      </c>
      <c r="X31" s="263">
        <v>0</v>
      </c>
      <c r="Y31" s="263">
        <v>0</v>
      </c>
      <c r="Z31" s="263">
        <v>0</v>
      </c>
      <c r="AA31" s="263">
        <v>0</v>
      </c>
      <c r="AB31" s="263">
        <v>0</v>
      </c>
      <c r="AC31" s="263">
        <v>0</v>
      </c>
      <c r="AD31" s="263">
        <v>0</v>
      </c>
      <c r="AE31" s="263">
        <v>0</v>
      </c>
      <c r="AF31" s="263">
        <v>0</v>
      </c>
      <c r="AG31" s="263">
        <v>0</v>
      </c>
      <c r="AH31" s="263">
        <v>0.05</v>
      </c>
    </row>
    <row r="32" spans="2:34">
      <c r="B32" s="429" t="s">
        <v>291</v>
      </c>
      <c r="C32" s="430">
        <v>2.1459227467811159E-2</v>
      </c>
      <c r="D32" s="260">
        <v>0</v>
      </c>
      <c r="E32" s="260">
        <v>0</v>
      </c>
      <c r="F32" s="260">
        <v>0</v>
      </c>
      <c r="G32" s="260">
        <v>0</v>
      </c>
      <c r="H32" s="260">
        <v>0</v>
      </c>
      <c r="I32" s="260">
        <v>0</v>
      </c>
      <c r="J32" s="260">
        <v>0</v>
      </c>
      <c r="K32" s="260">
        <v>0</v>
      </c>
      <c r="L32" s="260">
        <v>0</v>
      </c>
      <c r="M32" s="260">
        <v>0</v>
      </c>
      <c r="N32" s="260">
        <v>0</v>
      </c>
      <c r="O32" s="260">
        <v>0</v>
      </c>
      <c r="P32" s="260">
        <v>0</v>
      </c>
      <c r="Q32" s="260">
        <v>0</v>
      </c>
      <c r="R32" s="260">
        <v>0</v>
      </c>
      <c r="S32" s="260">
        <v>0.125</v>
      </c>
      <c r="T32" s="260">
        <v>0</v>
      </c>
      <c r="U32" s="260">
        <v>0</v>
      </c>
      <c r="V32" s="260">
        <v>8.3333333333333329E-2</v>
      </c>
      <c r="W32" s="260">
        <v>0</v>
      </c>
      <c r="X32" s="260">
        <v>0.1111111111111111</v>
      </c>
      <c r="Y32" s="260">
        <v>0</v>
      </c>
      <c r="Z32" s="260">
        <v>0</v>
      </c>
      <c r="AA32" s="260">
        <v>0</v>
      </c>
      <c r="AB32" s="260">
        <v>0</v>
      </c>
      <c r="AC32" s="260">
        <v>0</v>
      </c>
      <c r="AD32" s="260">
        <v>0.1111111111111111</v>
      </c>
      <c r="AE32" s="260">
        <v>0</v>
      </c>
      <c r="AF32" s="260">
        <v>0</v>
      </c>
      <c r="AG32" s="260">
        <v>0</v>
      </c>
      <c r="AH32" s="260">
        <v>0</v>
      </c>
    </row>
    <row r="33" spans="2:34">
      <c r="B33" s="427" t="s">
        <v>292</v>
      </c>
      <c r="C33" s="428">
        <v>0.1038575667655786</v>
      </c>
      <c r="D33" s="263">
        <v>0</v>
      </c>
      <c r="E33" s="263">
        <v>0</v>
      </c>
      <c r="F33" s="263">
        <v>0</v>
      </c>
      <c r="G33" s="263">
        <v>0</v>
      </c>
      <c r="H33" s="263">
        <v>0.1111111111111111</v>
      </c>
      <c r="I33" s="263">
        <v>0</v>
      </c>
      <c r="J33" s="263">
        <v>0</v>
      </c>
      <c r="K33" s="263">
        <v>0</v>
      </c>
      <c r="L33" s="263">
        <v>0.2</v>
      </c>
      <c r="M33" s="263">
        <v>0</v>
      </c>
      <c r="N33" s="263">
        <v>0.125</v>
      </c>
      <c r="O33" s="263">
        <v>0</v>
      </c>
      <c r="P33" s="263">
        <v>0</v>
      </c>
      <c r="Q33" s="263">
        <v>0</v>
      </c>
      <c r="R33" s="263">
        <v>0</v>
      </c>
      <c r="S33" s="263">
        <v>7.6923076923076927E-2</v>
      </c>
      <c r="T33" s="263">
        <v>0</v>
      </c>
      <c r="U33" s="263">
        <v>0</v>
      </c>
      <c r="V33" s="263">
        <v>0</v>
      </c>
      <c r="W33" s="263">
        <v>0</v>
      </c>
      <c r="X33" s="263">
        <v>0</v>
      </c>
      <c r="Y33" s="263">
        <v>0</v>
      </c>
      <c r="Z33" s="263">
        <v>0.05</v>
      </c>
      <c r="AA33" s="263">
        <v>0</v>
      </c>
      <c r="AB33" s="263">
        <v>0</v>
      </c>
      <c r="AC33" s="263">
        <v>0.31034482758620691</v>
      </c>
      <c r="AD33" s="263">
        <v>0.77272727272727271</v>
      </c>
      <c r="AE33" s="263">
        <v>0.6</v>
      </c>
      <c r="AF33" s="263">
        <v>0</v>
      </c>
      <c r="AG33" s="263">
        <v>0</v>
      </c>
      <c r="AH33" s="263">
        <v>0</v>
      </c>
    </row>
    <row r="34" spans="2:34">
      <c r="B34" s="429" t="s">
        <v>293</v>
      </c>
      <c r="C34" s="430">
        <v>7.2580645161290328E-2</v>
      </c>
      <c r="D34" s="260">
        <v>0</v>
      </c>
      <c r="E34" s="260">
        <v>0</v>
      </c>
      <c r="F34" s="260">
        <v>0</v>
      </c>
      <c r="G34" s="260">
        <v>0</v>
      </c>
      <c r="H34" s="260">
        <v>0</v>
      </c>
      <c r="I34" s="260">
        <v>0</v>
      </c>
      <c r="J34" s="260">
        <v>0</v>
      </c>
      <c r="K34" s="260">
        <v>0</v>
      </c>
      <c r="L34" s="260">
        <v>0</v>
      </c>
      <c r="M34" s="260">
        <v>0</v>
      </c>
      <c r="N34" s="260">
        <v>0</v>
      </c>
      <c r="O34" s="260">
        <v>0</v>
      </c>
      <c r="P34" s="260">
        <v>0</v>
      </c>
      <c r="Q34" s="260">
        <v>0</v>
      </c>
      <c r="R34" s="260">
        <v>0</v>
      </c>
      <c r="S34" s="260">
        <v>0</v>
      </c>
      <c r="T34" s="260">
        <v>0</v>
      </c>
      <c r="U34" s="260">
        <v>0</v>
      </c>
      <c r="V34" s="260">
        <v>0</v>
      </c>
      <c r="W34" s="260">
        <v>0</v>
      </c>
      <c r="X34" s="260">
        <v>8.3333333333333329E-2</v>
      </c>
      <c r="Y34" s="260">
        <v>0</v>
      </c>
      <c r="Z34" s="260">
        <v>0</v>
      </c>
      <c r="AA34" s="260">
        <v>0</v>
      </c>
      <c r="AB34" s="260">
        <v>0</v>
      </c>
      <c r="AC34" s="260">
        <v>0</v>
      </c>
      <c r="AD34" s="260">
        <v>0</v>
      </c>
      <c r="AE34" s="260">
        <v>9.0909090909090912E-2</v>
      </c>
      <c r="AF34" s="260">
        <v>0.68181818181818177</v>
      </c>
      <c r="AG34" s="260">
        <v>0</v>
      </c>
      <c r="AH34" s="260">
        <v>0</v>
      </c>
    </row>
    <row r="35" spans="2:34">
      <c r="B35" s="427" t="s">
        <v>295</v>
      </c>
      <c r="C35" s="428">
        <v>1.6611295681063121E-2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0.1111111111111111</v>
      </c>
      <c r="U35" s="263">
        <v>0</v>
      </c>
      <c r="V35" s="263">
        <v>0.16666666666666671</v>
      </c>
      <c r="W35" s="263">
        <v>0</v>
      </c>
      <c r="X35" s="263">
        <v>0</v>
      </c>
      <c r="Y35" s="263">
        <v>0</v>
      </c>
      <c r="Z35" s="263">
        <v>7.1428571428571425E-2</v>
      </c>
      <c r="AA35" s="263">
        <v>0</v>
      </c>
      <c r="AB35" s="263">
        <v>0</v>
      </c>
      <c r="AC35" s="263">
        <v>0</v>
      </c>
      <c r="AD35" s="263">
        <v>4.5454545454545463E-2</v>
      </c>
      <c r="AE35" s="263">
        <v>0</v>
      </c>
      <c r="AF35" s="263">
        <v>0</v>
      </c>
      <c r="AG35" s="263">
        <v>6.25E-2</v>
      </c>
      <c r="AH35" s="263">
        <v>0</v>
      </c>
    </row>
    <row r="36" spans="2:34">
      <c r="B36" s="429" t="s">
        <v>296</v>
      </c>
      <c r="C36" s="430">
        <v>5.6657223796033997E-3</v>
      </c>
      <c r="D36" s="260">
        <v>0</v>
      </c>
      <c r="E36" s="260">
        <v>0</v>
      </c>
      <c r="F36" s="260">
        <v>0</v>
      </c>
      <c r="G36" s="260">
        <v>0</v>
      </c>
      <c r="H36" s="260">
        <v>0</v>
      </c>
      <c r="I36" s="260">
        <v>0</v>
      </c>
      <c r="J36" s="260">
        <v>0</v>
      </c>
      <c r="K36" s="260">
        <v>0</v>
      </c>
      <c r="L36" s="260">
        <v>0</v>
      </c>
      <c r="M36" s="260">
        <v>0</v>
      </c>
      <c r="N36" s="260">
        <v>0</v>
      </c>
      <c r="O36" s="260">
        <v>0</v>
      </c>
      <c r="P36" s="260">
        <v>0</v>
      </c>
      <c r="Q36" s="260">
        <v>0</v>
      </c>
      <c r="R36" s="260">
        <v>0</v>
      </c>
      <c r="S36" s="260">
        <v>0</v>
      </c>
      <c r="T36" s="260">
        <v>6.6666666666666666E-2</v>
      </c>
      <c r="U36" s="260">
        <v>0</v>
      </c>
      <c r="V36" s="260">
        <v>0</v>
      </c>
      <c r="W36" s="260">
        <v>0</v>
      </c>
      <c r="X36" s="260">
        <v>4.7619047619047623E-2</v>
      </c>
      <c r="Y36" s="260">
        <v>0</v>
      </c>
      <c r="Z36" s="260">
        <v>0</v>
      </c>
      <c r="AA36" s="260">
        <v>0</v>
      </c>
      <c r="AB36" s="260">
        <v>0</v>
      </c>
      <c r="AC36" s="260">
        <v>0</v>
      </c>
      <c r="AD36" s="260">
        <v>0</v>
      </c>
      <c r="AE36" s="260">
        <v>0</v>
      </c>
      <c r="AF36" s="260">
        <v>0</v>
      </c>
      <c r="AG36" s="260">
        <v>0</v>
      </c>
      <c r="AH36" s="260">
        <v>0</v>
      </c>
    </row>
    <row r="37" spans="2:34">
      <c r="B37" s="427" t="s">
        <v>302</v>
      </c>
      <c r="C37" s="428">
        <v>1.54639175257732E-2</v>
      </c>
      <c r="D37" s="263">
        <v>0</v>
      </c>
      <c r="E37" s="263">
        <v>0</v>
      </c>
      <c r="F37" s="263">
        <v>0</v>
      </c>
      <c r="G37" s="263">
        <v>0</v>
      </c>
      <c r="H37" s="263">
        <v>0</v>
      </c>
      <c r="I37" s="263">
        <v>0</v>
      </c>
      <c r="J37" s="263">
        <v>0</v>
      </c>
      <c r="K37" s="263">
        <v>0</v>
      </c>
      <c r="L37" s="263">
        <v>0</v>
      </c>
      <c r="M37" s="263">
        <v>0</v>
      </c>
      <c r="N37" s="263">
        <v>0</v>
      </c>
      <c r="O37" s="263">
        <v>0</v>
      </c>
      <c r="P37" s="263">
        <v>0</v>
      </c>
      <c r="Q37" s="263">
        <v>0</v>
      </c>
      <c r="R37" s="263">
        <v>0</v>
      </c>
      <c r="S37" s="263">
        <v>0</v>
      </c>
      <c r="T37" s="263">
        <v>0</v>
      </c>
      <c r="U37" s="263">
        <v>0</v>
      </c>
      <c r="V37" s="263">
        <v>0</v>
      </c>
      <c r="W37" s="263">
        <v>0</v>
      </c>
      <c r="X37" s="263">
        <v>0</v>
      </c>
      <c r="Y37" s="263">
        <v>0</v>
      </c>
      <c r="Z37" s="263">
        <v>7.6923076923076927E-2</v>
      </c>
      <c r="AA37" s="263">
        <v>0</v>
      </c>
      <c r="AB37" s="263">
        <v>0</v>
      </c>
      <c r="AC37" s="263">
        <v>0</v>
      </c>
      <c r="AD37" s="263">
        <v>0</v>
      </c>
      <c r="AE37" s="263">
        <v>7.1428571428571425E-2</v>
      </c>
      <c r="AF37" s="263">
        <v>0</v>
      </c>
      <c r="AG37" s="263">
        <v>8.3333333333333329E-2</v>
      </c>
      <c r="AH37" s="263">
        <v>0</v>
      </c>
    </row>
    <row r="38" spans="2:34">
      <c r="B38" s="429" t="s">
        <v>305</v>
      </c>
      <c r="C38" s="430">
        <v>5.721393034825871E-2</v>
      </c>
      <c r="D38" s="260">
        <v>0</v>
      </c>
      <c r="E38" s="260">
        <v>0</v>
      </c>
      <c r="F38" s="260">
        <v>0</v>
      </c>
      <c r="G38" s="260">
        <v>0</v>
      </c>
      <c r="H38" s="260">
        <v>0</v>
      </c>
      <c r="I38" s="260">
        <v>0</v>
      </c>
      <c r="J38" s="260">
        <v>0</v>
      </c>
      <c r="K38" s="260">
        <v>0</v>
      </c>
      <c r="L38" s="260">
        <v>0</v>
      </c>
      <c r="M38" s="260">
        <v>0</v>
      </c>
      <c r="N38" s="260">
        <v>0</v>
      </c>
      <c r="O38" s="260">
        <v>0</v>
      </c>
      <c r="P38" s="260">
        <v>0</v>
      </c>
      <c r="Q38" s="260">
        <v>0</v>
      </c>
      <c r="R38" s="260">
        <v>0</v>
      </c>
      <c r="S38" s="260">
        <v>0.375</v>
      </c>
      <c r="T38" s="260">
        <v>0.25</v>
      </c>
      <c r="U38" s="260">
        <v>0</v>
      </c>
      <c r="V38" s="260">
        <v>0.2</v>
      </c>
      <c r="W38" s="260">
        <v>0</v>
      </c>
      <c r="X38" s="260">
        <v>0.2</v>
      </c>
      <c r="Y38" s="260">
        <v>0</v>
      </c>
      <c r="Z38" s="260">
        <v>0</v>
      </c>
      <c r="AA38" s="260">
        <v>0</v>
      </c>
      <c r="AB38" s="260">
        <v>3.4482758620689648E-2</v>
      </c>
      <c r="AC38" s="260">
        <v>5.7142857142857141E-2</v>
      </c>
      <c r="AD38" s="260">
        <v>0.14285714285714279</v>
      </c>
      <c r="AE38" s="260">
        <v>8.3333333333333329E-2</v>
      </c>
      <c r="AF38" s="260">
        <v>9.375E-2</v>
      </c>
      <c r="AG38" s="260">
        <v>2.8571428571428571E-2</v>
      </c>
      <c r="AH38" s="260">
        <v>5.128205128205128E-2</v>
      </c>
    </row>
    <row r="39" spans="2:34">
      <c r="B39" s="427" t="s">
        <v>307</v>
      </c>
      <c r="C39" s="428">
        <v>2.222222222222222E-2</v>
      </c>
      <c r="D39" s="263">
        <v>0</v>
      </c>
      <c r="E39" s="263">
        <v>0</v>
      </c>
      <c r="F39" s="263">
        <v>0</v>
      </c>
      <c r="G39" s="263">
        <v>0</v>
      </c>
      <c r="H39" s="263">
        <v>0</v>
      </c>
      <c r="I39" s="263">
        <v>0</v>
      </c>
      <c r="J39" s="263">
        <v>0</v>
      </c>
      <c r="K39" s="263">
        <v>0</v>
      </c>
      <c r="L39" s="263">
        <v>0</v>
      </c>
      <c r="M39" s="263">
        <v>0.14285714285714279</v>
      </c>
      <c r="N39" s="263">
        <v>0.14285714285714279</v>
      </c>
      <c r="O39" s="263">
        <v>0</v>
      </c>
      <c r="P39" s="263">
        <v>0</v>
      </c>
      <c r="Q39" s="263">
        <v>5.8823529411764712E-2</v>
      </c>
      <c r="R39" s="263">
        <v>0</v>
      </c>
      <c r="S39" s="263">
        <v>5.2631578947368418E-2</v>
      </c>
      <c r="T39" s="263">
        <v>0</v>
      </c>
      <c r="U39" s="263">
        <v>0</v>
      </c>
      <c r="V39" s="263">
        <v>0.05</v>
      </c>
      <c r="W39" s="263">
        <v>0</v>
      </c>
      <c r="X39" s="263">
        <v>0</v>
      </c>
      <c r="Y39" s="263">
        <v>0</v>
      </c>
      <c r="Z39" s="263">
        <v>5.5555555555555552E-2</v>
      </c>
      <c r="AA39" s="263">
        <v>5.5555555555555552E-2</v>
      </c>
      <c r="AB39" s="263">
        <v>5.7142857142857141E-2</v>
      </c>
      <c r="AC39" s="263">
        <v>0</v>
      </c>
      <c r="AD39" s="263">
        <v>0</v>
      </c>
      <c r="AE39" s="263">
        <v>0</v>
      </c>
      <c r="AF39" s="263">
        <v>0</v>
      </c>
      <c r="AG39" s="263">
        <v>3.4482758620689648E-2</v>
      </c>
      <c r="AH39" s="263">
        <v>0</v>
      </c>
    </row>
    <row r="40" spans="2:34">
      <c r="B40" s="429" t="s">
        <v>308</v>
      </c>
      <c r="C40" s="430">
        <v>1.3986013986013989E-2</v>
      </c>
      <c r="D40" s="260">
        <v>0</v>
      </c>
      <c r="E40" s="260">
        <v>0</v>
      </c>
      <c r="F40" s="260">
        <v>0</v>
      </c>
      <c r="G40" s="260">
        <v>0</v>
      </c>
      <c r="H40" s="260">
        <v>0</v>
      </c>
      <c r="I40" s="260">
        <v>0</v>
      </c>
      <c r="J40" s="260">
        <v>0</v>
      </c>
      <c r="K40" s="260">
        <v>0</v>
      </c>
      <c r="L40" s="260">
        <v>0</v>
      </c>
      <c r="M40" s="260">
        <v>0</v>
      </c>
      <c r="N40" s="260">
        <v>0</v>
      </c>
      <c r="O40" s="260">
        <v>0</v>
      </c>
      <c r="P40" s="260">
        <v>0</v>
      </c>
      <c r="Q40" s="260">
        <v>0</v>
      </c>
      <c r="R40" s="260">
        <v>0</v>
      </c>
      <c r="S40" s="260">
        <v>0.2857142857142857</v>
      </c>
      <c r="T40" s="260">
        <v>0</v>
      </c>
      <c r="U40" s="260">
        <v>0</v>
      </c>
      <c r="V40" s="260">
        <v>0</v>
      </c>
      <c r="W40" s="260">
        <v>0</v>
      </c>
      <c r="X40" s="260">
        <v>0</v>
      </c>
      <c r="Y40" s="260">
        <v>0</v>
      </c>
      <c r="Z40" s="260">
        <v>0</v>
      </c>
      <c r="AA40" s="260">
        <v>0</v>
      </c>
      <c r="AB40" s="260">
        <v>0.04</v>
      </c>
      <c r="AC40" s="260">
        <v>0</v>
      </c>
      <c r="AD40" s="260">
        <v>0</v>
      </c>
      <c r="AE40" s="260">
        <v>0</v>
      </c>
      <c r="AF40" s="260">
        <v>0</v>
      </c>
      <c r="AG40" s="260">
        <v>4.5454545454545463E-2</v>
      </c>
      <c r="AH40" s="260">
        <v>0</v>
      </c>
    </row>
    <row r="41" spans="2:34">
      <c r="B41" s="427" t="s">
        <v>310</v>
      </c>
      <c r="C41" s="428">
        <v>2.0057306590257881E-2</v>
      </c>
      <c r="D41" s="263">
        <v>0</v>
      </c>
      <c r="E41" s="263">
        <v>0</v>
      </c>
      <c r="F41" s="263">
        <v>0</v>
      </c>
      <c r="G41" s="263">
        <v>0</v>
      </c>
      <c r="H41" s="263">
        <v>0</v>
      </c>
      <c r="I41" s="263">
        <v>0</v>
      </c>
      <c r="J41" s="263">
        <v>0</v>
      </c>
      <c r="K41" s="263">
        <v>0</v>
      </c>
      <c r="L41" s="263">
        <v>0</v>
      </c>
      <c r="M41" s="263">
        <v>0</v>
      </c>
      <c r="N41" s="263">
        <v>0</v>
      </c>
      <c r="O41" s="263">
        <v>0</v>
      </c>
      <c r="P41" s="263">
        <v>0</v>
      </c>
      <c r="Q41" s="263">
        <v>0</v>
      </c>
      <c r="R41" s="263">
        <v>8.3333333333333329E-2</v>
      </c>
      <c r="S41" s="263">
        <v>5.8823529411764712E-2</v>
      </c>
      <c r="T41" s="263">
        <v>0</v>
      </c>
      <c r="U41" s="263">
        <v>9.375E-2</v>
      </c>
      <c r="V41" s="263">
        <v>0</v>
      </c>
      <c r="W41" s="263">
        <v>2.6315789473684209E-2</v>
      </c>
      <c r="X41" s="263">
        <v>0</v>
      </c>
      <c r="Y41" s="263">
        <v>2.1276595744680851E-2</v>
      </c>
      <c r="Z41" s="263">
        <v>0</v>
      </c>
      <c r="AA41" s="263">
        <v>4.2553191489361701E-2</v>
      </c>
      <c r="AB41" s="263">
        <v>2.222222222222222E-2</v>
      </c>
      <c r="AC41" s="263">
        <v>0</v>
      </c>
      <c r="AD41" s="263">
        <v>4.3478260869565223E-2</v>
      </c>
      <c r="AE41" s="263">
        <v>0</v>
      </c>
      <c r="AF41" s="263">
        <v>0</v>
      </c>
      <c r="AG41" s="263">
        <v>0</v>
      </c>
      <c r="AH41" s="263">
        <v>3.125E-2</v>
      </c>
    </row>
    <row r="42" spans="2:34">
      <c r="B42" s="429" t="s">
        <v>311</v>
      </c>
      <c r="C42" s="430">
        <v>6.920415224913495E-3</v>
      </c>
      <c r="D42" s="260">
        <v>0</v>
      </c>
      <c r="E42" s="260">
        <v>0</v>
      </c>
      <c r="F42" s="260">
        <v>0</v>
      </c>
      <c r="G42" s="260">
        <v>0</v>
      </c>
      <c r="H42" s="260">
        <v>0</v>
      </c>
      <c r="I42" s="260">
        <v>0</v>
      </c>
      <c r="J42" s="260">
        <v>0</v>
      </c>
      <c r="K42" s="260">
        <v>0</v>
      </c>
      <c r="L42" s="260">
        <v>0</v>
      </c>
      <c r="M42" s="260">
        <v>0</v>
      </c>
      <c r="N42" s="260">
        <v>0</v>
      </c>
      <c r="O42" s="260">
        <v>0</v>
      </c>
      <c r="P42" s="260">
        <v>0</v>
      </c>
      <c r="Q42" s="260">
        <v>0</v>
      </c>
      <c r="R42" s="260">
        <v>0</v>
      </c>
      <c r="S42" s="260">
        <v>0</v>
      </c>
      <c r="T42" s="260">
        <v>0</v>
      </c>
      <c r="U42" s="260">
        <v>0</v>
      </c>
      <c r="V42" s="260">
        <v>0</v>
      </c>
      <c r="W42" s="260">
        <v>0</v>
      </c>
      <c r="X42" s="260">
        <v>0</v>
      </c>
      <c r="Y42" s="260">
        <v>0</v>
      </c>
      <c r="Z42" s="260">
        <v>0</v>
      </c>
      <c r="AA42" s="260">
        <v>0</v>
      </c>
      <c r="AB42" s="260">
        <v>0</v>
      </c>
      <c r="AC42" s="260">
        <v>0</v>
      </c>
      <c r="AD42" s="260">
        <v>0.04</v>
      </c>
      <c r="AE42" s="260">
        <v>0</v>
      </c>
      <c r="AF42" s="260">
        <v>0</v>
      </c>
      <c r="AG42" s="260">
        <v>3.7037037037037028E-2</v>
      </c>
      <c r="AH42" s="260">
        <v>0</v>
      </c>
    </row>
    <row r="43" spans="2:34">
      <c r="B43" s="427" t="s">
        <v>312</v>
      </c>
      <c r="C43" s="428">
        <v>2.734375E-2</v>
      </c>
      <c r="D43" s="263">
        <v>0</v>
      </c>
      <c r="E43" s="263">
        <v>0</v>
      </c>
      <c r="F43" s="263">
        <v>0</v>
      </c>
      <c r="G43" s="263">
        <v>0</v>
      </c>
      <c r="H43" s="263">
        <v>0</v>
      </c>
      <c r="I43" s="263">
        <v>0</v>
      </c>
      <c r="J43" s="263">
        <v>0</v>
      </c>
      <c r="K43" s="263">
        <v>0.33333333333333331</v>
      </c>
      <c r="L43" s="263">
        <v>0</v>
      </c>
      <c r="M43" s="263">
        <v>0</v>
      </c>
      <c r="N43" s="263">
        <v>0</v>
      </c>
      <c r="O43" s="263">
        <v>0</v>
      </c>
      <c r="P43" s="263">
        <v>0</v>
      </c>
      <c r="Q43" s="263">
        <v>0</v>
      </c>
      <c r="R43" s="263">
        <v>0</v>
      </c>
      <c r="S43" s="263">
        <v>0</v>
      </c>
      <c r="T43" s="263">
        <v>0</v>
      </c>
      <c r="U43" s="263">
        <v>0</v>
      </c>
      <c r="V43" s="263">
        <v>0</v>
      </c>
      <c r="W43" s="263">
        <v>0</v>
      </c>
      <c r="X43" s="263">
        <v>0</v>
      </c>
      <c r="Y43" s="263">
        <v>0</v>
      </c>
      <c r="Z43" s="263">
        <v>0</v>
      </c>
      <c r="AA43" s="263">
        <v>0</v>
      </c>
      <c r="AB43" s="263">
        <v>0</v>
      </c>
      <c r="AC43" s="263">
        <v>0</v>
      </c>
      <c r="AD43" s="263">
        <v>8.3333333333333329E-2</v>
      </c>
      <c r="AE43" s="263">
        <v>8.3333333333333329E-2</v>
      </c>
      <c r="AF43" s="263">
        <v>0</v>
      </c>
      <c r="AG43" s="263">
        <v>0.16666666666666671</v>
      </c>
      <c r="AH43" s="263">
        <v>6.25E-2</v>
      </c>
    </row>
    <row r="44" spans="2:34">
      <c r="B44" s="429" t="s">
        <v>313</v>
      </c>
      <c r="C44" s="430">
        <v>5.6000000000000001E-2</v>
      </c>
      <c r="D44" s="260">
        <v>0</v>
      </c>
      <c r="E44" s="260">
        <v>0</v>
      </c>
      <c r="F44" s="260">
        <v>0</v>
      </c>
      <c r="G44" s="260">
        <v>0</v>
      </c>
      <c r="H44" s="260">
        <v>0</v>
      </c>
      <c r="I44" s="260">
        <v>0</v>
      </c>
      <c r="J44" s="260">
        <v>0.5</v>
      </c>
      <c r="K44" s="260">
        <v>0</v>
      </c>
      <c r="L44" s="260">
        <v>0</v>
      </c>
      <c r="M44" s="260">
        <v>1</v>
      </c>
      <c r="N44" s="260">
        <v>0</v>
      </c>
      <c r="O44" s="260">
        <v>0</v>
      </c>
      <c r="P44" s="260">
        <v>0</v>
      </c>
      <c r="Q44" s="260">
        <v>0</v>
      </c>
      <c r="R44" s="260">
        <v>0.2</v>
      </c>
      <c r="S44" s="260">
        <v>0</v>
      </c>
      <c r="T44" s="260">
        <v>0.2</v>
      </c>
      <c r="U44" s="260">
        <v>0</v>
      </c>
      <c r="V44" s="260">
        <v>0</v>
      </c>
      <c r="W44" s="260">
        <v>0</v>
      </c>
      <c r="X44" s="260">
        <v>0</v>
      </c>
      <c r="Y44" s="260">
        <v>0</v>
      </c>
      <c r="Z44" s="260">
        <v>0</v>
      </c>
      <c r="AA44" s="260">
        <v>0</v>
      </c>
      <c r="AB44" s="260">
        <v>0</v>
      </c>
      <c r="AC44" s="260">
        <v>0.375</v>
      </c>
      <c r="AD44" s="260">
        <v>0</v>
      </c>
      <c r="AE44" s="260">
        <v>0</v>
      </c>
      <c r="AF44" s="260">
        <v>0</v>
      </c>
      <c r="AG44" s="260">
        <v>0</v>
      </c>
      <c r="AH44" s="260">
        <v>0</v>
      </c>
    </row>
    <row r="45" spans="2:34">
      <c r="B45" s="427" t="s">
        <v>314</v>
      </c>
      <c r="C45" s="428">
        <v>7.7844311377245512E-2</v>
      </c>
      <c r="D45" s="263">
        <v>0</v>
      </c>
      <c r="E45" s="263">
        <v>0</v>
      </c>
      <c r="F45" s="263">
        <v>0</v>
      </c>
      <c r="G45" s="263">
        <v>0</v>
      </c>
      <c r="H45" s="263">
        <v>0.2</v>
      </c>
      <c r="I45" s="263">
        <v>0</v>
      </c>
      <c r="J45" s="263">
        <v>0</v>
      </c>
      <c r="K45" s="263">
        <v>0</v>
      </c>
      <c r="L45" s="263">
        <v>8.3333333333333329E-2</v>
      </c>
      <c r="M45" s="263">
        <v>0.125</v>
      </c>
      <c r="N45" s="263">
        <v>0.66666666666666663</v>
      </c>
      <c r="O45" s="263">
        <v>0</v>
      </c>
      <c r="P45" s="263">
        <v>0.33333333333333331</v>
      </c>
      <c r="Q45" s="263">
        <v>0</v>
      </c>
      <c r="R45" s="263">
        <v>0.5</v>
      </c>
      <c r="S45" s="263">
        <v>0.5</v>
      </c>
      <c r="T45" s="263">
        <v>0</v>
      </c>
      <c r="U45" s="263">
        <v>0</v>
      </c>
      <c r="V45" s="263">
        <v>0</v>
      </c>
      <c r="W45" s="263">
        <v>0</v>
      </c>
      <c r="X45" s="263">
        <v>0</v>
      </c>
      <c r="Y45" s="263">
        <v>0</v>
      </c>
      <c r="Z45" s="263">
        <v>0</v>
      </c>
      <c r="AA45" s="263">
        <v>0</v>
      </c>
      <c r="AB45" s="263">
        <v>0</v>
      </c>
      <c r="AC45" s="263">
        <v>0.25</v>
      </c>
      <c r="AD45" s="263">
        <v>0</v>
      </c>
      <c r="AE45" s="263">
        <v>0</v>
      </c>
      <c r="AF45" s="263">
        <v>0</v>
      </c>
      <c r="AG45" s="263">
        <v>0.14285714285714279</v>
      </c>
      <c r="AH45" s="263">
        <v>0</v>
      </c>
    </row>
    <row r="46" spans="2:34">
      <c r="B46" s="429" t="s">
        <v>315</v>
      </c>
      <c r="C46" s="430">
        <v>0</v>
      </c>
      <c r="D46" s="260">
        <v>0</v>
      </c>
      <c r="E46" s="260">
        <v>0</v>
      </c>
      <c r="F46" s="260">
        <v>0</v>
      </c>
      <c r="G46" s="260">
        <v>0</v>
      </c>
      <c r="H46" s="260">
        <v>0</v>
      </c>
      <c r="I46" s="260">
        <v>0</v>
      </c>
      <c r="J46" s="260">
        <v>0</v>
      </c>
      <c r="K46" s="260">
        <v>0</v>
      </c>
      <c r="L46" s="260">
        <v>0</v>
      </c>
      <c r="M46" s="260">
        <v>0</v>
      </c>
      <c r="N46" s="260">
        <v>0</v>
      </c>
      <c r="O46" s="260">
        <v>0</v>
      </c>
      <c r="P46" s="260">
        <v>0</v>
      </c>
      <c r="Q46" s="260">
        <v>0</v>
      </c>
      <c r="R46" s="260">
        <v>0</v>
      </c>
      <c r="S46" s="260">
        <v>0</v>
      </c>
      <c r="T46" s="260">
        <v>0</v>
      </c>
      <c r="U46" s="260">
        <v>0</v>
      </c>
      <c r="V46" s="260">
        <v>0</v>
      </c>
      <c r="W46" s="260">
        <v>0</v>
      </c>
      <c r="X46" s="260">
        <v>0</v>
      </c>
      <c r="Y46" s="260">
        <v>0</v>
      </c>
      <c r="Z46" s="260">
        <v>0</v>
      </c>
      <c r="AA46" s="260">
        <v>0</v>
      </c>
      <c r="AB46" s="260">
        <v>0</v>
      </c>
      <c r="AC46" s="260">
        <v>0</v>
      </c>
      <c r="AD46" s="260">
        <v>0</v>
      </c>
      <c r="AE46" s="260">
        <v>0</v>
      </c>
      <c r="AF46" s="260">
        <v>0</v>
      </c>
      <c r="AG46" s="260">
        <v>0</v>
      </c>
      <c r="AH46" s="260">
        <v>0</v>
      </c>
    </row>
    <row r="48" spans="2:34" ht="43.2">
      <c r="B48" s="424" t="str">
        <f t="shared" ref="B48:AH48" si="0">B4</f>
        <v>ISO country code</v>
      </c>
      <c r="C48" s="424" t="str">
        <f t="shared" si="0"/>
        <v>Average default rate</v>
      </c>
      <c r="D48" s="426">
        <f t="shared" si="0"/>
        <v>1994</v>
      </c>
      <c r="E48" s="426">
        <f t="shared" si="0"/>
        <v>1995</v>
      </c>
      <c r="F48" s="426">
        <f t="shared" si="0"/>
        <v>1996</v>
      </c>
      <c r="G48" s="426">
        <f t="shared" si="0"/>
        <v>1997</v>
      </c>
      <c r="H48" s="426">
        <f t="shared" si="0"/>
        <v>1998</v>
      </c>
      <c r="I48" s="426">
        <f t="shared" si="0"/>
        <v>1999</v>
      </c>
      <c r="J48" s="426">
        <f t="shared" si="0"/>
        <v>2000</v>
      </c>
      <c r="K48" s="426">
        <f t="shared" si="0"/>
        <v>2001</v>
      </c>
      <c r="L48" s="426">
        <f t="shared" si="0"/>
        <v>2002</v>
      </c>
      <c r="M48" s="426">
        <f t="shared" si="0"/>
        <v>2003</v>
      </c>
      <c r="N48" s="426">
        <f t="shared" si="0"/>
        <v>2004</v>
      </c>
      <c r="O48" s="426">
        <f t="shared" si="0"/>
        <v>2005</v>
      </c>
      <c r="P48" s="426">
        <f t="shared" si="0"/>
        <v>2006</v>
      </c>
      <c r="Q48" s="426">
        <f t="shared" si="0"/>
        <v>2007</v>
      </c>
      <c r="R48" s="426">
        <f t="shared" si="0"/>
        <v>2008</v>
      </c>
      <c r="S48" s="426">
        <f t="shared" si="0"/>
        <v>2009</v>
      </c>
      <c r="T48" s="426">
        <f t="shared" si="0"/>
        <v>2010</v>
      </c>
      <c r="U48" s="426">
        <f t="shared" si="0"/>
        <v>2011</v>
      </c>
      <c r="V48" s="426">
        <f t="shared" si="0"/>
        <v>2012</v>
      </c>
      <c r="W48" s="426">
        <f t="shared" si="0"/>
        <v>2013</v>
      </c>
      <c r="X48" s="426">
        <f t="shared" si="0"/>
        <v>2014</v>
      </c>
      <c r="Y48" s="426">
        <f t="shared" si="0"/>
        <v>2015</v>
      </c>
      <c r="Z48" s="426">
        <f t="shared" si="0"/>
        <v>2016</v>
      </c>
      <c r="AA48" s="426">
        <f t="shared" si="0"/>
        <v>2017</v>
      </c>
      <c r="AB48" s="426">
        <f t="shared" si="0"/>
        <v>2018</v>
      </c>
      <c r="AC48" s="426">
        <f t="shared" si="0"/>
        <v>2019</v>
      </c>
      <c r="AD48" s="426">
        <f t="shared" si="0"/>
        <v>2020</v>
      </c>
      <c r="AE48" s="426">
        <f t="shared" si="0"/>
        <v>2021</v>
      </c>
      <c r="AF48" s="426">
        <f t="shared" si="0"/>
        <v>2022</v>
      </c>
      <c r="AG48" s="426">
        <f t="shared" si="0"/>
        <v>2023</v>
      </c>
      <c r="AH48" s="426">
        <f t="shared" si="0"/>
        <v>2024</v>
      </c>
    </row>
    <row r="49" spans="2:34">
      <c r="B49" s="427" t="s">
        <v>316</v>
      </c>
      <c r="C49" s="428">
        <v>8.3333333333333329E-2</v>
      </c>
      <c r="D49" s="263">
        <v>0</v>
      </c>
      <c r="E49" s="263">
        <v>0</v>
      </c>
      <c r="F49" s="263">
        <v>0</v>
      </c>
      <c r="G49" s="263">
        <v>0</v>
      </c>
      <c r="H49" s="263">
        <v>0</v>
      </c>
      <c r="I49" s="263">
        <v>0</v>
      </c>
      <c r="J49" s="263">
        <v>0</v>
      </c>
      <c r="K49" s="263">
        <v>0</v>
      </c>
      <c r="L49" s="263">
        <v>0</v>
      </c>
      <c r="M49" s="263">
        <v>0</v>
      </c>
      <c r="N49" s="263">
        <v>0</v>
      </c>
      <c r="O49" s="263">
        <v>0</v>
      </c>
      <c r="P49" s="263">
        <v>0</v>
      </c>
      <c r="Q49" s="263">
        <v>0.66666666666666663</v>
      </c>
      <c r="R49" s="263">
        <v>0</v>
      </c>
      <c r="S49" s="263">
        <v>0.5</v>
      </c>
      <c r="T49" s="263">
        <v>0</v>
      </c>
      <c r="U49" s="263">
        <v>0</v>
      </c>
      <c r="V49" s="263">
        <v>0</v>
      </c>
      <c r="W49" s="263">
        <v>0</v>
      </c>
      <c r="X49" s="263">
        <v>0</v>
      </c>
      <c r="Y49" s="263">
        <v>0.25</v>
      </c>
      <c r="Z49" s="263">
        <v>0</v>
      </c>
      <c r="AA49" s="263">
        <v>0</v>
      </c>
      <c r="AB49" s="263">
        <v>0</v>
      </c>
      <c r="AC49" s="263">
        <v>0</v>
      </c>
      <c r="AD49" s="263">
        <v>0</v>
      </c>
      <c r="AE49" s="263">
        <v>0</v>
      </c>
      <c r="AF49" s="263">
        <v>0</v>
      </c>
      <c r="AG49" s="263">
        <v>0.26666666666666672</v>
      </c>
      <c r="AH49" s="263">
        <v>0.16666666666666671</v>
      </c>
    </row>
    <row r="50" spans="2:34">
      <c r="B50" s="429" t="s">
        <v>317</v>
      </c>
      <c r="C50" s="430">
        <v>0</v>
      </c>
      <c r="D50" s="260">
        <v>0</v>
      </c>
      <c r="E50" s="260">
        <v>0</v>
      </c>
      <c r="F50" s="260">
        <v>0</v>
      </c>
      <c r="G50" s="260">
        <v>0</v>
      </c>
      <c r="H50" s="260">
        <v>0</v>
      </c>
      <c r="I50" s="260">
        <v>0</v>
      </c>
      <c r="J50" s="260">
        <v>0</v>
      </c>
      <c r="K50" s="260">
        <v>0</v>
      </c>
      <c r="L50" s="260">
        <v>0</v>
      </c>
      <c r="M50" s="260">
        <v>0</v>
      </c>
      <c r="N50" s="260">
        <v>0</v>
      </c>
      <c r="O50" s="260">
        <v>0</v>
      </c>
      <c r="P50" s="260">
        <v>0</v>
      </c>
      <c r="Q50" s="260">
        <v>0</v>
      </c>
      <c r="R50" s="260">
        <v>0</v>
      </c>
      <c r="S50" s="260">
        <v>0</v>
      </c>
      <c r="T50" s="260">
        <v>0</v>
      </c>
      <c r="U50" s="260">
        <v>0</v>
      </c>
      <c r="V50" s="260">
        <v>0</v>
      </c>
      <c r="W50" s="260">
        <v>0</v>
      </c>
      <c r="X50" s="260">
        <v>0</v>
      </c>
      <c r="Y50" s="260">
        <v>0</v>
      </c>
      <c r="Z50" s="260">
        <v>0</v>
      </c>
      <c r="AA50" s="260">
        <v>0</v>
      </c>
      <c r="AB50" s="260">
        <v>0</v>
      </c>
      <c r="AC50" s="260">
        <v>0</v>
      </c>
      <c r="AD50" s="260">
        <v>0</v>
      </c>
      <c r="AE50" s="260">
        <v>0</v>
      </c>
      <c r="AF50" s="260">
        <v>0</v>
      </c>
      <c r="AG50" s="260">
        <v>0</v>
      </c>
      <c r="AH50" s="260">
        <v>0</v>
      </c>
    </row>
    <row r="51" spans="2:34">
      <c r="B51" s="427" t="s">
        <v>318</v>
      </c>
      <c r="C51" s="428">
        <v>2.3809523809523812E-2</v>
      </c>
      <c r="D51" s="263">
        <v>0</v>
      </c>
      <c r="E51" s="263">
        <v>0</v>
      </c>
      <c r="F51" s="263">
        <v>0</v>
      </c>
      <c r="G51" s="263">
        <v>0</v>
      </c>
      <c r="H51" s="263">
        <v>0</v>
      </c>
      <c r="I51" s="263">
        <v>0</v>
      </c>
      <c r="J51" s="263">
        <v>0.125</v>
      </c>
      <c r="K51" s="263">
        <v>0</v>
      </c>
      <c r="L51" s="263">
        <v>0</v>
      </c>
      <c r="M51" s="263">
        <v>0</v>
      </c>
      <c r="N51" s="263">
        <v>0.16666666666666671</v>
      </c>
      <c r="O51" s="263">
        <v>0</v>
      </c>
      <c r="P51" s="263">
        <v>0</v>
      </c>
      <c r="Q51" s="263">
        <v>0</v>
      </c>
      <c r="R51" s="263">
        <v>7.6923076923076927E-2</v>
      </c>
      <c r="S51" s="263">
        <v>7.6923076923076927E-2</v>
      </c>
      <c r="T51" s="263">
        <v>0</v>
      </c>
      <c r="U51" s="263">
        <v>0</v>
      </c>
      <c r="V51" s="263">
        <v>0</v>
      </c>
      <c r="W51" s="263">
        <v>0.05</v>
      </c>
      <c r="X51" s="263">
        <v>4.7619047619047623E-2</v>
      </c>
      <c r="Y51" s="263">
        <v>0</v>
      </c>
      <c r="Z51" s="263">
        <v>4.5454545454545463E-2</v>
      </c>
      <c r="AA51" s="263">
        <v>2.5000000000000001E-2</v>
      </c>
      <c r="AB51" s="263">
        <v>4.3478260869565223E-2</v>
      </c>
      <c r="AC51" s="263">
        <v>2.222222222222222E-2</v>
      </c>
      <c r="AD51" s="263">
        <v>2.222222222222222E-2</v>
      </c>
      <c r="AE51" s="263">
        <v>0</v>
      </c>
      <c r="AF51" s="263">
        <v>0</v>
      </c>
      <c r="AG51" s="263">
        <v>3.2258064516129031E-2</v>
      </c>
      <c r="AH51" s="263">
        <v>1.492537313432836E-2</v>
      </c>
    </row>
    <row r="52" spans="2:34">
      <c r="B52" s="429" t="s">
        <v>319</v>
      </c>
      <c r="C52" s="430">
        <v>6.7340067340067337E-3</v>
      </c>
      <c r="D52" s="260">
        <v>0</v>
      </c>
      <c r="E52" s="260">
        <v>0</v>
      </c>
      <c r="F52" s="260">
        <v>0</v>
      </c>
      <c r="G52" s="260">
        <v>0</v>
      </c>
      <c r="H52" s="260">
        <v>0</v>
      </c>
      <c r="I52" s="260">
        <v>0.16666666666666671</v>
      </c>
      <c r="J52" s="260">
        <v>0</v>
      </c>
      <c r="K52" s="260">
        <v>0</v>
      </c>
      <c r="L52" s="260">
        <v>0</v>
      </c>
      <c r="M52" s="260">
        <v>0</v>
      </c>
      <c r="N52" s="260">
        <v>0</v>
      </c>
      <c r="O52" s="260">
        <v>0</v>
      </c>
      <c r="P52" s="260">
        <v>0</v>
      </c>
      <c r="Q52" s="260">
        <v>0</v>
      </c>
      <c r="R52" s="260">
        <v>0</v>
      </c>
      <c r="S52" s="260">
        <v>0</v>
      </c>
      <c r="T52" s="260">
        <v>0</v>
      </c>
      <c r="U52" s="260">
        <v>0</v>
      </c>
      <c r="V52" s="260">
        <v>7.6923076923076927E-2</v>
      </c>
      <c r="W52" s="260">
        <v>0</v>
      </c>
      <c r="X52" s="260">
        <v>0</v>
      </c>
      <c r="Y52" s="260">
        <v>0</v>
      </c>
      <c r="Z52" s="260">
        <v>4.1666666666666657E-2</v>
      </c>
      <c r="AA52" s="260">
        <v>0</v>
      </c>
      <c r="AB52" s="260">
        <v>0</v>
      </c>
      <c r="AC52" s="260">
        <v>0</v>
      </c>
      <c r="AD52" s="260">
        <v>0</v>
      </c>
      <c r="AE52" s="260">
        <v>0</v>
      </c>
      <c r="AF52" s="260">
        <v>0</v>
      </c>
      <c r="AG52" s="260">
        <v>0</v>
      </c>
      <c r="AH52" s="260">
        <v>0</v>
      </c>
    </row>
    <row r="53" spans="2:34">
      <c r="B53" s="427" t="s">
        <v>320</v>
      </c>
      <c r="C53" s="428">
        <v>1.9193857965451051E-3</v>
      </c>
      <c r="D53" s="263">
        <v>0</v>
      </c>
      <c r="E53" s="263">
        <v>0</v>
      </c>
      <c r="F53" s="263">
        <v>0</v>
      </c>
      <c r="G53" s="263">
        <v>0</v>
      </c>
      <c r="H53" s="263">
        <v>0</v>
      </c>
      <c r="I53" s="263">
        <v>0</v>
      </c>
      <c r="J53" s="263">
        <v>0</v>
      </c>
      <c r="K53" s="263">
        <v>0</v>
      </c>
      <c r="L53" s="263">
        <v>0</v>
      </c>
      <c r="M53" s="263">
        <v>0</v>
      </c>
      <c r="N53" s="263">
        <v>0</v>
      </c>
      <c r="O53" s="263">
        <v>0</v>
      </c>
      <c r="P53" s="263">
        <v>0</v>
      </c>
      <c r="Q53" s="263">
        <v>0</v>
      </c>
      <c r="R53" s="263">
        <v>0</v>
      </c>
      <c r="S53" s="263">
        <v>0</v>
      </c>
      <c r="T53" s="263">
        <v>0</v>
      </c>
      <c r="U53" s="263">
        <v>0</v>
      </c>
      <c r="V53" s="263">
        <v>0</v>
      </c>
      <c r="W53" s="263">
        <v>0</v>
      </c>
      <c r="X53" s="263">
        <v>0</v>
      </c>
      <c r="Y53" s="263">
        <v>3.03030303030303E-2</v>
      </c>
      <c r="Z53" s="263">
        <v>0</v>
      </c>
      <c r="AA53" s="263">
        <v>0</v>
      </c>
      <c r="AB53" s="263">
        <v>0</v>
      </c>
      <c r="AC53" s="263">
        <v>0</v>
      </c>
      <c r="AD53" s="263">
        <v>0</v>
      </c>
      <c r="AE53" s="263">
        <v>0</v>
      </c>
      <c r="AF53" s="263">
        <v>0</v>
      </c>
      <c r="AG53" s="263">
        <v>0</v>
      </c>
      <c r="AH53" s="263">
        <v>0</v>
      </c>
    </row>
    <row r="54" spans="2:34">
      <c r="B54" s="429" t="s">
        <v>321</v>
      </c>
      <c r="C54" s="430">
        <v>2.18522372528616E-2</v>
      </c>
      <c r="D54" s="260">
        <v>0</v>
      </c>
      <c r="E54" s="260">
        <v>0</v>
      </c>
      <c r="F54" s="260">
        <v>0</v>
      </c>
      <c r="G54" s="260">
        <v>0</v>
      </c>
      <c r="H54" s="260">
        <v>0.23076923076923081</v>
      </c>
      <c r="I54" s="260">
        <v>0.23076923076923081</v>
      </c>
      <c r="J54" s="260">
        <v>0</v>
      </c>
      <c r="K54" s="260">
        <v>0</v>
      </c>
      <c r="L54" s="260">
        <v>0</v>
      </c>
      <c r="M54" s="260">
        <v>0</v>
      </c>
      <c r="N54" s="260">
        <v>0</v>
      </c>
      <c r="O54" s="260">
        <v>0</v>
      </c>
      <c r="P54" s="260">
        <v>0</v>
      </c>
      <c r="Q54" s="260">
        <v>0</v>
      </c>
      <c r="R54" s="260">
        <v>0</v>
      </c>
      <c r="S54" s="260">
        <v>1.388888888888889E-2</v>
      </c>
      <c r="T54" s="260">
        <v>1.5625E-2</v>
      </c>
      <c r="U54" s="260">
        <v>3.2786885245901641E-2</v>
      </c>
      <c r="V54" s="260">
        <v>1.470588235294118E-2</v>
      </c>
      <c r="W54" s="260">
        <v>0</v>
      </c>
      <c r="X54" s="260">
        <v>6.4516129032258063E-2</v>
      </c>
      <c r="Y54" s="260">
        <v>3.6363636363636362E-2</v>
      </c>
      <c r="Z54" s="260">
        <v>2.5000000000000001E-2</v>
      </c>
      <c r="AA54" s="260">
        <v>7.1428571428571425E-2</v>
      </c>
      <c r="AB54" s="260">
        <v>0</v>
      </c>
      <c r="AC54" s="260">
        <v>0</v>
      </c>
      <c r="AD54" s="260">
        <v>0</v>
      </c>
      <c r="AE54" s="260">
        <v>0</v>
      </c>
      <c r="AF54" s="260">
        <v>0</v>
      </c>
      <c r="AG54" s="260">
        <v>0</v>
      </c>
      <c r="AH54" s="260">
        <v>0.5</v>
      </c>
    </row>
    <row r="55" spans="2:34">
      <c r="B55" s="427" t="s">
        <v>325</v>
      </c>
      <c r="C55" s="428">
        <v>6.5420560747663545E-2</v>
      </c>
      <c r="D55" s="263">
        <v>0</v>
      </c>
      <c r="E55" s="263">
        <v>0</v>
      </c>
      <c r="F55" s="263">
        <v>0</v>
      </c>
      <c r="G55" s="263">
        <v>0</v>
      </c>
      <c r="H55" s="263">
        <v>0.25</v>
      </c>
      <c r="I55" s="263">
        <v>0</v>
      </c>
      <c r="J55" s="263">
        <v>0</v>
      </c>
      <c r="K55" s="263">
        <v>0</v>
      </c>
      <c r="L55" s="263">
        <v>0.125</v>
      </c>
      <c r="M55" s="263">
        <v>0</v>
      </c>
      <c r="N55" s="263">
        <v>0</v>
      </c>
      <c r="O55" s="263">
        <v>0</v>
      </c>
      <c r="P55" s="263">
        <v>0.14285714285714279</v>
      </c>
      <c r="Q55" s="263">
        <v>0</v>
      </c>
      <c r="R55" s="263">
        <v>0.33333333333333331</v>
      </c>
      <c r="S55" s="263">
        <v>0.2</v>
      </c>
      <c r="T55" s="263">
        <v>0</v>
      </c>
      <c r="U55" s="263">
        <v>0.14285714285714279</v>
      </c>
      <c r="V55" s="263">
        <v>0</v>
      </c>
      <c r="W55" s="263">
        <v>0</v>
      </c>
      <c r="X55" s="263">
        <v>0.16666666666666671</v>
      </c>
      <c r="Y55" s="263">
        <v>0</v>
      </c>
      <c r="Z55" s="263">
        <v>0</v>
      </c>
      <c r="AA55" s="263">
        <v>0</v>
      </c>
      <c r="AB55" s="263">
        <v>0</v>
      </c>
      <c r="AC55" s="263">
        <v>0</v>
      </c>
      <c r="AD55" s="263">
        <v>9.0909090909090912E-2</v>
      </c>
      <c r="AE55" s="263">
        <v>0.1</v>
      </c>
      <c r="AF55" s="263">
        <v>0</v>
      </c>
      <c r="AG55" s="263">
        <v>0.16666666666666671</v>
      </c>
      <c r="AH55" s="263">
        <v>6.6666666666666666E-2</v>
      </c>
    </row>
    <row r="56" spans="2:34">
      <c r="B56" s="429" t="s">
        <v>326</v>
      </c>
      <c r="C56" s="430">
        <v>0</v>
      </c>
      <c r="D56" s="260">
        <v>0</v>
      </c>
      <c r="E56" s="260">
        <v>0</v>
      </c>
      <c r="F56" s="260">
        <v>0</v>
      </c>
      <c r="G56" s="260">
        <v>0</v>
      </c>
      <c r="H56" s="260">
        <v>0</v>
      </c>
      <c r="I56" s="260">
        <v>0</v>
      </c>
      <c r="J56" s="260">
        <v>0</v>
      </c>
      <c r="K56" s="260">
        <v>0</v>
      </c>
      <c r="L56" s="260">
        <v>0</v>
      </c>
      <c r="M56" s="260">
        <v>0</v>
      </c>
      <c r="N56" s="260">
        <v>0</v>
      </c>
      <c r="O56" s="260">
        <v>0</v>
      </c>
      <c r="P56" s="260">
        <v>0</v>
      </c>
      <c r="Q56" s="260">
        <v>0</v>
      </c>
      <c r="R56" s="260">
        <v>0</v>
      </c>
      <c r="S56" s="260">
        <v>0</v>
      </c>
      <c r="T56" s="260">
        <v>0</v>
      </c>
      <c r="U56" s="260">
        <v>0</v>
      </c>
      <c r="V56" s="260">
        <v>0</v>
      </c>
      <c r="W56" s="260">
        <v>0</v>
      </c>
      <c r="X56" s="260">
        <v>0</v>
      </c>
      <c r="Y56" s="260">
        <v>0</v>
      </c>
      <c r="Z56" s="260">
        <v>0</v>
      </c>
      <c r="AA56" s="260">
        <v>0</v>
      </c>
      <c r="AB56" s="260">
        <v>0</v>
      </c>
      <c r="AC56" s="260">
        <v>0</v>
      </c>
      <c r="AD56" s="260">
        <v>0</v>
      </c>
      <c r="AE56" s="260">
        <v>0</v>
      </c>
      <c r="AF56" s="260">
        <v>0</v>
      </c>
      <c r="AG56" s="260">
        <v>0</v>
      </c>
      <c r="AH56" s="260">
        <v>0</v>
      </c>
    </row>
    <row r="57" spans="2:34">
      <c r="B57" s="427" t="s">
        <v>329</v>
      </c>
      <c r="C57" s="428">
        <v>2.538071065989848E-2</v>
      </c>
      <c r="D57" s="263">
        <v>0</v>
      </c>
      <c r="E57" s="263">
        <v>0</v>
      </c>
      <c r="F57" s="263">
        <v>0</v>
      </c>
      <c r="G57" s="263">
        <v>0</v>
      </c>
      <c r="H57" s="263">
        <v>0</v>
      </c>
      <c r="I57" s="263">
        <v>0</v>
      </c>
      <c r="J57" s="263">
        <v>0</v>
      </c>
      <c r="K57" s="263">
        <v>0</v>
      </c>
      <c r="L57" s="263">
        <v>0</v>
      </c>
      <c r="M57" s="263">
        <v>0</v>
      </c>
      <c r="N57" s="263">
        <v>0</v>
      </c>
      <c r="O57" s="263">
        <v>0</v>
      </c>
      <c r="P57" s="263">
        <v>0.16666666666666671</v>
      </c>
      <c r="Q57" s="263">
        <v>0</v>
      </c>
      <c r="R57" s="263">
        <v>0</v>
      </c>
      <c r="S57" s="263">
        <v>0</v>
      </c>
      <c r="T57" s="263">
        <v>0</v>
      </c>
      <c r="U57" s="263">
        <v>0</v>
      </c>
      <c r="V57" s="263">
        <v>0</v>
      </c>
      <c r="W57" s="263">
        <v>0</v>
      </c>
      <c r="X57" s="263">
        <v>0</v>
      </c>
      <c r="Y57" s="263">
        <v>0</v>
      </c>
      <c r="Z57" s="263">
        <v>0.2142857142857143</v>
      </c>
      <c r="AA57" s="263">
        <v>0.1</v>
      </c>
      <c r="AB57" s="263">
        <v>0</v>
      </c>
      <c r="AC57" s="263">
        <v>0</v>
      </c>
      <c r="AD57" s="263">
        <v>0</v>
      </c>
      <c r="AE57" s="263">
        <v>0</v>
      </c>
      <c r="AF57" s="263">
        <v>0</v>
      </c>
      <c r="AG57" s="263">
        <v>0</v>
      </c>
      <c r="AH57" s="263">
        <v>0</v>
      </c>
    </row>
    <row r="58" spans="2:34">
      <c r="B58" s="429" t="s">
        <v>331</v>
      </c>
      <c r="C58" s="430">
        <v>1.515151515151515E-2</v>
      </c>
      <c r="D58" s="260">
        <v>0</v>
      </c>
      <c r="E58" s="260">
        <v>0</v>
      </c>
      <c r="F58" s="260">
        <v>0</v>
      </c>
      <c r="G58" s="260">
        <v>0</v>
      </c>
      <c r="H58" s="260">
        <v>0</v>
      </c>
      <c r="I58" s="260">
        <v>0</v>
      </c>
      <c r="J58" s="260">
        <v>0</v>
      </c>
      <c r="K58" s="260">
        <v>0.33333333333333331</v>
      </c>
      <c r="L58" s="260">
        <v>0</v>
      </c>
      <c r="M58" s="260">
        <v>0</v>
      </c>
      <c r="N58" s="260">
        <v>0</v>
      </c>
      <c r="O58" s="260">
        <v>0</v>
      </c>
      <c r="P58" s="260">
        <v>5.8823529411764712E-2</v>
      </c>
      <c r="Q58" s="260">
        <v>6.25E-2</v>
      </c>
      <c r="R58" s="260">
        <v>0</v>
      </c>
      <c r="S58" s="260">
        <v>0</v>
      </c>
      <c r="T58" s="260">
        <v>0</v>
      </c>
      <c r="U58" s="260">
        <v>0</v>
      </c>
      <c r="V58" s="260">
        <v>0</v>
      </c>
      <c r="W58" s="260">
        <v>0</v>
      </c>
      <c r="X58" s="260">
        <v>0</v>
      </c>
      <c r="Y58" s="260">
        <v>0</v>
      </c>
      <c r="Z58" s="260">
        <v>0</v>
      </c>
      <c r="AA58" s="260">
        <v>0</v>
      </c>
      <c r="AB58" s="260">
        <v>3.7037037037037028E-2</v>
      </c>
      <c r="AC58" s="260">
        <v>3.5714285714285712E-2</v>
      </c>
      <c r="AD58" s="260">
        <v>6.4516129032258063E-2</v>
      </c>
      <c r="AE58" s="260">
        <v>0</v>
      </c>
      <c r="AF58" s="260">
        <v>0</v>
      </c>
      <c r="AG58" s="260">
        <v>0</v>
      </c>
      <c r="AH58" s="260">
        <v>0</v>
      </c>
    </row>
    <row r="59" spans="2:34">
      <c r="B59" s="427" t="s">
        <v>332</v>
      </c>
      <c r="C59" s="428">
        <v>2.0366598778004071E-3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X59" s="263">
        <v>0</v>
      </c>
      <c r="Y59" s="263">
        <v>0</v>
      </c>
      <c r="Z59" s="263">
        <v>0</v>
      </c>
      <c r="AA59" s="263">
        <v>0</v>
      </c>
      <c r="AB59" s="263">
        <v>0</v>
      </c>
      <c r="AC59" s="263">
        <v>0</v>
      </c>
      <c r="AD59" s="263">
        <v>3.4482758620689648E-2</v>
      </c>
      <c r="AE59" s="263">
        <v>0</v>
      </c>
      <c r="AF59" s="263">
        <v>0</v>
      </c>
      <c r="AG59" s="263">
        <v>0</v>
      </c>
      <c r="AH59" s="263">
        <v>0</v>
      </c>
    </row>
    <row r="60" spans="2:34">
      <c r="B60" s="429" t="s">
        <v>334</v>
      </c>
      <c r="C60" s="430">
        <v>5.4216867469879519E-2</v>
      </c>
      <c r="D60" s="260">
        <v>0</v>
      </c>
      <c r="E60" s="260">
        <v>0</v>
      </c>
      <c r="F60" s="260">
        <v>0</v>
      </c>
      <c r="G60" s="260">
        <v>0.5</v>
      </c>
      <c r="H60" s="260">
        <v>0</v>
      </c>
      <c r="I60" s="260">
        <v>0</v>
      </c>
      <c r="J60" s="260">
        <v>1</v>
      </c>
      <c r="K60" s="260">
        <v>0</v>
      </c>
      <c r="L60" s="260">
        <v>0</v>
      </c>
      <c r="M60" s="260">
        <v>0</v>
      </c>
      <c r="N60" s="260">
        <v>0</v>
      </c>
      <c r="O60" s="260">
        <v>0</v>
      </c>
      <c r="P60" s="260">
        <v>0</v>
      </c>
      <c r="Q60" s="260">
        <v>0</v>
      </c>
      <c r="R60" s="260">
        <v>0</v>
      </c>
      <c r="S60" s="260">
        <v>0</v>
      </c>
      <c r="T60" s="260">
        <v>0</v>
      </c>
      <c r="U60" s="260">
        <v>0</v>
      </c>
      <c r="V60" s="260">
        <v>0</v>
      </c>
      <c r="W60" s="260">
        <v>0</v>
      </c>
      <c r="X60" s="260">
        <v>0</v>
      </c>
      <c r="Y60" s="260">
        <v>0</v>
      </c>
      <c r="Z60" s="260">
        <v>8.3333333333333329E-2</v>
      </c>
      <c r="AA60" s="260">
        <v>0</v>
      </c>
      <c r="AB60" s="260">
        <v>0</v>
      </c>
      <c r="AC60" s="260">
        <v>0.125</v>
      </c>
      <c r="AD60" s="260">
        <v>0.23076923076923081</v>
      </c>
      <c r="AE60" s="260">
        <v>8.3333333333333329E-2</v>
      </c>
      <c r="AF60" s="260">
        <v>0</v>
      </c>
      <c r="AG60" s="260">
        <v>0</v>
      </c>
      <c r="AH60" s="260">
        <v>0</v>
      </c>
    </row>
    <row r="61" spans="2:34">
      <c r="B61" s="427" t="s">
        <v>335</v>
      </c>
      <c r="C61" s="428">
        <v>3.7974683544303799E-2</v>
      </c>
      <c r="D61" s="263">
        <v>0</v>
      </c>
      <c r="E61" s="263">
        <v>0</v>
      </c>
      <c r="F61" s="263">
        <v>0</v>
      </c>
      <c r="G61" s="263">
        <v>0</v>
      </c>
      <c r="H61" s="263">
        <v>0</v>
      </c>
      <c r="I61" s="263">
        <v>0</v>
      </c>
      <c r="J61" s="263">
        <v>0</v>
      </c>
      <c r="K61" s="263">
        <v>0</v>
      </c>
      <c r="L61" s="263">
        <v>0</v>
      </c>
      <c r="M61" s="263">
        <v>0</v>
      </c>
      <c r="N61" s="263">
        <v>0</v>
      </c>
      <c r="O61" s="263">
        <v>0</v>
      </c>
      <c r="P61" s="263">
        <v>0</v>
      </c>
      <c r="Q61" s="263">
        <v>0</v>
      </c>
      <c r="R61" s="263">
        <v>5.2631578947368418E-2</v>
      </c>
      <c r="S61" s="263">
        <v>4.3478260869565223E-2</v>
      </c>
      <c r="T61" s="263">
        <v>0</v>
      </c>
      <c r="U61" s="263">
        <v>0</v>
      </c>
      <c r="V61" s="263">
        <v>0</v>
      </c>
      <c r="W61" s="263">
        <v>9.5238095238095233E-2</v>
      </c>
      <c r="X61" s="263">
        <v>5.2631578947368418E-2</v>
      </c>
      <c r="Y61" s="263">
        <v>0.1111111111111111</v>
      </c>
      <c r="Z61" s="263">
        <v>0.1</v>
      </c>
      <c r="AA61" s="263">
        <v>0</v>
      </c>
      <c r="AB61" s="263">
        <v>0</v>
      </c>
      <c r="AC61" s="263">
        <v>0.16666666666666671</v>
      </c>
      <c r="AD61" s="263">
        <v>0</v>
      </c>
      <c r="AE61" s="263">
        <v>0</v>
      </c>
      <c r="AF61" s="263">
        <v>0.125</v>
      </c>
      <c r="AG61" s="263">
        <v>0</v>
      </c>
      <c r="AH61" s="263">
        <v>7.1428571428571425E-2</v>
      </c>
    </row>
    <row r="62" spans="2:34">
      <c r="B62" s="429" t="s">
        <v>336</v>
      </c>
      <c r="C62" s="430">
        <v>3.015075376884422E-2</v>
      </c>
      <c r="D62" s="260">
        <v>0</v>
      </c>
      <c r="E62" s="260">
        <v>0</v>
      </c>
      <c r="F62" s="260">
        <v>0</v>
      </c>
      <c r="G62" s="260">
        <v>0</v>
      </c>
      <c r="H62" s="260">
        <v>0</v>
      </c>
      <c r="I62" s="260">
        <v>0</v>
      </c>
      <c r="J62" s="260">
        <v>0</v>
      </c>
      <c r="K62" s="260">
        <v>0</v>
      </c>
      <c r="L62" s="260">
        <v>0</v>
      </c>
      <c r="M62" s="260">
        <v>0</v>
      </c>
      <c r="N62" s="260">
        <v>0</v>
      </c>
      <c r="O62" s="260">
        <v>0</v>
      </c>
      <c r="P62" s="260">
        <v>0.33333333333333331</v>
      </c>
      <c r="Q62" s="260">
        <v>0</v>
      </c>
      <c r="R62" s="260">
        <v>0</v>
      </c>
      <c r="S62" s="260">
        <v>0</v>
      </c>
      <c r="T62" s="260">
        <v>0.25</v>
      </c>
      <c r="U62" s="260">
        <v>0</v>
      </c>
      <c r="V62" s="260">
        <v>0</v>
      </c>
      <c r="W62" s="260">
        <v>0</v>
      </c>
      <c r="X62" s="260">
        <v>0</v>
      </c>
      <c r="Y62" s="260">
        <v>0</v>
      </c>
      <c r="Z62" s="260">
        <v>0</v>
      </c>
      <c r="AA62" s="260">
        <v>0.1818181818181818</v>
      </c>
      <c r="AB62" s="260">
        <v>0</v>
      </c>
      <c r="AC62" s="260">
        <v>0</v>
      </c>
      <c r="AD62" s="260">
        <v>7.6923076923076927E-2</v>
      </c>
      <c r="AE62" s="260">
        <v>0</v>
      </c>
      <c r="AF62" s="260">
        <v>0</v>
      </c>
      <c r="AG62" s="260">
        <v>0</v>
      </c>
      <c r="AH62" s="260">
        <v>0</v>
      </c>
    </row>
    <row r="63" spans="2:34">
      <c r="B63" s="427" t="s">
        <v>338</v>
      </c>
      <c r="C63" s="428">
        <v>1.360544217687075E-2</v>
      </c>
      <c r="D63" s="263">
        <v>0</v>
      </c>
      <c r="E63" s="263">
        <v>0</v>
      </c>
      <c r="F63" s="263">
        <v>0</v>
      </c>
      <c r="G63" s="263">
        <v>0</v>
      </c>
      <c r="H63" s="263">
        <v>0</v>
      </c>
      <c r="I63" s="263">
        <v>0</v>
      </c>
      <c r="J63" s="263">
        <v>0</v>
      </c>
      <c r="K63" s="263">
        <v>0</v>
      </c>
      <c r="L63" s="263">
        <v>0</v>
      </c>
      <c r="M63" s="263">
        <v>0</v>
      </c>
      <c r="N63" s="263">
        <v>0</v>
      </c>
      <c r="O63" s="263">
        <v>0</v>
      </c>
      <c r="P63" s="263">
        <v>0</v>
      </c>
      <c r="Q63" s="263">
        <v>0</v>
      </c>
      <c r="R63" s="263">
        <v>0</v>
      </c>
      <c r="S63" s="263">
        <v>0</v>
      </c>
      <c r="T63" s="263">
        <v>0.16666666666666671</v>
      </c>
      <c r="U63" s="263">
        <v>0</v>
      </c>
      <c r="V63" s="263">
        <v>0</v>
      </c>
      <c r="W63" s="263">
        <v>0</v>
      </c>
      <c r="X63" s="263">
        <v>0</v>
      </c>
      <c r="Y63" s="263">
        <v>0</v>
      </c>
      <c r="Z63" s="263">
        <v>0</v>
      </c>
      <c r="AA63" s="263">
        <v>0</v>
      </c>
      <c r="AB63" s="263">
        <v>0</v>
      </c>
      <c r="AC63" s="263">
        <v>0</v>
      </c>
      <c r="AD63" s="263">
        <v>0</v>
      </c>
      <c r="AE63" s="263">
        <v>0</v>
      </c>
      <c r="AF63" s="263">
        <v>0</v>
      </c>
      <c r="AG63" s="263">
        <v>0</v>
      </c>
      <c r="AH63" s="263">
        <v>5.8823529411764712E-2</v>
      </c>
    </row>
    <row r="64" spans="2:34">
      <c r="B64" s="429" t="s">
        <v>340</v>
      </c>
      <c r="C64" s="430">
        <v>7.0422535211267607E-3</v>
      </c>
      <c r="D64" s="260">
        <v>0</v>
      </c>
      <c r="E64" s="260">
        <v>0</v>
      </c>
      <c r="F64" s="260">
        <v>0</v>
      </c>
      <c r="G64" s="260">
        <v>0</v>
      </c>
      <c r="H64" s="260">
        <v>0</v>
      </c>
      <c r="I64" s="260">
        <v>0</v>
      </c>
      <c r="J64" s="260">
        <v>0</v>
      </c>
      <c r="K64" s="260">
        <v>0</v>
      </c>
      <c r="L64" s="260">
        <v>0</v>
      </c>
      <c r="M64" s="260">
        <v>0</v>
      </c>
      <c r="N64" s="260">
        <v>0</v>
      </c>
      <c r="O64" s="260">
        <v>0</v>
      </c>
      <c r="P64" s="260">
        <v>0</v>
      </c>
      <c r="Q64" s="260">
        <v>0.5</v>
      </c>
      <c r="R64" s="260">
        <v>0</v>
      </c>
      <c r="S64" s="260">
        <v>0</v>
      </c>
      <c r="T64" s="260">
        <v>0</v>
      </c>
      <c r="U64" s="260">
        <v>0</v>
      </c>
      <c r="V64" s="260">
        <v>0</v>
      </c>
      <c r="W64" s="260">
        <v>0</v>
      </c>
      <c r="X64" s="260">
        <v>0</v>
      </c>
      <c r="Y64" s="260">
        <v>0</v>
      </c>
      <c r="Z64" s="260">
        <v>0</v>
      </c>
      <c r="AA64" s="260">
        <v>0</v>
      </c>
      <c r="AB64" s="260">
        <v>0</v>
      </c>
      <c r="AC64" s="260">
        <v>0</v>
      </c>
      <c r="AD64" s="260">
        <v>0</v>
      </c>
      <c r="AE64" s="260">
        <v>0</v>
      </c>
      <c r="AF64" s="260">
        <v>0</v>
      </c>
      <c r="AG64" s="260">
        <v>0</v>
      </c>
      <c r="AH64" s="260">
        <v>0</v>
      </c>
    </row>
    <row r="65" spans="2:34">
      <c r="B65" s="427" t="s">
        <v>342</v>
      </c>
      <c r="C65" s="428">
        <v>2.7472527472527469E-2</v>
      </c>
      <c r="D65" s="263">
        <v>0</v>
      </c>
      <c r="E65" s="263">
        <v>0</v>
      </c>
      <c r="F65" s="263">
        <v>0</v>
      </c>
      <c r="G65" s="263">
        <v>0</v>
      </c>
      <c r="H65" s="263">
        <v>0</v>
      </c>
      <c r="I65" s="263">
        <v>0</v>
      </c>
      <c r="J65" s="263">
        <v>0</v>
      </c>
      <c r="K65" s="263">
        <v>0</v>
      </c>
      <c r="L65" s="263">
        <v>0.22222222222222221</v>
      </c>
      <c r="M65" s="263">
        <v>0</v>
      </c>
      <c r="N65" s="263">
        <v>0</v>
      </c>
      <c r="O65" s="263">
        <v>0</v>
      </c>
      <c r="P65" s="263">
        <v>0.14285714285714279</v>
      </c>
      <c r="Q65" s="263">
        <v>0.2</v>
      </c>
      <c r="R65" s="263">
        <v>0</v>
      </c>
      <c r="S65" s="263">
        <v>0</v>
      </c>
      <c r="T65" s="263">
        <v>7.1428571428571425E-2</v>
      </c>
      <c r="U65" s="263">
        <v>0</v>
      </c>
      <c r="V65" s="263">
        <v>0</v>
      </c>
      <c r="W65" s="263">
        <v>0</v>
      </c>
      <c r="X65" s="263">
        <v>5.5555555555555552E-2</v>
      </c>
      <c r="Y65" s="263">
        <v>0</v>
      </c>
      <c r="Z65" s="263">
        <v>0</v>
      </c>
      <c r="AA65" s="263">
        <v>0</v>
      </c>
      <c r="AB65" s="263">
        <v>4.7619047619047623E-2</v>
      </c>
      <c r="AC65" s="263">
        <v>0</v>
      </c>
      <c r="AD65" s="263">
        <v>0</v>
      </c>
      <c r="AE65" s="263">
        <v>0</v>
      </c>
      <c r="AF65" s="263">
        <v>0</v>
      </c>
      <c r="AG65" s="263">
        <v>9.0909090909090912E-2</v>
      </c>
      <c r="AH65" s="263">
        <v>5.2631578947368418E-2</v>
      </c>
    </row>
    <row r="66" spans="2:34">
      <c r="B66" s="427" t="s">
        <v>343</v>
      </c>
      <c r="C66" s="428">
        <v>8.0402010050251257E-2</v>
      </c>
      <c r="D66" s="131">
        <v>0</v>
      </c>
      <c r="E66" s="131">
        <v>0</v>
      </c>
      <c r="F66" s="131">
        <v>0.5</v>
      </c>
      <c r="G66" s="131">
        <v>0</v>
      </c>
      <c r="H66" s="131">
        <v>0</v>
      </c>
      <c r="I66" s="131">
        <v>0</v>
      </c>
      <c r="J66" s="131">
        <v>0</v>
      </c>
      <c r="K66" s="131">
        <v>0</v>
      </c>
      <c r="L66" s="131">
        <v>0</v>
      </c>
      <c r="M66" s="131">
        <v>0</v>
      </c>
      <c r="N66" s="131">
        <v>0.2857142857142857</v>
      </c>
      <c r="O66" s="131">
        <v>0.5</v>
      </c>
      <c r="P66" s="131">
        <v>0.2</v>
      </c>
      <c r="Q66" s="131">
        <v>0</v>
      </c>
      <c r="R66" s="131">
        <v>0.2</v>
      </c>
      <c r="S66" s="131">
        <v>0</v>
      </c>
      <c r="T66" s="131">
        <v>0</v>
      </c>
      <c r="U66" s="131">
        <v>7.1428571428571425E-2</v>
      </c>
      <c r="V66" s="131">
        <v>0.16666666666666671</v>
      </c>
      <c r="W66" s="131">
        <v>0</v>
      </c>
      <c r="X66" s="131">
        <v>0</v>
      </c>
      <c r="Y66" s="131">
        <v>0.1</v>
      </c>
      <c r="Z66" s="131">
        <v>0</v>
      </c>
      <c r="AA66" s="131">
        <v>9.0909090909090912E-2</v>
      </c>
      <c r="AB66" s="131">
        <v>0</v>
      </c>
      <c r="AC66" s="131">
        <v>0.1</v>
      </c>
      <c r="AD66" s="131">
        <v>0.1111111111111111</v>
      </c>
      <c r="AE66" s="131">
        <v>0</v>
      </c>
      <c r="AF66" s="131">
        <v>0</v>
      </c>
      <c r="AG66" s="131">
        <v>0</v>
      </c>
      <c r="AH66" s="131">
        <v>0.16666666666666671</v>
      </c>
    </row>
    <row r="67" spans="2:34" hidden="1" outlineLevel="1">
      <c r="B67" s="143">
        <v>0</v>
      </c>
      <c r="C67" s="255">
        <v>0</v>
      </c>
      <c r="D67" s="49" t="s">
        <v>237</v>
      </c>
      <c r="E67" s="130" t="s">
        <v>237</v>
      </c>
      <c r="F67" s="130" t="s">
        <v>237</v>
      </c>
      <c r="G67" s="130" t="s">
        <v>237</v>
      </c>
      <c r="H67" s="130" t="s">
        <v>237</v>
      </c>
      <c r="I67" s="130" t="s">
        <v>237</v>
      </c>
      <c r="J67" s="130" t="s">
        <v>237</v>
      </c>
      <c r="K67" s="130" t="s">
        <v>237</v>
      </c>
      <c r="L67" s="130" t="s">
        <v>237</v>
      </c>
      <c r="M67" s="130" t="s">
        <v>237</v>
      </c>
      <c r="N67" s="130" t="s">
        <v>237</v>
      </c>
      <c r="O67" s="130" t="s">
        <v>237</v>
      </c>
      <c r="P67" s="130" t="s">
        <v>237</v>
      </c>
      <c r="Q67" s="130" t="s">
        <v>237</v>
      </c>
      <c r="R67" s="130" t="s">
        <v>237</v>
      </c>
      <c r="S67" s="130" t="s">
        <v>237</v>
      </c>
      <c r="T67" s="130" t="s">
        <v>237</v>
      </c>
      <c r="U67" s="130" t="s">
        <v>237</v>
      </c>
      <c r="V67" s="130" t="s">
        <v>237</v>
      </c>
      <c r="W67" s="130" t="s">
        <v>237</v>
      </c>
      <c r="X67" s="130" t="s">
        <v>237</v>
      </c>
      <c r="Y67" s="130" t="s">
        <v>237</v>
      </c>
      <c r="Z67" s="130" t="s">
        <v>237</v>
      </c>
      <c r="AA67" s="130" t="s">
        <v>237</v>
      </c>
      <c r="AB67" s="130" t="s">
        <v>237</v>
      </c>
      <c r="AC67" s="130" t="s">
        <v>237</v>
      </c>
      <c r="AD67" s="130" t="s">
        <v>237</v>
      </c>
      <c r="AE67" s="130" t="s">
        <v>237</v>
      </c>
      <c r="AF67" s="130" t="s">
        <v>237</v>
      </c>
      <c r="AG67" s="130" t="s">
        <v>237</v>
      </c>
      <c r="AH67" s="44" t="s">
        <v>237</v>
      </c>
    </row>
    <row r="68" spans="2:34" hidden="1" outlineLevel="1">
      <c r="B68" s="87">
        <v>0</v>
      </c>
      <c r="C68" s="253">
        <v>0</v>
      </c>
      <c r="D68" s="51" t="s">
        <v>237</v>
      </c>
      <c r="E68" s="131" t="s">
        <v>237</v>
      </c>
      <c r="F68" s="131" t="s">
        <v>237</v>
      </c>
      <c r="G68" s="131" t="s">
        <v>237</v>
      </c>
      <c r="H68" s="131" t="s">
        <v>237</v>
      </c>
      <c r="I68" s="131" t="s">
        <v>237</v>
      </c>
      <c r="J68" s="131" t="s">
        <v>237</v>
      </c>
      <c r="K68" s="131" t="s">
        <v>237</v>
      </c>
      <c r="L68" s="131" t="s">
        <v>237</v>
      </c>
      <c r="M68" s="131" t="s">
        <v>237</v>
      </c>
      <c r="N68" s="131" t="s">
        <v>237</v>
      </c>
      <c r="O68" s="131" t="s">
        <v>237</v>
      </c>
      <c r="P68" s="131" t="s">
        <v>237</v>
      </c>
      <c r="Q68" s="131" t="s">
        <v>237</v>
      </c>
      <c r="R68" s="131" t="s">
        <v>237</v>
      </c>
      <c r="S68" s="131" t="s">
        <v>237</v>
      </c>
      <c r="T68" s="131" t="s">
        <v>237</v>
      </c>
      <c r="U68" s="131" t="s">
        <v>237</v>
      </c>
      <c r="V68" s="131" t="s">
        <v>237</v>
      </c>
      <c r="W68" s="131" t="s">
        <v>237</v>
      </c>
      <c r="X68" s="131" t="s">
        <v>237</v>
      </c>
      <c r="Y68" s="131" t="s">
        <v>237</v>
      </c>
      <c r="Z68" s="131" t="s">
        <v>237</v>
      </c>
      <c r="AA68" s="131" t="s">
        <v>237</v>
      </c>
      <c r="AB68" s="131" t="s">
        <v>237</v>
      </c>
      <c r="AC68" s="131" t="s">
        <v>237</v>
      </c>
      <c r="AD68" s="131" t="s">
        <v>237</v>
      </c>
      <c r="AE68" s="131" t="s">
        <v>237</v>
      </c>
      <c r="AF68" s="131" t="s">
        <v>237</v>
      </c>
      <c r="AG68" s="131" t="s">
        <v>237</v>
      </c>
      <c r="AH68" s="47" t="s">
        <v>237</v>
      </c>
    </row>
    <row r="69" spans="2:34" hidden="1" outlineLevel="1">
      <c r="B69" s="87">
        <v>0</v>
      </c>
      <c r="C69" s="253">
        <v>0</v>
      </c>
      <c r="D69" s="51" t="s">
        <v>237</v>
      </c>
      <c r="E69" s="131" t="s">
        <v>237</v>
      </c>
      <c r="F69" s="131" t="s">
        <v>237</v>
      </c>
      <c r="G69" s="131" t="s">
        <v>237</v>
      </c>
      <c r="H69" s="131" t="s">
        <v>237</v>
      </c>
      <c r="I69" s="131" t="s">
        <v>237</v>
      </c>
      <c r="J69" s="131" t="s">
        <v>237</v>
      </c>
      <c r="K69" s="131" t="s">
        <v>237</v>
      </c>
      <c r="L69" s="131" t="s">
        <v>237</v>
      </c>
      <c r="M69" s="131" t="s">
        <v>237</v>
      </c>
      <c r="N69" s="131" t="s">
        <v>237</v>
      </c>
      <c r="O69" s="131" t="s">
        <v>237</v>
      </c>
      <c r="P69" s="131" t="s">
        <v>237</v>
      </c>
      <c r="Q69" s="131" t="s">
        <v>237</v>
      </c>
      <c r="R69" s="131" t="s">
        <v>237</v>
      </c>
      <c r="S69" s="131" t="s">
        <v>237</v>
      </c>
      <c r="T69" s="131" t="s">
        <v>237</v>
      </c>
      <c r="U69" s="131" t="s">
        <v>237</v>
      </c>
      <c r="V69" s="131" t="s">
        <v>237</v>
      </c>
      <c r="W69" s="131" t="s">
        <v>237</v>
      </c>
      <c r="X69" s="131" t="s">
        <v>237</v>
      </c>
      <c r="Y69" s="131" t="s">
        <v>237</v>
      </c>
      <c r="Z69" s="131" t="s">
        <v>237</v>
      </c>
      <c r="AA69" s="131" t="s">
        <v>237</v>
      </c>
      <c r="AB69" s="131" t="s">
        <v>237</v>
      </c>
      <c r="AC69" s="131" t="s">
        <v>237</v>
      </c>
      <c r="AD69" s="131" t="s">
        <v>237</v>
      </c>
      <c r="AE69" s="131" t="s">
        <v>237</v>
      </c>
      <c r="AF69" s="131" t="s">
        <v>237</v>
      </c>
      <c r="AG69" s="131" t="s">
        <v>237</v>
      </c>
      <c r="AH69" s="47" t="s">
        <v>237</v>
      </c>
    </row>
    <row r="70" spans="2:34" hidden="1" outlineLevel="1">
      <c r="B70" s="87">
        <v>0</v>
      </c>
      <c r="C70" s="253">
        <v>0</v>
      </c>
      <c r="D70" s="51" t="s">
        <v>237</v>
      </c>
      <c r="E70" s="131" t="s">
        <v>237</v>
      </c>
      <c r="F70" s="131" t="s">
        <v>237</v>
      </c>
      <c r="G70" s="131" t="s">
        <v>237</v>
      </c>
      <c r="H70" s="131" t="s">
        <v>237</v>
      </c>
      <c r="I70" s="131" t="s">
        <v>237</v>
      </c>
      <c r="J70" s="131" t="s">
        <v>237</v>
      </c>
      <c r="K70" s="131" t="s">
        <v>237</v>
      </c>
      <c r="L70" s="131" t="s">
        <v>237</v>
      </c>
      <c r="M70" s="131" t="s">
        <v>237</v>
      </c>
      <c r="N70" s="131" t="s">
        <v>237</v>
      </c>
      <c r="O70" s="131" t="s">
        <v>237</v>
      </c>
      <c r="P70" s="131" t="s">
        <v>237</v>
      </c>
      <c r="Q70" s="131" t="s">
        <v>237</v>
      </c>
      <c r="R70" s="131" t="s">
        <v>237</v>
      </c>
      <c r="S70" s="131" t="s">
        <v>237</v>
      </c>
      <c r="T70" s="131" t="s">
        <v>237</v>
      </c>
      <c r="U70" s="131" t="s">
        <v>237</v>
      </c>
      <c r="V70" s="131" t="s">
        <v>237</v>
      </c>
      <c r="W70" s="131" t="s">
        <v>237</v>
      </c>
      <c r="X70" s="131" t="s">
        <v>237</v>
      </c>
      <c r="Y70" s="131" t="s">
        <v>237</v>
      </c>
      <c r="Z70" s="131" t="s">
        <v>237</v>
      </c>
      <c r="AA70" s="131" t="s">
        <v>237</v>
      </c>
      <c r="AB70" s="131" t="s">
        <v>237</v>
      </c>
      <c r="AC70" s="131" t="s">
        <v>237</v>
      </c>
      <c r="AD70" s="131" t="s">
        <v>237</v>
      </c>
      <c r="AE70" s="131" t="s">
        <v>237</v>
      </c>
      <c r="AF70" s="131" t="s">
        <v>237</v>
      </c>
      <c r="AG70" s="131" t="s">
        <v>237</v>
      </c>
      <c r="AH70" s="47" t="s">
        <v>237</v>
      </c>
    </row>
    <row r="71" spans="2:34" hidden="1" outlineLevel="1">
      <c r="B71" s="87">
        <v>0</v>
      </c>
      <c r="C71" s="253">
        <v>0</v>
      </c>
      <c r="D71" s="51" t="s">
        <v>237</v>
      </c>
      <c r="E71" s="131" t="s">
        <v>237</v>
      </c>
      <c r="F71" s="131" t="s">
        <v>237</v>
      </c>
      <c r="G71" s="131" t="s">
        <v>237</v>
      </c>
      <c r="H71" s="131" t="s">
        <v>237</v>
      </c>
      <c r="I71" s="131" t="s">
        <v>237</v>
      </c>
      <c r="J71" s="131" t="s">
        <v>237</v>
      </c>
      <c r="K71" s="131" t="s">
        <v>237</v>
      </c>
      <c r="L71" s="131" t="s">
        <v>237</v>
      </c>
      <c r="M71" s="131" t="s">
        <v>237</v>
      </c>
      <c r="N71" s="131" t="s">
        <v>237</v>
      </c>
      <c r="O71" s="131" t="s">
        <v>237</v>
      </c>
      <c r="P71" s="131" t="s">
        <v>237</v>
      </c>
      <c r="Q71" s="131" t="s">
        <v>237</v>
      </c>
      <c r="R71" s="131" t="s">
        <v>237</v>
      </c>
      <c r="S71" s="131" t="s">
        <v>237</v>
      </c>
      <c r="T71" s="131" t="s">
        <v>237</v>
      </c>
      <c r="U71" s="131" t="s">
        <v>237</v>
      </c>
      <c r="V71" s="131" t="s">
        <v>237</v>
      </c>
      <c r="W71" s="131" t="s">
        <v>237</v>
      </c>
      <c r="X71" s="131" t="s">
        <v>237</v>
      </c>
      <c r="Y71" s="131" t="s">
        <v>237</v>
      </c>
      <c r="Z71" s="131" t="s">
        <v>237</v>
      </c>
      <c r="AA71" s="131" t="s">
        <v>237</v>
      </c>
      <c r="AB71" s="131" t="s">
        <v>237</v>
      </c>
      <c r="AC71" s="131" t="s">
        <v>237</v>
      </c>
      <c r="AD71" s="131" t="s">
        <v>237</v>
      </c>
      <c r="AE71" s="131" t="s">
        <v>237</v>
      </c>
      <c r="AF71" s="131" t="s">
        <v>237</v>
      </c>
      <c r="AG71" s="131" t="s">
        <v>237</v>
      </c>
      <c r="AH71" s="47" t="s">
        <v>237</v>
      </c>
    </row>
    <row r="72" spans="2:34" hidden="1" outlineLevel="1">
      <c r="B72" s="87">
        <v>0</v>
      </c>
      <c r="C72" s="253">
        <v>0</v>
      </c>
      <c r="D72" s="51" t="s">
        <v>237</v>
      </c>
      <c r="E72" s="131" t="s">
        <v>237</v>
      </c>
      <c r="F72" s="131" t="s">
        <v>237</v>
      </c>
      <c r="G72" s="131" t="s">
        <v>237</v>
      </c>
      <c r="H72" s="131" t="s">
        <v>237</v>
      </c>
      <c r="I72" s="131" t="s">
        <v>237</v>
      </c>
      <c r="J72" s="131" t="s">
        <v>237</v>
      </c>
      <c r="K72" s="131" t="s">
        <v>237</v>
      </c>
      <c r="L72" s="131" t="s">
        <v>237</v>
      </c>
      <c r="M72" s="131" t="s">
        <v>237</v>
      </c>
      <c r="N72" s="131" t="s">
        <v>237</v>
      </c>
      <c r="O72" s="131" t="s">
        <v>237</v>
      </c>
      <c r="P72" s="131" t="s">
        <v>237</v>
      </c>
      <c r="Q72" s="131" t="s">
        <v>237</v>
      </c>
      <c r="R72" s="131" t="s">
        <v>237</v>
      </c>
      <c r="S72" s="131" t="s">
        <v>237</v>
      </c>
      <c r="T72" s="131" t="s">
        <v>237</v>
      </c>
      <c r="U72" s="131" t="s">
        <v>237</v>
      </c>
      <c r="V72" s="131" t="s">
        <v>237</v>
      </c>
      <c r="W72" s="131" t="s">
        <v>237</v>
      </c>
      <c r="X72" s="131" t="s">
        <v>237</v>
      </c>
      <c r="Y72" s="131" t="s">
        <v>237</v>
      </c>
      <c r="Z72" s="131" t="s">
        <v>237</v>
      </c>
      <c r="AA72" s="131" t="s">
        <v>237</v>
      </c>
      <c r="AB72" s="131" t="s">
        <v>237</v>
      </c>
      <c r="AC72" s="131" t="s">
        <v>237</v>
      </c>
      <c r="AD72" s="131" t="s">
        <v>237</v>
      </c>
      <c r="AE72" s="131" t="s">
        <v>237</v>
      </c>
      <c r="AF72" s="131" t="s">
        <v>237</v>
      </c>
      <c r="AG72" s="131" t="s">
        <v>237</v>
      </c>
      <c r="AH72" s="47" t="s">
        <v>237</v>
      </c>
    </row>
    <row r="73" spans="2:34" hidden="1" outlineLevel="1">
      <c r="B73" s="87">
        <v>0</v>
      </c>
      <c r="C73" s="253">
        <v>0</v>
      </c>
      <c r="D73" s="51" t="s">
        <v>237</v>
      </c>
      <c r="E73" s="131" t="s">
        <v>237</v>
      </c>
      <c r="F73" s="131" t="s">
        <v>237</v>
      </c>
      <c r="G73" s="131" t="s">
        <v>237</v>
      </c>
      <c r="H73" s="131" t="s">
        <v>237</v>
      </c>
      <c r="I73" s="131" t="s">
        <v>237</v>
      </c>
      <c r="J73" s="131" t="s">
        <v>237</v>
      </c>
      <c r="K73" s="131" t="s">
        <v>237</v>
      </c>
      <c r="L73" s="131" t="s">
        <v>237</v>
      </c>
      <c r="M73" s="131" t="s">
        <v>237</v>
      </c>
      <c r="N73" s="131" t="s">
        <v>237</v>
      </c>
      <c r="O73" s="131" t="s">
        <v>237</v>
      </c>
      <c r="P73" s="131" t="s">
        <v>237</v>
      </c>
      <c r="Q73" s="131" t="s">
        <v>237</v>
      </c>
      <c r="R73" s="131" t="s">
        <v>237</v>
      </c>
      <c r="S73" s="131" t="s">
        <v>237</v>
      </c>
      <c r="T73" s="131" t="s">
        <v>237</v>
      </c>
      <c r="U73" s="131" t="s">
        <v>237</v>
      </c>
      <c r="V73" s="131" t="s">
        <v>237</v>
      </c>
      <c r="W73" s="131" t="s">
        <v>237</v>
      </c>
      <c r="X73" s="131" t="s">
        <v>237</v>
      </c>
      <c r="Y73" s="131" t="s">
        <v>237</v>
      </c>
      <c r="Z73" s="131" t="s">
        <v>237</v>
      </c>
      <c r="AA73" s="131" t="s">
        <v>237</v>
      </c>
      <c r="AB73" s="131" t="s">
        <v>237</v>
      </c>
      <c r="AC73" s="131" t="s">
        <v>237</v>
      </c>
      <c r="AD73" s="131" t="s">
        <v>237</v>
      </c>
      <c r="AE73" s="131" t="s">
        <v>237</v>
      </c>
      <c r="AF73" s="131" t="s">
        <v>237</v>
      </c>
      <c r="AG73" s="131" t="s">
        <v>237</v>
      </c>
      <c r="AH73" s="47" t="s">
        <v>237</v>
      </c>
    </row>
    <row r="74" spans="2:34" hidden="1" outlineLevel="1">
      <c r="B74" s="87">
        <v>0</v>
      </c>
      <c r="C74" s="253">
        <v>0</v>
      </c>
      <c r="D74" s="51" t="s">
        <v>237</v>
      </c>
      <c r="E74" s="131" t="s">
        <v>237</v>
      </c>
      <c r="F74" s="131" t="s">
        <v>237</v>
      </c>
      <c r="G74" s="131" t="s">
        <v>237</v>
      </c>
      <c r="H74" s="131" t="s">
        <v>237</v>
      </c>
      <c r="I74" s="131" t="s">
        <v>237</v>
      </c>
      <c r="J74" s="131" t="s">
        <v>237</v>
      </c>
      <c r="K74" s="131" t="s">
        <v>237</v>
      </c>
      <c r="L74" s="131" t="s">
        <v>237</v>
      </c>
      <c r="M74" s="131" t="s">
        <v>237</v>
      </c>
      <c r="N74" s="131" t="s">
        <v>237</v>
      </c>
      <c r="O74" s="131" t="s">
        <v>237</v>
      </c>
      <c r="P74" s="131" t="s">
        <v>237</v>
      </c>
      <c r="Q74" s="131" t="s">
        <v>237</v>
      </c>
      <c r="R74" s="131" t="s">
        <v>237</v>
      </c>
      <c r="S74" s="131" t="s">
        <v>237</v>
      </c>
      <c r="T74" s="131" t="s">
        <v>237</v>
      </c>
      <c r="U74" s="131" t="s">
        <v>237</v>
      </c>
      <c r="V74" s="131" t="s">
        <v>237</v>
      </c>
      <c r="W74" s="131" t="s">
        <v>237</v>
      </c>
      <c r="X74" s="131" t="s">
        <v>237</v>
      </c>
      <c r="Y74" s="131" t="s">
        <v>237</v>
      </c>
      <c r="Z74" s="131" t="s">
        <v>237</v>
      </c>
      <c r="AA74" s="131" t="s">
        <v>237</v>
      </c>
      <c r="AB74" s="131" t="s">
        <v>237</v>
      </c>
      <c r="AC74" s="131" t="s">
        <v>237</v>
      </c>
      <c r="AD74" s="131" t="s">
        <v>237</v>
      </c>
      <c r="AE74" s="131" t="s">
        <v>237</v>
      </c>
      <c r="AF74" s="131" t="s">
        <v>237</v>
      </c>
      <c r="AG74" s="131" t="s">
        <v>237</v>
      </c>
      <c r="AH74" s="47" t="s">
        <v>237</v>
      </c>
    </row>
    <row r="75" spans="2:34" hidden="1" outlineLevel="1">
      <c r="B75" s="87">
        <v>0</v>
      </c>
      <c r="C75" s="253">
        <v>0</v>
      </c>
      <c r="D75" s="51" t="s">
        <v>237</v>
      </c>
      <c r="E75" s="131" t="s">
        <v>237</v>
      </c>
      <c r="F75" s="131" t="s">
        <v>237</v>
      </c>
      <c r="G75" s="131" t="s">
        <v>237</v>
      </c>
      <c r="H75" s="131" t="s">
        <v>237</v>
      </c>
      <c r="I75" s="131" t="s">
        <v>237</v>
      </c>
      <c r="J75" s="131" t="s">
        <v>237</v>
      </c>
      <c r="K75" s="131" t="s">
        <v>237</v>
      </c>
      <c r="L75" s="131" t="s">
        <v>237</v>
      </c>
      <c r="M75" s="131" t="s">
        <v>237</v>
      </c>
      <c r="N75" s="131" t="s">
        <v>237</v>
      </c>
      <c r="O75" s="131" t="s">
        <v>237</v>
      </c>
      <c r="P75" s="131" t="s">
        <v>237</v>
      </c>
      <c r="Q75" s="131" t="s">
        <v>237</v>
      </c>
      <c r="R75" s="131" t="s">
        <v>237</v>
      </c>
      <c r="S75" s="131" t="s">
        <v>237</v>
      </c>
      <c r="T75" s="131" t="s">
        <v>237</v>
      </c>
      <c r="U75" s="131" t="s">
        <v>237</v>
      </c>
      <c r="V75" s="131" t="s">
        <v>237</v>
      </c>
      <c r="W75" s="131" t="s">
        <v>237</v>
      </c>
      <c r="X75" s="131" t="s">
        <v>237</v>
      </c>
      <c r="Y75" s="131" t="s">
        <v>237</v>
      </c>
      <c r="Z75" s="131" t="s">
        <v>237</v>
      </c>
      <c r="AA75" s="131" t="s">
        <v>237</v>
      </c>
      <c r="AB75" s="131" t="s">
        <v>237</v>
      </c>
      <c r="AC75" s="131" t="s">
        <v>237</v>
      </c>
      <c r="AD75" s="131" t="s">
        <v>237</v>
      </c>
      <c r="AE75" s="131" t="s">
        <v>237</v>
      </c>
      <c r="AF75" s="131" t="s">
        <v>237</v>
      </c>
      <c r="AG75" s="131" t="s">
        <v>237</v>
      </c>
      <c r="AH75" s="47" t="s">
        <v>237</v>
      </c>
    </row>
    <row r="76" spans="2:34" hidden="1" outlineLevel="1">
      <c r="B76" s="87">
        <v>0</v>
      </c>
      <c r="C76" s="253">
        <v>0</v>
      </c>
      <c r="D76" s="51" t="s">
        <v>237</v>
      </c>
      <c r="E76" s="131" t="s">
        <v>237</v>
      </c>
      <c r="F76" s="131" t="s">
        <v>237</v>
      </c>
      <c r="G76" s="131" t="s">
        <v>237</v>
      </c>
      <c r="H76" s="131" t="s">
        <v>237</v>
      </c>
      <c r="I76" s="131" t="s">
        <v>237</v>
      </c>
      <c r="J76" s="131" t="s">
        <v>237</v>
      </c>
      <c r="K76" s="131" t="s">
        <v>237</v>
      </c>
      <c r="L76" s="131" t="s">
        <v>237</v>
      </c>
      <c r="M76" s="131" t="s">
        <v>237</v>
      </c>
      <c r="N76" s="131" t="s">
        <v>237</v>
      </c>
      <c r="O76" s="131" t="s">
        <v>237</v>
      </c>
      <c r="P76" s="131" t="s">
        <v>237</v>
      </c>
      <c r="Q76" s="131" t="s">
        <v>237</v>
      </c>
      <c r="R76" s="131" t="s">
        <v>237</v>
      </c>
      <c r="S76" s="131" t="s">
        <v>237</v>
      </c>
      <c r="T76" s="131" t="s">
        <v>237</v>
      </c>
      <c r="U76" s="131" t="s">
        <v>237</v>
      </c>
      <c r="V76" s="131" t="s">
        <v>237</v>
      </c>
      <c r="W76" s="131" t="s">
        <v>237</v>
      </c>
      <c r="X76" s="131" t="s">
        <v>237</v>
      </c>
      <c r="Y76" s="131" t="s">
        <v>237</v>
      </c>
      <c r="Z76" s="131" t="s">
        <v>237</v>
      </c>
      <c r="AA76" s="131" t="s">
        <v>237</v>
      </c>
      <c r="AB76" s="131" t="s">
        <v>237</v>
      </c>
      <c r="AC76" s="131" t="s">
        <v>237</v>
      </c>
      <c r="AD76" s="131" t="s">
        <v>237</v>
      </c>
      <c r="AE76" s="131" t="s">
        <v>237</v>
      </c>
      <c r="AF76" s="131" t="s">
        <v>237</v>
      </c>
      <c r="AG76" s="131" t="s">
        <v>237</v>
      </c>
      <c r="AH76" s="47" t="s">
        <v>237</v>
      </c>
    </row>
    <row r="77" spans="2:34" hidden="1" outlineLevel="1">
      <c r="B77" s="87">
        <v>0</v>
      </c>
      <c r="C77" s="253">
        <v>0</v>
      </c>
      <c r="D77" s="51" t="s">
        <v>237</v>
      </c>
      <c r="E77" s="131" t="s">
        <v>237</v>
      </c>
      <c r="F77" s="131" t="s">
        <v>237</v>
      </c>
      <c r="G77" s="131" t="s">
        <v>237</v>
      </c>
      <c r="H77" s="131" t="s">
        <v>237</v>
      </c>
      <c r="I77" s="131" t="s">
        <v>237</v>
      </c>
      <c r="J77" s="131" t="s">
        <v>237</v>
      </c>
      <c r="K77" s="131" t="s">
        <v>237</v>
      </c>
      <c r="L77" s="131" t="s">
        <v>237</v>
      </c>
      <c r="M77" s="131" t="s">
        <v>237</v>
      </c>
      <c r="N77" s="131" t="s">
        <v>237</v>
      </c>
      <c r="O77" s="131" t="s">
        <v>237</v>
      </c>
      <c r="P77" s="131" t="s">
        <v>237</v>
      </c>
      <c r="Q77" s="131" t="s">
        <v>237</v>
      </c>
      <c r="R77" s="131" t="s">
        <v>237</v>
      </c>
      <c r="S77" s="131" t="s">
        <v>237</v>
      </c>
      <c r="T77" s="131" t="s">
        <v>237</v>
      </c>
      <c r="U77" s="131" t="s">
        <v>237</v>
      </c>
      <c r="V77" s="131" t="s">
        <v>237</v>
      </c>
      <c r="W77" s="131" t="s">
        <v>237</v>
      </c>
      <c r="X77" s="131" t="s">
        <v>237</v>
      </c>
      <c r="Y77" s="131" t="s">
        <v>237</v>
      </c>
      <c r="Z77" s="131" t="s">
        <v>237</v>
      </c>
      <c r="AA77" s="131" t="s">
        <v>237</v>
      </c>
      <c r="AB77" s="131" t="s">
        <v>237</v>
      </c>
      <c r="AC77" s="131" t="s">
        <v>237</v>
      </c>
      <c r="AD77" s="131" t="s">
        <v>237</v>
      </c>
      <c r="AE77" s="131" t="s">
        <v>237</v>
      </c>
      <c r="AF77" s="131" t="s">
        <v>237</v>
      </c>
      <c r="AG77" s="131" t="s">
        <v>237</v>
      </c>
      <c r="AH77" s="47" t="s">
        <v>237</v>
      </c>
    </row>
    <row r="78" spans="2:34" hidden="1" outlineLevel="1">
      <c r="B78" s="87">
        <v>0</v>
      </c>
      <c r="C78" s="253">
        <v>0</v>
      </c>
      <c r="D78" s="51" t="s">
        <v>237</v>
      </c>
      <c r="E78" s="131" t="s">
        <v>237</v>
      </c>
      <c r="F78" s="131" t="s">
        <v>237</v>
      </c>
      <c r="G78" s="131" t="s">
        <v>237</v>
      </c>
      <c r="H78" s="131" t="s">
        <v>237</v>
      </c>
      <c r="I78" s="131" t="s">
        <v>237</v>
      </c>
      <c r="J78" s="131" t="s">
        <v>237</v>
      </c>
      <c r="K78" s="131" t="s">
        <v>237</v>
      </c>
      <c r="L78" s="131" t="s">
        <v>237</v>
      </c>
      <c r="M78" s="131" t="s">
        <v>237</v>
      </c>
      <c r="N78" s="131" t="s">
        <v>237</v>
      </c>
      <c r="O78" s="131" t="s">
        <v>237</v>
      </c>
      <c r="P78" s="131" t="s">
        <v>237</v>
      </c>
      <c r="Q78" s="131" t="s">
        <v>237</v>
      </c>
      <c r="R78" s="131" t="s">
        <v>237</v>
      </c>
      <c r="S78" s="131" t="s">
        <v>237</v>
      </c>
      <c r="T78" s="131" t="s">
        <v>237</v>
      </c>
      <c r="U78" s="131" t="s">
        <v>237</v>
      </c>
      <c r="V78" s="131" t="s">
        <v>237</v>
      </c>
      <c r="W78" s="131" t="s">
        <v>237</v>
      </c>
      <c r="X78" s="131" t="s">
        <v>237</v>
      </c>
      <c r="Y78" s="131" t="s">
        <v>237</v>
      </c>
      <c r="Z78" s="131" t="s">
        <v>237</v>
      </c>
      <c r="AA78" s="131" t="s">
        <v>237</v>
      </c>
      <c r="AB78" s="131" t="s">
        <v>237</v>
      </c>
      <c r="AC78" s="131" t="s">
        <v>237</v>
      </c>
      <c r="AD78" s="131" t="s">
        <v>237</v>
      </c>
      <c r="AE78" s="131" t="s">
        <v>237</v>
      </c>
      <c r="AF78" s="131" t="s">
        <v>237</v>
      </c>
      <c r="AG78" s="131" t="s">
        <v>237</v>
      </c>
      <c r="AH78" s="47" t="s">
        <v>237</v>
      </c>
    </row>
    <row r="79" spans="2:34" hidden="1" outlineLevel="1">
      <c r="B79" s="87">
        <v>0</v>
      </c>
      <c r="C79" s="253">
        <v>0</v>
      </c>
      <c r="D79" s="51" t="s">
        <v>237</v>
      </c>
      <c r="E79" s="131" t="s">
        <v>237</v>
      </c>
      <c r="F79" s="131" t="s">
        <v>237</v>
      </c>
      <c r="G79" s="131" t="s">
        <v>237</v>
      </c>
      <c r="H79" s="131" t="s">
        <v>237</v>
      </c>
      <c r="I79" s="131" t="s">
        <v>237</v>
      </c>
      <c r="J79" s="131" t="s">
        <v>237</v>
      </c>
      <c r="K79" s="131" t="s">
        <v>237</v>
      </c>
      <c r="L79" s="131" t="s">
        <v>237</v>
      </c>
      <c r="M79" s="131" t="s">
        <v>237</v>
      </c>
      <c r="N79" s="131" t="s">
        <v>237</v>
      </c>
      <c r="O79" s="131" t="s">
        <v>237</v>
      </c>
      <c r="P79" s="131" t="s">
        <v>237</v>
      </c>
      <c r="Q79" s="131" t="s">
        <v>237</v>
      </c>
      <c r="R79" s="131" t="s">
        <v>237</v>
      </c>
      <c r="S79" s="131" t="s">
        <v>237</v>
      </c>
      <c r="T79" s="131" t="s">
        <v>237</v>
      </c>
      <c r="U79" s="131" t="s">
        <v>237</v>
      </c>
      <c r="V79" s="131" t="s">
        <v>237</v>
      </c>
      <c r="W79" s="131" t="s">
        <v>237</v>
      </c>
      <c r="X79" s="131" t="s">
        <v>237</v>
      </c>
      <c r="Y79" s="131" t="s">
        <v>237</v>
      </c>
      <c r="Z79" s="131" t="s">
        <v>237</v>
      </c>
      <c r="AA79" s="131" t="s">
        <v>237</v>
      </c>
      <c r="AB79" s="131" t="s">
        <v>237</v>
      </c>
      <c r="AC79" s="131" t="s">
        <v>237</v>
      </c>
      <c r="AD79" s="131" t="s">
        <v>237</v>
      </c>
      <c r="AE79" s="131" t="s">
        <v>237</v>
      </c>
      <c r="AF79" s="131" t="s">
        <v>237</v>
      </c>
      <c r="AG79" s="131" t="s">
        <v>237</v>
      </c>
      <c r="AH79" s="47" t="s">
        <v>237</v>
      </c>
    </row>
    <row r="80" spans="2:34" hidden="1" outlineLevel="1">
      <c r="B80" s="87">
        <v>0</v>
      </c>
      <c r="C80" s="253">
        <v>0</v>
      </c>
      <c r="D80" s="51" t="s">
        <v>237</v>
      </c>
      <c r="E80" s="131" t="s">
        <v>237</v>
      </c>
      <c r="F80" s="131" t="s">
        <v>237</v>
      </c>
      <c r="G80" s="131" t="s">
        <v>237</v>
      </c>
      <c r="H80" s="131" t="s">
        <v>237</v>
      </c>
      <c r="I80" s="131" t="s">
        <v>237</v>
      </c>
      <c r="J80" s="131" t="s">
        <v>237</v>
      </c>
      <c r="K80" s="131" t="s">
        <v>237</v>
      </c>
      <c r="L80" s="131" t="s">
        <v>237</v>
      </c>
      <c r="M80" s="131" t="s">
        <v>237</v>
      </c>
      <c r="N80" s="131" t="s">
        <v>237</v>
      </c>
      <c r="O80" s="131" t="s">
        <v>237</v>
      </c>
      <c r="P80" s="131" t="s">
        <v>237</v>
      </c>
      <c r="Q80" s="131" t="s">
        <v>237</v>
      </c>
      <c r="R80" s="131" t="s">
        <v>237</v>
      </c>
      <c r="S80" s="131" t="s">
        <v>237</v>
      </c>
      <c r="T80" s="131" t="s">
        <v>237</v>
      </c>
      <c r="U80" s="131" t="s">
        <v>237</v>
      </c>
      <c r="V80" s="131" t="s">
        <v>237</v>
      </c>
      <c r="W80" s="131" t="s">
        <v>237</v>
      </c>
      <c r="X80" s="131" t="s">
        <v>237</v>
      </c>
      <c r="Y80" s="131" t="s">
        <v>237</v>
      </c>
      <c r="Z80" s="131" t="s">
        <v>237</v>
      </c>
      <c r="AA80" s="131" t="s">
        <v>237</v>
      </c>
      <c r="AB80" s="131" t="s">
        <v>237</v>
      </c>
      <c r="AC80" s="131" t="s">
        <v>237</v>
      </c>
      <c r="AD80" s="131" t="s">
        <v>237</v>
      </c>
      <c r="AE80" s="131" t="s">
        <v>237</v>
      </c>
      <c r="AF80" s="131" t="s">
        <v>237</v>
      </c>
      <c r="AG80" s="131" t="s">
        <v>237</v>
      </c>
      <c r="AH80" s="47" t="s">
        <v>237</v>
      </c>
    </row>
    <row r="81" spans="2:34" hidden="1" outlineLevel="1">
      <c r="B81" s="87">
        <v>0</v>
      </c>
      <c r="C81" s="253">
        <v>0</v>
      </c>
      <c r="D81" s="51" t="s">
        <v>237</v>
      </c>
      <c r="E81" s="131" t="s">
        <v>237</v>
      </c>
      <c r="F81" s="131" t="s">
        <v>237</v>
      </c>
      <c r="G81" s="131" t="s">
        <v>237</v>
      </c>
      <c r="H81" s="131" t="s">
        <v>237</v>
      </c>
      <c r="I81" s="131" t="s">
        <v>237</v>
      </c>
      <c r="J81" s="131" t="s">
        <v>237</v>
      </c>
      <c r="K81" s="131" t="s">
        <v>237</v>
      </c>
      <c r="L81" s="131" t="s">
        <v>237</v>
      </c>
      <c r="M81" s="131" t="s">
        <v>237</v>
      </c>
      <c r="N81" s="131" t="s">
        <v>237</v>
      </c>
      <c r="O81" s="131" t="s">
        <v>237</v>
      </c>
      <c r="P81" s="131" t="s">
        <v>237</v>
      </c>
      <c r="Q81" s="131" t="s">
        <v>237</v>
      </c>
      <c r="R81" s="131" t="s">
        <v>237</v>
      </c>
      <c r="S81" s="131" t="s">
        <v>237</v>
      </c>
      <c r="T81" s="131" t="s">
        <v>237</v>
      </c>
      <c r="U81" s="131" t="s">
        <v>237</v>
      </c>
      <c r="V81" s="131" t="s">
        <v>237</v>
      </c>
      <c r="W81" s="131" t="s">
        <v>237</v>
      </c>
      <c r="X81" s="131" t="s">
        <v>237</v>
      </c>
      <c r="Y81" s="131" t="s">
        <v>237</v>
      </c>
      <c r="Z81" s="131" t="s">
        <v>237</v>
      </c>
      <c r="AA81" s="131" t="s">
        <v>237</v>
      </c>
      <c r="AB81" s="131" t="s">
        <v>237</v>
      </c>
      <c r="AC81" s="131" t="s">
        <v>237</v>
      </c>
      <c r="AD81" s="131" t="s">
        <v>237</v>
      </c>
      <c r="AE81" s="131" t="s">
        <v>237</v>
      </c>
      <c r="AF81" s="131" t="s">
        <v>237</v>
      </c>
      <c r="AG81" s="131" t="s">
        <v>237</v>
      </c>
      <c r="AH81" s="47" t="s">
        <v>237</v>
      </c>
    </row>
    <row r="82" spans="2:34" hidden="1" outlineLevel="1">
      <c r="B82" s="87">
        <v>0</v>
      </c>
      <c r="C82" s="253">
        <v>0</v>
      </c>
      <c r="D82" s="51" t="s">
        <v>237</v>
      </c>
      <c r="E82" s="131" t="s">
        <v>237</v>
      </c>
      <c r="F82" s="131" t="s">
        <v>237</v>
      </c>
      <c r="G82" s="131" t="s">
        <v>237</v>
      </c>
      <c r="H82" s="131" t="s">
        <v>237</v>
      </c>
      <c r="I82" s="131" t="s">
        <v>237</v>
      </c>
      <c r="J82" s="131" t="s">
        <v>237</v>
      </c>
      <c r="K82" s="131" t="s">
        <v>237</v>
      </c>
      <c r="L82" s="131" t="s">
        <v>237</v>
      </c>
      <c r="M82" s="131" t="s">
        <v>237</v>
      </c>
      <c r="N82" s="131" t="s">
        <v>237</v>
      </c>
      <c r="O82" s="131" t="s">
        <v>237</v>
      </c>
      <c r="P82" s="131" t="s">
        <v>237</v>
      </c>
      <c r="Q82" s="131" t="s">
        <v>237</v>
      </c>
      <c r="R82" s="131" t="s">
        <v>237</v>
      </c>
      <c r="S82" s="131" t="s">
        <v>237</v>
      </c>
      <c r="T82" s="131" t="s">
        <v>237</v>
      </c>
      <c r="U82" s="131" t="s">
        <v>237</v>
      </c>
      <c r="V82" s="131" t="s">
        <v>237</v>
      </c>
      <c r="W82" s="131" t="s">
        <v>237</v>
      </c>
      <c r="X82" s="131" t="s">
        <v>237</v>
      </c>
      <c r="Y82" s="131" t="s">
        <v>237</v>
      </c>
      <c r="Z82" s="131" t="s">
        <v>237</v>
      </c>
      <c r="AA82" s="131" t="s">
        <v>237</v>
      </c>
      <c r="AB82" s="131" t="s">
        <v>237</v>
      </c>
      <c r="AC82" s="131" t="s">
        <v>237</v>
      </c>
      <c r="AD82" s="131" t="s">
        <v>237</v>
      </c>
      <c r="AE82" s="131" t="s">
        <v>237</v>
      </c>
      <c r="AF82" s="131" t="s">
        <v>237</v>
      </c>
      <c r="AG82" s="131" t="s">
        <v>237</v>
      </c>
      <c r="AH82" s="47" t="s">
        <v>237</v>
      </c>
    </row>
    <row r="83" spans="2:34" hidden="1" outlineLevel="1">
      <c r="B83" s="87">
        <v>0</v>
      </c>
      <c r="C83" s="253">
        <v>0</v>
      </c>
      <c r="D83" s="51" t="s">
        <v>237</v>
      </c>
      <c r="E83" s="131" t="s">
        <v>237</v>
      </c>
      <c r="F83" s="131" t="s">
        <v>237</v>
      </c>
      <c r="G83" s="131" t="s">
        <v>237</v>
      </c>
      <c r="H83" s="131" t="s">
        <v>237</v>
      </c>
      <c r="I83" s="131" t="s">
        <v>237</v>
      </c>
      <c r="J83" s="131" t="s">
        <v>237</v>
      </c>
      <c r="K83" s="131" t="s">
        <v>237</v>
      </c>
      <c r="L83" s="131" t="s">
        <v>237</v>
      </c>
      <c r="M83" s="131" t="s">
        <v>237</v>
      </c>
      <c r="N83" s="131" t="s">
        <v>237</v>
      </c>
      <c r="O83" s="131" t="s">
        <v>237</v>
      </c>
      <c r="P83" s="131" t="s">
        <v>237</v>
      </c>
      <c r="Q83" s="131" t="s">
        <v>237</v>
      </c>
      <c r="R83" s="131" t="s">
        <v>237</v>
      </c>
      <c r="S83" s="131" t="s">
        <v>237</v>
      </c>
      <c r="T83" s="131" t="s">
        <v>237</v>
      </c>
      <c r="U83" s="131" t="s">
        <v>237</v>
      </c>
      <c r="V83" s="131" t="s">
        <v>237</v>
      </c>
      <c r="W83" s="131" t="s">
        <v>237</v>
      </c>
      <c r="X83" s="131" t="s">
        <v>237</v>
      </c>
      <c r="Y83" s="131" t="s">
        <v>237</v>
      </c>
      <c r="Z83" s="131" t="s">
        <v>237</v>
      </c>
      <c r="AA83" s="131" t="s">
        <v>237</v>
      </c>
      <c r="AB83" s="131" t="s">
        <v>237</v>
      </c>
      <c r="AC83" s="131" t="s">
        <v>237</v>
      </c>
      <c r="AD83" s="131" t="s">
        <v>237</v>
      </c>
      <c r="AE83" s="131" t="s">
        <v>237</v>
      </c>
      <c r="AF83" s="131" t="s">
        <v>237</v>
      </c>
      <c r="AG83" s="131" t="s">
        <v>237</v>
      </c>
      <c r="AH83" s="47" t="s">
        <v>237</v>
      </c>
    </row>
    <row r="84" spans="2:34" hidden="1" outlineLevel="1">
      <c r="B84" s="87">
        <v>0</v>
      </c>
      <c r="C84" s="253">
        <v>0</v>
      </c>
      <c r="D84" s="51" t="s">
        <v>237</v>
      </c>
      <c r="E84" s="131" t="s">
        <v>237</v>
      </c>
      <c r="F84" s="131" t="s">
        <v>237</v>
      </c>
      <c r="G84" s="131" t="s">
        <v>237</v>
      </c>
      <c r="H84" s="131" t="s">
        <v>237</v>
      </c>
      <c r="I84" s="131" t="s">
        <v>237</v>
      </c>
      <c r="J84" s="131" t="s">
        <v>237</v>
      </c>
      <c r="K84" s="131" t="s">
        <v>237</v>
      </c>
      <c r="L84" s="131" t="s">
        <v>237</v>
      </c>
      <c r="M84" s="131" t="s">
        <v>237</v>
      </c>
      <c r="N84" s="131" t="s">
        <v>237</v>
      </c>
      <c r="O84" s="131" t="s">
        <v>237</v>
      </c>
      <c r="P84" s="131" t="s">
        <v>237</v>
      </c>
      <c r="Q84" s="131" t="s">
        <v>237</v>
      </c>
      <c r="R84" s="131" t="s">
        <v>237</v>
      </c>
      <c r="S84" s="131" t="s">
        <v>237</v>
      </c>
      <c r="T84" s="131" t="s">
        <v>237</v>
      </c>
      <c r="U84" s="131" t="s">
        <v>237</v>
      </c>
      <c r="V84" s="131" t="s">
        <v>237</v>
      </c>
      <c r="W84" s="131" t="s">
        <v>237</v>
      </c>
      <c r="X84" s="131" t="s">
        <v>237</v>
      </c>
      <c r="Y84" s="131" t="s">
        <v>237</v>
      </c>
      <c r="Z84" s="131" t="s">
        <v>237</v>
      </c>
      <c r="AA84" s="131" t="s">
        <v>237</v>
      </c>
      <c r="AB84" s="131" t="s">
        <v>237</v>
      </c>
      <c r="AC84" s="131" t="s">
        <v>237</v>
      </c>
      <c r="AD84" s="131" t="s">
        <v>237</v>
      </c>
      <c r="AE84" s="131" t="s">
        <v>237</v>
      </c>
      <c r="AF84" s="131" t="s">
        <v>237</v>
      </c>
      <c r="AG84" s="131" t="s">
        <v>237</v>
      </c>
      <c r="AH84" s="47" t="s">
        <v>237</v>
      </c>
    </row>
    <row r="85" spans="2:34" hidden="1" outlineLevel="1">
      <c r="B85" s="87">
        <v>0</v>
      </c>
      <c r="C85" s="253">
        <v>0</v>
      </c>
      <c r="D85" s="51" t="s">
        <v>237</v>
      </c>
      <c r="E85" s="131" t="s">
        <v>237</v>
      </c>
      <c r="F85" s="131" t="s">
        <v>237</v>
      </c>
      <c r="G85" s="131" t="s">
        <v>237</v>
      </c>
      <c r="H85" s="131" t="s">
        <v>237</v>
      </c>
      <c r="I85" s="131" t="s">
        <v>237</v>
      </c>
      <c r="J85" s="131" t="s">
        <v>237</v>
      </c>
      <c r="K85" s="131" t="s">
        <v>237</v>
      </c>
      <c r="L85" s="131" t="s">
        <v>237</v>
      </c>
      <c r="M85" s="131" t="s">
        <v>237</v>
      </c>
      <c r="N85" s="131" t="s">
        <v>237</v>
      </c>
      <c r="O85" s="131" t="s">
        <v>237</v>
      </c>
      <c r="P85" s="131" t="s">
        <v>237</v>
      </c>
      <c r="Q85" s="131" t="s">
        <v>237</v>
      </c>
      <c r="R85" s="131" t="s">
        <v>237</v>
      </c>
      <c r="S85" s="131" t="s">
        <v>237</v>
      </c>
      <c r="T85" s="131" t="s">
        <v>237</v>
      </c>
      <c r="U85" s="131" t="s">
        <v>237</v>
      </c>
      <c r="V85" s="131" t="s">
        <v>237</v>
      </c>
      <c r="W85" s="131" t="s">
        <v>237</v>
      </c>
      <c r="X85" s="131" t="s">
        <v>237</v>
      </c>
      <c r="Y85" s="131" t="s">
        <v>237</v>
      </c>
      <c r="Z85" s="131" t="s">
        <v>237</v>
      </c>
      <c r="AA85" s="131" t="s">
        <v>237</v>
      </c>
      <c r="AB85" s="131" t="s">
        <v>237</v>
      </c>
      <c r="AC85" s="131" t="s">
        <v>237</v>
      </c>
      <c r="AD85" s="131" t="s">
        <v>237</v>
      </c>
      <c r="AE85" s="131" t="s">
        <v>237</v>
      </c>
      <c r="AF85" s="131" t="s">
        <v>237</v>
      </c>
      <c r="AG85" s="131" t="s">
        <v>237</v>
      </c>
      <c r="AH85" s="47" t="s">
        <v>237</v>
      </c>
    </row>
    <row r="86" spans="2:34" hidden="1" outlineLevel="1">
      <c r="B86" s="87">
        <v>0</v>
      </c>
      <c r="C86" s="253">
        <v>0</v>
      </c>
      <c r="D86" s="51" t="s">
        <v>237</v>
      </c>
      <c r="E86" s="131" t="s">
        <v>237</v>
      </c>
      <c r="F86" s="131" t="s">
        <v>237</v>
      </c>
      <c r="G86" s="131" t="s">
        <v>237</v>
      </c>
      <c r="H86" s="131" t="s">
        <v>237</v>
      </c>
      <c r="I86" s="131" t="s">
        <v>237</v>
      </c>
      <c r="J86" s="131" t="s">
        <v>237</v>
      </c>
      <c r="K86" s="131" t="s">
        <v>237</v>
      </c>
      <c r="L86" s="131" t="s">
        <v>237</v>
      </c>
      <c r="M86" s="131" t="s">
        <v>237</v>
      </c>
      <c r="N86" s="131" t="s">
        <v>237</v>
      </c>
      <c r="O86" s="131" t="s">
        <v>237</v>
      </c>
      <c r="P86" s="131" t="s">
        <v>237</v>
      </c>
      <c r="Q86" s="131" t="s">
        <v>237</v>
      </c>
      <c r="R86" s="131" t="s">
        <v>237</v>
      </c>
      <c r="S86" s="131" t="s">
        <v>237</v>
      </c>
      <c r="T86" s="131" t="s">
        <v>237</v>
      </c>
      <c r="U86" s="131" t="s">
        <v>237</v>
      </c>
      <c r="V86" s="131" t="s">
        <v>237</v>
      </c>
      <c r="W86" s="131" t="s">
        <v>237</v>
      </c>
      <c r="X86" s="131" t="s">
        <v>237</v>
      </c>
      <c r="Y86" s="131" t="s">
        <v>237</v>
      </c>
      <c r="Z86" s="131" t="s">
        <v>237</v>
      </c>
      <c r="AA86" s="131" t="s">
        <v>237</v>
      </c>
      <c r="AB86" s="131" t="s">
        <v>237</v>
      </c>
      <c r="AC86" s="131" t="s">
        <v>237</v>
      </c>
      <c r="AD86" s="131" t="s">
        <v>237</v>
      </c>
      <c r="AE86" s="131" t="s">
        <v>237</v>
      </c>
      <c r="AF86" s="131" t="s">
        <v>237</v>
      </c>
      <c r="AG86" s="131" t="s">
        <v>237</v>
      </c>
      <c r="AH86" s="47" t="s">
        <v>237</v>
      </c>
    </row>
    <row r="87" spans="2:34" hidden="1" outlineLevel="1">
      <c r="B87" s="87">
        <v>0</v>
      </c>
      <c r="C87" s="253">
        <v>0</v>
      </c>
      <c r="D87" s="51" t="s">
        <v>237</v>
      </c>
      <c r="E87" s="131" t="s">
        <v>237</v>
      </c>
      <c r="F87" s="131" t="s">
        <v>237</v>
      </c>
      <c r="G87" s="131" t="s">
        <v>237</v>
      </c>
      <c r="H87" s="131" t="s">
        <v>237</v>
      </c>
      <c r="I87" s="131" t="s">
        <v>237</v>
      </c>
      <c r="J87" s="131" t="s">
        <v>237</v>
      </c>
      <c r="K87" s="131" t="s">
        <v>237</v>
      </c>
      <c r="L87" s="131" t="s">
        <v>237</v>
      </c>
      <c r="M87" s="131" t="s">
        <v>237</v>
      </c>
      <c r="N87" s="131" t="s">
        <v>237</v>
      </c>
      <c r="O87" s="131" t="s">
        <v>237</v>
      </c>
      <c r="P87" s="131" t="s">
        <v>237</v>
      </c>
      <c r="Q87" s="131" t="s">
        <v>237</v>
      </c>
      <c r="R87" s="131" t="s">
        <v>237</v>
      </c>
      <c r="S87" s="131" t="s">
        <v>237</v>
      </c>
      <c r="T87" s="131" t="s">
        <v>237</v>
      </c>
      <c r="U87" s="131" t="s">
        <v>237</v>
      </c>
      <c r="V87" s="131" t="s">
        <v>237</v>
      </c>
      <c r="W87" s="131" t="s">
        <v>237</v>
      </c>
      <c r="X87" s="131" t="s">
        <v>237</v>
      </c>
      <c r="Y87" s="131" t="s">
        <v>237</v>
      </c>
      <c r="Z87" s="131" t="s">
        <v>237</v>
      </c>
      <c r="AA87" s="131" t="s">
        <v>237</v>
      </c>
      <c r="AB87" s="131" t="s">
        <v>237</v>
      </c>
      <c r="AC87" s="131" t="s">
        <v>237</v>
      </c>
      <c r="AD87" s="131" t="s">
        <v>237</v>
      </c>
      <c r="AE87" s="131" t="s">
        <v>237</v>
      </c>
      <c r="AF87" s="131" t="s">
        <v>237</v>
      </c>
      <c r="AG87" s="131" t="s">
        <v>237</v>
      </c>
      <c r="AH87" s="47" t="s">
        <v>237</v>
      </c>
    </row>
    <row r="88" spans="2:34" hidden="1" outlineLevel="1">
      <c r="B88" s="87">
        <v>0</v>
      </c>
      <c r="C88" s="253">
        <v>0</v>
      </c>
      <c r="D88" s="51" t="s">
        <v>237</v>
      </c>
      <c r="E88" s="131" t="s">
        <v>237</v>
      </c>
      <c r="F88" s="131" t="s">
        <v>237</v>
      </c>
      <c r="G88" s="131" t="s">
        <v>237</v>
      </c>
      <c r="H88" s="131" t="s">
        <v>237</v>
      </c>
      <c r="I88" s="131" t="s">
        <v>237</v>
      </c>
      <c r="J88" s="131" t="s">
        <v>237</v>
      </c>
      <c r="K88" s="131" t="s">
        <v>237</v>
      </c>
      <c r="L88" s="131" t="s">
        <v>237</v>
      </c>
      <c r="M88" s="131" t="s">
        <v>237</v>
      </c>
      <c r="N88" s="131" t="s">
        <v>237</v>
      </c>
      <c r="O88" s="131" t="s">
        <v>237</v>
      </c>
      <c r="P88" s="131" t="s">
        <v>237</v>
      </c>
      <c r="Q88" s="131" t="s">
        <v>237</v>
      </c>
      <c r="R88" s="131" t="s">
        <v>237</v>
      </c>
      <c r="S88" s="131" t="s">
        <v>237</v>
      </c>
      <c r="T88" s="131" t="s">
        <v>237</v>
      </c>
      <c r="U88" s="131" t="s">
        <v>237</v>
      </c>
      <c r="V88" s="131" t="s">
        <v>237</v>
      </c>
      <c r="W88" s="131" t="s">
        <v>237</v>
      </c>
      <c r="X88" s="131" t="s">
        <v>237</v>
      </c>
      <c r="Y88" s="131" t="s">
        <v>237</v>
      </c>
      <c r="Z88" s="131" t="s">
        <v>237</v>
      </c>
      <c r="AA88" s="131" t="s">
        <v>237</v>
      </c>
      <c r="AB88" s="131" t="s">
        <v>237</v>
      </c>
      <c r="AC88" s="131" t="s">
        <v>237</v>
      </c>
      <c r="AD88" s="131" t="s">
        <v>237</v>
      </c>
      <c r="AE88" s="131" t="s">
        <v>237</v>
      </c>
      <c r="AF88" s="131" t="s">
        <v>237</v>
      </c>
      <c r="AG88" s="131" t="s">
        <v>237</v>
      </c>
      <c r="AH88" s="47" t="s">
        <v>237</v>
      </c>
    </row>
    <row r="89" spans="2:34" hidden="1" outlineLevel="1">
      <c r="B89" s="87">
        <v>0</v>
      </c>
      <c r="C89" s="253">
        <v>0</v>
      </c>
      <c r="D89" s="51" t="s">
        <v>237</v>
      </c>
      <c r="E89" s="131" t="s">
        <v>237</v>
      </c>
      <c r="F89" s="131" t="s">
        <v>237</v>
      </c>
      <c r="G89" s="131" t="s">
        <v>237</v>
      </c>
      <c r="H89" s="131" t="s">
        <v>237</v>
      </c>
      <c r="I89" s="131" t="s">
        <v>237</v>
      </c>
      <c r="J89" s="131" t="s">
        <v>237</v>
      </c>
      <c r="K89" s="131" t="s">
        <v>237</v>
      </c>
      <c r="L89" s="131" t="s">
        <v>237</v>
      </c>
      <c r="M89" s="131" t="s">
        <v>237</v>
      </c>
      <c r="N89" s="131" t="s">
        <v>237</v>
      </c>
      <c r="O89" s="131" t="s">
        <v>237</v>
      </c>
      <c r="P89" s="131" t="s">
        <v>237</v>
      </c>
      <c r="Q89" s="131" t="s">
        <v>237</v>
      </c>
      <c r="R89" s="131" t="s">
        <v>237</v>
      </c>
      <c r="S89" s="131" t="s">
        <v>237</v>
      </c>
      <c r="T89" s="131" t="s">
        <v>237</v>
      </c>
      <c r="U89" s="131" t="s">
        <v>237</v>
      </c>
      <c r="V89" s="131" t="s">
        <v>237</v>
      </c>
      <c r="W89" s="131" t="s">
        <v>237</v>
      </c>
      <c r="X89" s="131" t="s">
        <v>237</v>
      </c>
      <c r="Y89" s="131" t="s">
        <v>237</v>
      </c>
      <c r="Z89" s="131" t="s">
        <v>237</v>
      </c>
      <c r="AA89" s="131" t="s">
        <v>237</v>
      </c>
      <c r="AB89" s="131" t="s">
        <v>237</v>
      </c>
      <c r="AC89" s="131" t="s">
        <v>237</v>
      </c>
      <c r="AD89" s="131" t="s">
        <v>237</v>
      </c>
      <c r="AE89" s="131" t="s">
        <v>237</v>
      </c>
      <c r="AF89" s="131" t="s">
        <v>237</v>
      </c>
      <c r="AG89" s="131" t="s">
        <v>237</v>
      </c>
      <c r="AH89" s="47" t="s">
        <v>237</v>
      </c>
    </row>
    <row r="90" spans="2:34" hidden="1" outlineLevel="1">
      <c r="B90" s="87">
        <v>0</v>
      </c>
      <c r="C90" s="253">
        <v>0</v>
      </c>
      <c r="D90" s="51" t="s">
        <v>237</v>
      </c>
      <c r="E90" s="131" t="s">
        <v>237</v>
      </c>
      <c r="F90" s="131" t="s">
        <v>237</v>
      </c>
      <c r="G90" s="131" t="s">
        <v>237</v>
      </c>
      <c r="H90" s="131" t="s">
        <v>237</v>
      </c>
      <c r="I90" s="131" t="s">
        <v>237</v>
      </c>
      <c r="J90" s="131" t="s">
        <v>237</v>
      </c>
      <c r="K90" s="131" t="s">
        <v>237</v>
      </c>
      <c r="L90" s="131" t="s">
        <v>237</v>
      </c>
      <c r="M90" s="131" t="s">
        <v>237</v>
      </c>
      <c r="N90" s="131" t="s">
        <v>237</v>
      </c>
      <c r="O90" s="131" t="s">
        <v>237</v>
      </c>
      <c r="P90" s="131" t="s">
        <v>237</v>
      </c>
      <c r="Q90" s="131" t="s">
        <v>237</v>
      </c>
      <c r="R90" s="131" t="s">
        <v>237</v>
      </c>
      <c r="S90" s="131" t="s">
        <v>237</v>
      </c>
      <c r="T90" s="131" t="s">
        <v>237</v>
      </c>
      <c r="U90" s="131" t="s">
        <v>237</v>
      </c>
      <c r="V90" s="131" t="s">
        <v>237</v>
      </c>
      <c r="W90" s="131" t="s">
        <v>237</v>
      </c>
      <c r="X90" s="131" t="s">
        <v>237</v>
      </c>
      <c r="Y90" s="131" t="s">
        <v>237</v>
      </c>
      <c r="Z90" s="131" t="s">
        <v>237</v>
      </c>
      <c r="AA90" s="131" t="s">
        <v>237</v>
      </c>
      <c r="AB90" s="131" t="s">
        <v>237</v>
      </c>
      <c r="AC90" s="131" t="s">
        <v>237</v>
      </c>
      <c r="AD90" s="131" t="s">
        <v>237</v>
      </c>
      <c r="AE90" s="131" t="s">
        <v>237</v>
      </c>
      <c r="AF90" s="131" t="s">
        <v>237</v>
      </c>
      <c r="AG90" s="131" t="s">
        <v>237</v>
      </c>
      <c r="AH90" s="47" t="s">
        <v>237</v>
      </c>
    </row>
    <row r="91" spans="2:34" hidden="1" outlineLevel="1">
      <c r="B91" s="87">
        <v>0</v>
      </c>
      <c r="C91" s="253">
        <v>0</v>
      </c>
      <c r="D91" s="51" t="s">
        <v>237</v>
      </c>
      <c r="E91" s="131" t="s">
        <v>237</v>
      </c>
      <c r="F91" s="131" t="s">
        <v>237</v>
      </c>
      <c r="G91" s="131" t="s">
        <v>237</v>
      </c>
      <c r="H91" s="131" t="s">
        <v>237</v>
      </c>
      <c r="I91" s="131" t="s">
        <v>237</v>
      </c>
      <c r="J91" s="131" t="s">
        <v>237</v>
      </c>
      <c r="K91" s="131" t="s">
        <v>237</v>
      </c>
      <c r="L91" s="131" t="s">
        <v>237</v>
      </c>
      <c r="M91" s="131" t="s">
        <v>237</v>
      </c>
      <c r="N91" s="131" t="s">
        <v>237</v>
      </c>
      <c r="O91" s="131" t="s">
        <v>237</v>
      </c>
      <c r="P91" s="131" t="s">
        <v>237</v>
      </c>
      <c r="Q91" s="131" t="s">
        <v>237</v>
      </c>
      <c r="R91" s="131" t="s">
        <v>237</v>
      </c>
      <c r="S91" s="131" t="s">
        <v>237</v>
      </c>
      <c r="T91" s="131" t="s">
        <v>237</v>
      </c>
      <c r="U91" s="131" t="s">
        <v>237</v>
      </c>
      <c r="V91" s="131" t="s">
        <v>237</v>
      </c>
      <c r="W91" s="131" t="s">
        <v>237</v>
      </c>
      <c r="X91" s="131" t="s">
        <v>237</v>
      </c>
      <c r="Y91" s="131" t="s">
        <v>237</v>
      </c>
      <c r="Z91" s="131" t="s">
        <v>237</v>
      </c>
      <c r="AA91" s="131" t="s">
        <v>237</v>
      </c>
      <c r="AB91" s="131" t="s">
        <v>237</v>
      </c>
      <c r="AC91" s="131" t="s">
        <v>237</v>
      </c>
      <c r="AD91" s="131" t="s">
        <v>237</v>
      </c>
      <c r="AE91" s="131" t="s">
        <v>237</v>
      </c>
      <c r="AF91" s="131" t="s">
        <v>237</v>
      </c>
      <c r="AG91" s="131" t="s">
        <v>237</v>
      </c>
      <c r="AH91" s="47" t="s">
        <v>237</v>
      </c>
    </row>
    <row r="92" spans="2:34" hidden="1" outlineLevel="1">
      <c r="B92" s="87">
        <v>0</v>
      </c>
      <c r="C92" s="253">
        <v>0</v>
      </c>
      <c r="D92" s="51" t="s">
        <v>237</v>
      </c>
      <c r="E92" s="131" t="s">
        <v>237</v>
      </c>
      <c r="F92" s="131" t="s">
        <v>237</v>
      </c>
      <c r="G92" s="131" t="s">
        <v>237</v>
      </c>
      <c r="H92" s="131" t="s">
        <v>237</v>
      </c>
      <c r="I92" s="131" t="s">
        <v>237</v>
      </c>
      <c r="J92" s="131" t="s">
        <v>237</v>
      </c>
      <c r="K92" s="131" t="s">
        <v>237</v>
      </c>
      <c r="L92" s="131" t="s">
        <v>237</v>
      </c>
      <c r="M92" s="131" t="s">
        <v>237</v>
      </c>
      <c r="N92" s="131" t="s">
        <v>237</v>
      </c>
      <c r="O92" s="131" t="s">
        <v>237</v>
      </c>
      <c r="P92" s="131" t="s">
        <v>237</v>
      </c>
      <c r="Q92" s="131" t="s">
        <v>237</v>
      </c>
      <c r="R92" s="131" t="s">
        <v>237</v>
      </c>
      <c r="S92" s="131" t="s">
        <v>237</v>
      </c>
      <c r="T92" s="131" t="s">
        <v>237</v>
      </c>
      <c r="U92" s="131" t="s">
        <v>237</v>
      </c>
      <c r="V92" s="131" t="s">
        <v>237</v>
      </c>
      <c r="W92" s="131" t="s">
        <v>237</v>
      </c>
      <c r="X92" s="131" t="s">
        <v>237</v>
      </c>
      <c r="Y92" s="131" t="s">
        <v>237</v>
      </c>
      <c r="Z92" s="131" t="s">
        <v>237</v>
      </c>
      <c r="AA92" s="131" t="s">
        <v>237</v>
      </c>
      <c r="AB92" s="131" t="s">
        <v>237</v>
      </c>
      <c r="AC92" s="131" t="s">
        <v>237</v>
      </c>
      <c r="AD92" s="131" t="s">
        <v>237</v>
      </c>
      <c r="AE92" s="131" t="s">
        <v>237</v>
      </c>
      <c r="AF92" s="131" t="s">
        <v>237</v>
      </c>
      <c r="AG92" s="131" t="s">
        <v>237</v>
      </c>
      <c r="AH92" s="47" t="s">
        <v>237</v>
      </c>
    </row>
    <row r="93" spans="2:34" hidden="1" outlineLevel="1">
      <c r="B93" s="87">
        <v>0</v>
      </c>
      <c r="C93" s="253">
        <v>0</v>
      </c>
      <c r="D93" s="51" t="s">
        <v>237</v>
      </c>
      <c r="E93" s="131" t="s">
        <v>237</v>
      </c>
      <c r="F93" s="131" t="s">
        <v>237</v>
      </c>
      <c r="G93" s="131" t="s">
        <v>237</v>
      </c>
      <c r="H93" s="131" t="s">
        <v>237</v>
      </c>
      <c r="I93" s="131" t="s">
        <v>237</v>
      </c>
      <c r="J93" s="131" t="s">
        <v>237</v>
      </c>
      <c r="K93" s="131" t="s">
        <v>237</v>
      </c>
      <c r="L93" s="131" t="s">
        <v>237</v>
      </c>
      <c r="M93" s="131" t="s">
        <v>237</v>
      </c>
      <c r="N93" s="131" t="s">
        <v>237</v>
      </c>
      <c r="O93" s="131" t="s">
        <v>237</v>
      </c>
      <c r="P93" s="131" t="s">
        <v>237</v>
      </c>
      <c r="Q93" s="131" t="s">
        <v>237</v>
      </c>
      <c r="R93" s="131" t="s">
        <v>237</v>
      </c>
      <c r="S93" s="131" t="s">
        <v>237</v>
      </c>
      <c r="T93" s="131" t="s">
        <v>237</v>
      </c>
      <c r="U93" s="131" t="s">
        <v>237</v>
      </c>
      <c r="V93" s="131" t="s">
        <v>237</v>
      </c>
      <c r="W93" s="131" t="s">
        <v>237</v>
      </c>
      <c r="X93" s="131" t="s">
        <v>237</v>
      </c>
      <c r="Y93" s="131" t="s">
        <v>237</v>
      </c>
      <c r="Z93" s="131" t="s">
        <v>237</v>
      </c>
      <c r="AA93" s="131" t="s">
        <v>237</v>
      </c>
      <c r="AB93" s="131" t="s">
        <v>237</v>
      </c>
      <c r="AC93" s="131" t="s">
        <v>237</v>
      </c>
      <c r="AD93" s="131" t="s">
        <v>237</v>
      </c>
      <c r="AE93" s="131" t="s">
        <v>237</v>
      </c>
      <c r="AF93" s="131" t="s">
        <v>237</v>
      </c>
      <c r="AG93" s="131" t="s">
        <v>237</v>
      </c>
      <c r="AH93" s="47" t="s">
        <v>237</v>
      </c>
    </row>
    <row r="94" spans="2:34" hidden="1" outlineLevel="1">
      <c r="B94" s="87">
        <v>0</v>
      </c>
      <c r="C94" s="253">
        <v>0</v>
      </c>
      <c r="D94" s="51" t="s">
        <v>237</v>
      </c>
      <c r="E94" s="131" t="s">
        <v>237</v>
      </c>
      <c r="F94" s="131" t="s">
        <v>237</v>
      </c>
      <c r="G94" s="131" t="s">
        <v>237</v>
      </c>
      <c r="H94" s="131" t="s">
        <v>237</v>
      </c>
      <c r="I94" s="131" t="s">
        <v>237</v>
      </c>
      <c r="J94" s="131" t="s">
        <v>237</v>
      </c>
      <c r="K94" s="131" t="s">
        <v>237</v>
      </c>
      <c r="L94" s="131" t="s">
        <v>237</v>
      </c>
      <c r="M94" s="131" t="s">
        <v>237</v>
      </c>
      <c r="N94" s="131" t="s">
        <v>237</v>
      </c>
      <c r="O94" s="131" t="s">
        <v>237</v>
      </c>
      <c r="P94" s="131" t="s">
        <v>237</v>
      </c>
      <c r="Q94" s="131" t="s">
        <v>237</v>
      </c>
      <c r="R94" s="131" t="s">
        <v>237</v>
      </c>
      <c r="S94" s="131" t="s">
        <v>237</v>
      </c>
      <c r="T94" s="131" t="s">
        <v>237</v>
      </c>
      <c r="U94" s="131" t="s">
        <v>237</v>
      </c>
      <c r="V94" s="131" t="s">
        <v>237</v>
      </c>
      <c r="W94" s="131" t="s">
        <v>237</v>
      </c>
      <c r="X94" s="131" t="s">
        <v>237</v>
      </c>
      <c r="Y94" s="131" t="s">
        <v>237</v>
      </c>
      <c r="Z94" s="131" t="s">
        <v>237</v>
      </c>
      <c r="AA94" s="131" t="s">
        <v>237</v>
      </c>
      <c r="AB94" s="131" t="s">
        <v>237</v>
      </c>
      <c r="AC94" s="131" t="s">
        <v>237</v>
      </c>
      <c r="AD94" s="131" t="s">
        <v>237</v>
      </c>
      <c r="AE94" s="131" t="s">
        <v>237</v>
      </c>
      <c r="AF94" s="131" t="s">
        <v>237</v>
      </c>
      <c r="AG94" s="131" t="s">
        <v>237</v>
      </c>
      <c r="AH94" s="47" t="s">
        <v>237</v>
      </c>
    </row>
    <row r="95" spans="2:34" hidden="1" outlineLevel="1">
      <c r="B95" s="87">
        <v>0</v>
      </c>
      <c r="C95" s="253">
        <v>0</v>
      </c>
      <c r="D95" s="51" t="s">
        <v>237</v>
      </c>
      <c r="E95" s="131" t="s">
        <v>237</v>
      </c>
      <c r="F95" s="131" t="s">
        <v>237</v>
      </c>
      <c r="G95" s="131" t="s">
        <v>237</v>
      </c>
      <c r="H95" s="131" t="s">
        <v>237</v>
      </c>
      <c r="I95" s="131" t="s">
        <v>237</v>
      </c>
      <c r="J95" s="131" t="s">
        <v>237</v>
      </c>
      <c r="K95" s="131" t="s">
        <v>237</v>
      </c>
      <c r="L95" s="131" t="s">
        <v>237</v>
      </c>
      <c r="M95" s="131" t="s">
        <v>237</v>
      </c>
      <c r="N95" s="131" t="s">
        <v>237</v>
      </c>
      <c r="O95" s="131" t="s">
        <v>237</v>
      </c>
      <c r="P95" s="131" t="s">
        <v>237</v>
      </c>
      <c r="Q95" s="131" t="s">
        <v>237</v>
      </c>
      <c r="R95" s="131" t="s">
        <v>237</v>
      </c>
      <c r="S95" s="131" t="s">
        <v>237</v>
      </c>
      <c r="T95" s="131" t="s">
        <v>237</v>
      </c>
      <c r="U95" s="131" t="s">
        <v>237</v>
      </c>
      <c r="V95" s="131" t="s">
        <v>237</v>
      </c>
      <c r="W95" s="131" t="s">
        <v>237</v>
      </c>
      <c r="X95" s="131" t="s">
        <v>237</v>
      </c>
      <c r="Y95" s="131" t="s">
        <v>237</v>
      </c>
      <c r="Z95" s="131" t="s">
        <v>237</v>
      </c>
      <c r="AA95" s="131" t="s">
        <v>237</v>
      </c>
      <c r="AB95" s="131" t="s">
        <v>237</v>
      </c>
      <c r="AC95" s="131" t="s">
        <v>237</v>
      </c>
      <c r="AD95" s="131" t="s">
        <v>237</v>
      </c>
      <c r="AE95" s="131" t="s">
        <v>237</v>
      </c>
      <c r="AF95" s="131" t="s">
        <v>237</v>
      </c>
      <c r="AG95" s="131" t="s">
        <v>237</v>
      </c>
      <c r="AH95" s="47" t="s">
        <v>237</v>
      </c>
    </row>
    <row r="96" spans="2:34" hidden="1" outlineLevel="1">
      <c r="B96" s="87">
        <v>0</v>
      </c>
      <c r="C96" s="253">
        <v>0</v>
      </c>
      <c r="D96" s="51" t="s">
        <v>237</v>
      </c>
      <c r="E96" s="131" t="s">
        <v>237</v>
      </c>
      <c r="F96" s="131" t="s">
        <v>237</v>
      </c>
      <c r="G96" s="131" t="s">
        <v>237</v>
      </c>
      <c r="H96" s="131" t="s">
        <v>237</v>
      </c>
      <c r="I96" s="131" t="s">
        <v>237</v>
      </c>
      <c r="J96" s="131" t="s">
        <v>237</v>
      </c>
      <c r="K96" s="131" t="s">
        <v>237</v>
      </c>
      <c r="L96" s="131" t="s">
        <v>237</v>
      </c>
      <c r="M96" s="131" t="s">
        <v>237</v>
      </c>
      <c r="N96" s="131" t="s">
        <v>237</v>
      </c>
      <c r="O96" s="131" t="s">
        <v>237</v>
      </c>
      <c r="P96" s="131" t="s">
        <v>237</v>
      </c>
      <c r="Q96" s="131" t="s">
        <v>237</v>
      </c>
      <c r="R96" s="131" t="s">
        <v>237</v>
      </c>
      <c r="S96" s="131" t="s">
        <v>237</v>
      </c>
      <c r="T96" s="131" t="s">
        <v>237</v>
      </c>
      <c r="U96" s="131" t="s">
        <v>237</v>
      </c>
      <c r="V96" s="131" t="s">
        <v>237</v>
      </c>
      <c r="W96" s="131" t="s">
        <v>237</v>
      </c>
      <c r="X96" s="131" t="s">
        <v>237</v>
      </c>
      <c r="Y96" s="131" t="s">
        <v>237</v>
      </c>
      <c r="Z96" s="131" t="s">
        <v>237</v>
      </c>
      <c r="AA96" s="131" t="s">
        <v>237</v>
      </c>
      <c r="AB96" s="131" t="s">
        <v>237</v>
      </c>
      <c r="AC96" s="131" t="s">
        <v>237</v>
      </c>
      <c r="AD96" s="131" t="s">
        <v>237</v>
      </c>
      <c r="AE96" s="131" t="s">
        <v>237</v>
      </c>
      <c r="AF96" s="131" t="s">
        <v>237</v>
      </c>
      <c r="AG96" s="131" t="s">
        <v>237</v>
      </c>
      <c r="AH96" s="47" t="s">
        <v>237</v>
      </c>
    </row>
    <row r="97" spans="2:34" hidden="1" outlineLevel="1">
      <c r="B97" s="87">
        <v>0</v>
      </c>
      <c r="C97" s="253">
        <v>0</v>
      </c>
      <c r="D97" s="51" t="s">
        <v>237</v>
      </c>
      <c r="E97" s="131" t="s">
        <v>237</v>
      </c>
      <c r="F97" s="131" t="s">
        <v>237</v>
      </c>
      <c r="G97" s="131" t="s">
        <v>237</v>
      </c>
      <c r="H97" s="131" t="s">
        <v>237</v>
      </c>
      <c r="I97" s="131" t="s">
        <v>237</v>
      </c>
      <c r="J97" s="131" t="s">
        <v>237</v>
      </c>
      <c r="K97" s="131" t="s">
        <v>237</v>
      </c>
      <c r="L97" s="131" t="s">
        <v>237</v>
      </c>
      <c r="M97" s="131" t="s">
        <v>237</v>
      </c>
      <c r="N97" s="131" t="s">
        <v>237</v>
      </c>
      <c r="O97" s="131" t="s">
        <v>237</v>
      </c>
      <c r="P97" s="131" t="s">
        <v>237</v>
      </c>
      <c r="Q97" s="131" t="s">
        <v>237</v>
      </c>
      <c r="R97" s="131" t="s">
        <v>237</v>
      </c>
      <c r="S97" s="131" t="s">
        <v>237</v>
      </c>
      <c r="T97" s="131" t="s">
        <v>237</v>
      </c>
      <c r="U97" s="131" t="s">
        <v>237</v>
      </c>
      <c r="V97" s="131" t="s">
        <v>237</v>
      </c>
      <c r="W97" s="131" t="s">
        <v>237</v>
      </c>
      <c r="X97" s="131" t="s">
        <v>237</v>
      </c>
      <c r="Y97" s="131" t="s">
        <v>237</v>
      </c>
      <c r="Z97" s="131" t="s">
        <v>237</v>
      </c>
      <c r="AA97" s="131" t="s">
        <v>237</v>
      </c>
      <c r="AB97" s="131" t="s">
        <v>237</v>
      </c>
      <c r="AC97" s="131" t="s">
        <v>237</v>
      </c>
      <c r="AD97" s="131" t="s">
        <v>237</v>
      </c>
      <c r="AE97" s="131" t="s">
        <v>237</v>
      </c>
      <c r="AF97" s="131" t="s">
        <v>237</v>
      </c>
      <c r="AG97" s="131" t="s">
        <v>237</v>
      </c>
      <c r="AH97" s="47" t="s">
        <v>237</v>
      </c>
    </row>
    <row r="98" spans="2:34" hidden="1" outlineLevel="1">
      <c r="B98" s="87">
        <v>0</v>
      </c>
      <c r="C98" s="253">
        <v>0</v>
      </c>
      <c r="D98" s="51" t="s">
        <v>237</v>
      </c>
      <c r="E98" s="131" t="s">
        <v>237</v>
      </c>
      <c r="F98" s="131" t="s">
        <v>237</v>
      </c>
      <c r="G98" s="131" t="s">
        <v>237</v>
      </c>
      <c r="H98" s="131" t="s">
        <v>237</v>
      </c>
      <c r="I98" s="131" t="s">
        <v>237</v>
      </c>
      <c r="J98" s="131" t="s">
        <v>237</v>
      </c>
      <c r="K98" s="131" t="s">
        <v>237</v>
      </c>
      <c r="L98" s="131" t="s">
        <v>237</v>
      </c>
      <c r="M98" s="131" t="s">
        <v>237</v>
      </c>
      <c r="N98" s="131" t="s">
        <v>237</v>
      </c>
      <c r="O98" s="131" t="s">
        <v>237</v>
      </c>
      <c r="P98" s="131" t="s">
        <v>237</v>
      </c>
      <c r="Q98" s="131" t="s">
        <v>237</v>
      </c>
      <c r="R98" s="131" t="s">
        <v>237</v>
      </c>
      <c r="S98" s="131" t="s">
        <v>237</v>
      </c>
      <c r="T98" s="131" t="s">
        <v>237</v>
      </c>
      <c r="U98" s="131" t="s">
        <v>237</v>
      </c>
      <c r="V98" s="131" t="s">
        <v>237</v>
      </c>
      <c r="W98" s="131" t="s">
        <v>237</v>
      </c>
      <c r="X98" s="131" t="s">
        <v>237</v>
      </c>
      <c r="Y98" s="131" t="s">
        <v>237</v>
      </c>
      <c r="Z98" s="131" t="s">
        <v>237</v>
      </c>
      <c r="AA98" s="131" t="s">
        <v>237</v>
      </c>
      <c r="AB98" s="131" t="s">
        <v>237</v>
      </c>
      <c r="AC98" s="131" t="s">
        <v>237</v>
      </c>
      <c r="AD98" s="131" t="s">
        <v>237</v>
      </c>
      <c r="AE98" s="131" t="s">
        <v>237</v>
      </c>
      <c r="AF98" s="131" t="s">
        <v>237</v>
      </c>
      <c r="AG98" s="131" t="s">
        <v>237</v>
      </c>
      <c r="AH98" s="47" t="s">
        <v>237</v>
      </c>
    </row>
    <row r="99" spans="2:34" ht="15" hidden="1" outlineLevel="1" thickBot="1">
      <c r="B99" s="91">
        <v>0</v>
      </c>
      <c r="C99" s="254">
        <v>0</v>
      </c>
      <c r="D99" s="140" t="s">
        <v>237</v>
      </c>
      <c r="E99" s="141" t="s">
        <v>237</v>
      </c>
      <c r="F99" s="141" t="s">
        <v>237</v>
      </c>
      <c r="G99" s="141" t="s">
        <v>237</v>
      </c>
      <c r="H99" s="141" t="s">
        <v>237</v>
      </c>
      <c r="I99" s="141" t="s">
        <v>237</v>
      </c>
      <c r="J99" s="141" t="s">
        <v>237</v>
      </c>
      <c r="K99" s="141" t="s">
        <v>237</v>
      </c>
      <c r="L99" s="141" t="s">
        <v>237</v>
      </c>
      <c r="M99" s="141" t="s">
        <v>237</v>
      </c>
      <c r="N99" s="141" t="s">
        <v>237</v>
      </c>
      <c r="O99" s="141" t="s">
        <v>237</v>
      </c>
      <c r="P99" s="141" t="s">
        <v>237</v>
      </c>
      <c r="Q99" s="141" t="s">
        <v>237</v>
      </c>
      <c r="R99" s="141" t="s">
        <v>237</v>
      </c>
      <c r="S99" s="141" t="s">
        <v>237</v>
      </c>
      <c r="T99" s="141" t="s">
        <v>237</v>
      </c>
      <c r="U99" s="141" t="s">
        <v>237</v>
      </c>
      <c r="V99" s="141" t="s">
        <v>237</v>
      </c>
      <c r="W99" s="141" t="s">
        <v>237</v>
      </c>
      <c r="X99" s="141" t="s">
        <v>237</v>
      </c>
      <c r="Y99" s="141" t="s">
        <v>237</v>
      </c>
      <c r="Z99" s="141" t="s">
        <v>237</v>
      </c>
      <c r="AA99" s="141" t="s">
        <v>237</v>
      </c>
      <c r="AB99" s="141" t="s">
        <v>237</v>
      </c>
      <c r="AC99" s="141" t="s">
        <v>237</v>
      </c>
      <c r="AD99" s="141" t="s">
        <v>237</v>
      </c>
      <c r="AE99" s="141" t="s">
        <v>237</v>
      </c>
      <c r="AF99" s="141" t="s">
        <v>237</v>
      </c>
      <c r="AG99" s="141" t="s">
        <v>237</v>
      </c>
      <c r="AH99" s="142" t="s">
        <v>237</v>
      </c>
    </row>
    <row r="100" spans="2:34" hidden="1" outlineLevel="1">
      <c r="B100" s="143">
        <v>0</v>
      </c>
      <c r="C100" s="255">
        <v>0</v>
      </c>
      <c r="D100" s="49" t="s">
        <v>237</v>
      </c>
      <c r="E100" s="130" t="s">
        <v>237</v>
      </c>
      <c r="F100" s="130" t="s">
        <v>237</v>
      </c>
      <c r="G100" s="130" t="s">
        <v>237</v>
      </c>
      <c r="H100" s="130" t="s">
        <v>237</v>
      </c>
      <c r="I100" s="130" t="s">
        <v>237</v>
      </c>
      <c r="J100" s="130" t="s">
        <v>237</v>
      </c>
      <c r="K100" s="130" t="s">
        <v>237</v>
      </c>
      <c r="L100" s="130" t="s">
        <v>237</v>
      </c>
      <c r="M100" s="130" t="s">
        <v>237</v>
      </c>
      <c r="N100" s="130" t="s">
        <v>237</v>
      </c>
      <c r="O100" s="130" t="s">
        <v>237</v>
      </c>
      <c r="P100" s="130" t="s">
        <v>237</v>
      </c>
      <c r="Q100" s="130" t="s">
        <v>237</v>
      </c>
      <c r="R100" s="130" t="s">
        <v>237</v>
      </c>
      <c r="S100" s="130" t="s">
        <v>237</v>
      </c>
      <c r="T100" s="130" t="s">
        <v>237</v>
      </c>
      <c r="U100" s="130" t="s">
        <v>237</v>
      </c>
      <c r="V100" s="130" t="s">
        <v>237</v>
      </c>
      <c r="W100" s="130" t="s">
        <v>237</v>
      </c>
      <c r="X100" s="130" t="s">
        <v>237</v>
      </c>
      <c r="Y100" s="130" t="s">
        <v>237</v>
      </c>
      <c r="Z100" s="130" t="s">
        <v>237</v>
      </c>
      <c r="AA100" s="130" t="s">
        <v>237</v>
      </c>
      <c r="AB100" s="130" t="s">
        <v>237</v>
      </c>
      <c r="AC100" s="130" t="s">
        <v>237</v>
      </c>
      <c r="AD100" s="130" t="s">
        <v>237</v>
      </c>
      <c r="AE100" s="130" t="s">
        <v>237</v>
      </c>
      <c r="AF100" s="130" t="s">
        <v>237</v>
      </c>
      <c r="AG100" s="130" t="s">
        <v>237</v>
      </c>
      <c r="AH100" s="130" t="s">
        <v>237</v>
      </c>
    </row>
    <row r="101" spans="2:34" hidden="1" outlineLevel="1">
      <c r="B101" s="87">
        <v>0</v>
      </c>
      <c r="C101" s="253">
        <v>0</v>
      </c>
      <c r="D101" s="51" t="s">
        <v>237</v>
      </c>
      <c r="E101" s="131" t="s">
        <v>237</v>
      </c>
      <c r="F101" s="131" t="s">
        <v>237</v>
      </c>
      <c r="G101" s="131" t="s">
        <v>237</v>
      </c>
      <c r="H101" s="131" t="s">
        <v>237</v>
      </c>
      <c r="I101" s="131" t="s">
        <v>237</v>
      </c>
      <c r="J101" s="131" t="s">
        <v>237</v>
      </c>
      <c r="K101" s="131" t="s">
        <v>237</v>
      </c>
      <c r="L101" s="131" t="s">
        <v>237</v>
      </c>
      <c r="M101" s="131" t="s">
        <v>237</v>
      </c>
      <c r="N101" s="131" t="s">
        <v>237</v>
      </c>
      <c r="O101" s="131" t="s">
        <v>237</v>
      </c>
      <c r="P101" s="131" t="s">
        <v>237</v>
      </c>
      <c r="Q101" s="131" t="s">
        <v>237</v>
      </c>
      <c r="R101" s="131" t="s">
        <v>237</v>
      </c>
      <c r="S101" s="131" t="s">
        <v>237</v>
      </c>
      <c r="T101" s="131" t="s">
        <v>237</v>
      </c>
      <c r="U101" s="131" t="s">
        <v>237</v>
      </c>
      <c r="V101" s="131" t="s">
        <v>237</v>
      </c>
      <c r="W101" s="131" t="s">
        <v>237</v>
      </c>
      <c r="X101" s="131" t="s">
        <v>237</v>
      </c>
      <c r="Y101" s="131" t="s">
        <v>237</v>
      </c>
      <c r="Z101" s="131" t="s">
        <v>237</v>
      </c>
      <c r="AA101" s="131" t="s">
        <v>237</v>
      </c>
      <c r="AB101" s="131" t="s">
        <v>237</v>
      </c>
      <c r="AC101" s="131" t="s">
        <v>237</v>
      </c>
      <c r="AD101" s="131" t="s">
        <v>237</v>
      </c>
      <c r="AE101" s="131" t="s">
        <v>237</v>
      </c>
      <c r="AF101" s="131" t="s">
        <v>237</v>
      </c>
      <c r="AG101" s="131" t="s">
        <v>237</v>
      </c>
      <c r="AH101" s="131" t="s">
        <v>237</v>
      </c>
    </row>
    <row r="102" spans="2:34" hidden="1" outlineLevel="1">
      <c r="B102" s="87">
        <v>0</v>
      </c>
      <c r="C102" s="253">
        <v>0</v>
      </c>
      <c r="D102" s="51" t="s">
        <v>237</v>
      </c>
      <c r="E102" s="131" t="s">
        <v>237</v>
      </c>
      <c r="F102" s="131" t="s">
        <v>237</v>
      </c>
      <c r="G102" s="131" t="s">
        <v>237</v>
      </c>
      <c r="H102" s="131" t="s">
        <v>237</v>
      </c>
      <c r="I102" s="131" t="s">
        <v>237</v>
      </c>
      <c r="J102" s="131" t="s">
        <v>237</v>
      </c>
      <c r="K102" s="131" t="s">
        <v>237</v>
      </c>
      <c r="L102" s="131" t="s">
        <v>237</v>
      </c>
      <c r="M102" s="131" t="s">
        <v>237</v>
      </c>
      <c r="N102" s="131" t="s">
        <v>237</v>
      </c>
      <c r="O102" s="131" t="s">
        <v>237</v>
      </c>
      <c r="P102" s="131" t="s">
        <v>237</v>
      </c>
      <c r="Q102" s="131" t="s">
        <v>237</v>
      </c>
      <c r="R102" s="131" t="s">
        <v>237</v>
      </c>
      <c r="S102" s="131" t="s">
        <v>237</v>
      </c>
      <c r="T102" s="131" t="s">
        <v>237</v>
      </c>
      <c r="U102" s="131" t="s">
        <v>237</v>
      </c>
      <c r="V102" s="131" t="s">
        <v>237</v>
      </c>
      <c r="W102" s="131" t="s">
        <v>237</v>
      </c>
      <c r="X102" s="131" t="s">
        <v>237</v>
      </c>
      <c r="Y102" s="131" t="s">
        <v>237</v>
      </c>
      <c r="Z102" s="131" t="s">
        <v>237</v>
      </c>
      <c r="AA102" s="131" t="s">
        <v>237</v>
      </c>
      <c r="AB102" s="131" t="s">
        <v>237</v>
      </c>
      <c r="AC102" s="131" t="s">
        <v>237</v>
      </c>
      <c r="AD102" s="131" t="s">
        <v>237</v>
      </c>
      <c r="AE102" s="131" t="s">
        <v>237</v>
      </c>
      <c r="AF102" s="131" t="s">
        <v>237</v>
      </c>
      <c r="AG102" s="131" t="s">
        <v>237</v>
      </c>
      <c r="AH102" s="131" t="s">
        <v>237</v>
      </c>
    </row>
    <row r="103" spans="2:34" hidden="1" outlineLevel="1">
      <c r="B103" s="87">
        <v>0</v>
      </c>
      <c r="C103" s="253">
        <v>0</v>
      </c>
      <c r="D103" s="51" t="s">
        <v>237</v>
      </c>
      <c r="E103" s="131" t="s">
        <v>237</v>
      </c>
      <c r="F103" s="131" t="s">
        <v>237</v>
      </c>
      <c r="G103" s="131" t="s">
        <v>237</v>
      </c>
      <c r="H103" s="131" t="s">
        <v>237</v>
      </c>
      <c r="I103" s="131" t="s">
        <v>237</v>
      </c>
      <c r="J103" s="131" t="s">
        <v>237</v>
      </c>
      <c r="K103" s="131" t="s">
        <v>237</v>
      </c>
      <c r="L103" s="131" t="s">
        <v>237</v>
      </c>
      <c r="M103" s="131" t="s">
        <v>237</v>
      </c>
      <c r="N103" s="131" t="s">
        <v>237</v>
      </c>
      <c r="O103" s="131" t="s">
        <v>237</v>
      </c>
      <c r="P103" s="131" t="s">
        <v>237</v>
      </c>
      <c r="Q103" s="131" t="s">
        <v>237</v>
      </c>
      <c r="R103" s="131" t="s">
        <v>237</v>
      </c>
      <c r="S103" s="131" t="s">
        <v>237</v>
      </c>
      <c r="T103" s="131" t="s">
        <v>237</v>
      </c>
      <c r="U103" s="131" t="s">
        <v>237</v>
      </c>
      <c r="V103" s="131" t="s">
        <v>237</v>
      </c>
      <c r="W103" s="131" t="s">
        <v>237</v>
      </c>
      <c r="X103" s="131" t="s">
        <v>237</v>
      </c>
      <c r="Y103" s="131" t="s">
        <v>237</v>
      </c>
      <c r="Z103" s="131" t="s">
        <v>237</v>
      </c>
      <c r="AA103" s="131" t="s">
        <v>237</v>
      </c>
      <c r="AB103" s="131" t="s">
        <v>237</v>
      </c>
      <c r="AC103" s="131" t="s">
        <v>237</v>
      </c>
      <c r="AD103" s="131" t="s">
        <v>237</v>
      </c>
      <c r="AE103" s="131" t="s">
        <v>237</v>
      </c>
      <c r="AF103" s="131" t="s">
        <v>237</v>
      </c>
      <c r="AG103" s="131" t="s">
        <v>237</v>
      </c>
      <c r="AH103" s="131" t="s">
        <v>237</v>
      </c>
    </row>
    <row r="104" spans="2:34" hidden="1" outlineLevel="1">
      <c r="B104" s="87">
        <v>0</v>
      </c>
      <c r="C104" s="253">
        <v>0</v>
      </c>
      <c r="D104" s="51" t="s">
        <v>237</v>
      </c>
      <c r="E104" s="131" t="s">
        <v>237</v>
      </c>
      <c r="F104" s="131" t="s">
        <v>237</v>
      </c>
      <c r="G104" s="131" t="s">
        <v>237</v>
      </c>
      <c r="H104" s="131" t="s">
        <v>237</v>
      </c>
      <c r="I104" s="131" t="s">
        <v>237</v>
      </c>
      <c r="J104" s="131" t="s">
        <v>237</v>
      </c>
      <c r="K104" s="131" t="s">
        <v>237</v>
      </c>
      <c r="L104" s="131" t="s">
        <v>237</v>
      </c>
      <c r="M104" s="131" t="s">
        <v>237</v>
      </c>
      <c r="N104" s="131" t="s">
        <v>237</v>
      </c>
      <c r="O104" s="131" t="s">
        <v>237</v>
      </c>
      <c r="P104" s="131" t="s">
        <v>237</v>
      </c>
      <c r="Q104" s="131" t="s">
        <v>237</v>
      </c>
      <c r="R104" s="131" t="s">
        <v>237</v>
      </c>
      <c r="S104" s="131" t="s">
        <v>237</v>
      </c>
      <c r="T104" s="131" t="s">
        <v>237</v>
      </c>
      <c r="U104" s="131" t="s">
        <v>237</v>
      </c>
      <c r="V104" s="131" t="s">
        <v>237</v>
      </c>
      <c r="W104" s="131" t="s">
        <v>237</v>
      </c>
      <c r="X104" s="131" t="s">
        <v>237</v>
      </c>
      <c r="Y104" s="131" t="s">
        <v>237</v>
      </c>
      <c r="Z104" s="131" t="s">
        <v>237</v>
      </c>
      <c r="AA104" s="131" t="s">
        <v>237</v>
      </c>
      <c r="AB104" s="131" t="s">
        <v>237</v>
      </c>
      <c r="AC104" s="131" t="s">
        <v>237</v>
      </c>
      <c r="AD104" s="131" t="s">
        <v>237</v>
      </c>
      <c r="AE104" s="131" t="s">
        <v>237</v>
      </c>
      <c r="AF104" s="131" t="s">
        <v>237</v>
      </c>
      <c r="AG104" s="131" t="s">
        <v>237</v>
      </c>
      <c r="AH104" s="131" t="s">
        <v>237</v>
      </c>
    </row>
    <row r="105" spans="2:34" hidden="1" outlineLevel="1">
      <c r="B105" s="87">
        <v>0</v>
      </c>
      <c r="C105" s="253">
        <v>0</v>
      </c>
      <c r="D105" s="51" t="s">
        <v>237</v>
      </c>
      <c r="E105" s="131" t="s">
        <v>237</v>
      </c>
      <c r="F105" s="131" t="s">
        <v>237</v>
      </c>
      <c r="G105" s="131" t="s">
        <v>237</v>
      </c>
      <c r="H105" s="131" t="s">
        <v>237</v>
      </c>
      <c r="I105" s="131" t="s">
        <v>237</v>
      </c>
      <c r="J105" s="131" t="s">
        <v>237</v>
      </c>
      <c r="K105" s="131" t="s">
        <v>237</v>
      </c>
      <c r="L105" s="131" t="s">
        <v>237</v>
      </c>
      <c r="M105" s="131" t="s">
        <v>237</v>
      </c>
      <c r="N105" s="131" t="s">
        <v>237</v>
      </c>
      <c r="O105" s="131" t="s">
        <v>237</v>
      </c>
      <c r="P105" s="131" t="s">
        <v>237</v>
      </c>
      <c r="Q105" s="131" t="s">
        <v>237</v>
      </c>
      <c r="R105" s="131" t="s">
        <v>237</v>
      </c>
      <c r="S105" s="131" t="s">
        <v>237</v>
      </c>
      <c r="T105" s="131" t="s">
        <v>237</v>
      </c>
      <c r="U105" s="131" t="s">
        <v>237</v>
      </c>
      <c r="V105" s="131" t="s">
        <v>237</v>
      </c>
      <c r="W105" s="131" t="s">
        <v>237</v>
      </c>
      <c r="X105" s="131" t="s">
        <v>237</v>
      </c>
      <c r="Y105" s="131" t="s">
        <v>237</v>
      </c>
      <c r="Z105" s="131" t="s">
        <v>237</v>
      </c>
      <c r="AA105" s="131" t="s">
        <v>237</v>
      </c>
      <c r="AB105" s="131" t="s">
        <v>237</v>
      </c>
      <c r="AC105" s="131" t="s">
        <v>237</v>
      </c>
      <c r="AD105" s="131" t="s">
        <v>237</v>
      </c>
      <c r="AE105" s="131" t="s">
        <v>237</v>
      </c>
      <c r="AF105" s="131" t="s">
        <v>237</v>
      </c>
      <c r="AG105" s="131" t="s">
        <v>237</v>
      </c>
      <c r="AH105" s="131" t="s">
        <v>237</v>
      </c>
    </row>
    <row r="106" spans="2:34" hidden="1" outlineLevel="1">
      <c r="B106" s="87">
        <v>0</v>
      </c>
      <c r="C106" s="253">
        <v>0</v>
      </c>
      <c r="D106" s="51" t="s">
        <v>237</v>
      </c>
      <c r="E106" s="131" t="s">
        <v>237</v>
      </c>
      <c r="F106" s="131" t="s">
        <v>237</v>
      </c>
      <c r="G106" s="131" t="s">
        <v>237</v>
      </c>
      <c r="H106" s="131" t="s">
        <v>237</v>
      </c>
      <c r="I106" s="131" t="s">
        <v>237</v>
      </c>
      <c r="J106" s="131" t="s">
        <v>237</v>
      </c>
      <c r="K106" s="131" t="s">
        <v>237</v>
      </c>
      <c r="L106" s="131" t="s">
        <v>237</v>
      </c>
      <c r="M106" s="131" t="s">
        <v>237</v>
      </c>
      <c r="N106" s="131" t="s">
        <v>237</v>
      </c>
      <c r="O106" s="131" t="s">
        <v>237</v>
      </c>
      <c r="P106" s="131" t="s">
        <v>237</v>
      </c>
      <c r="Q106" s="131" t="s">
        <v>237</v>
      </c>
      <c r="R106" s="131" t="s">
        <v>237</v>
      </c>
      <c r="S106" s="131" t="s">
        <v>237</v>
      </c>
      <c r="T106" s="131" t="s">
        <v>237</v>
      </c>
      <c r="U106" s="131" t="s">
        <v>237</v>
      </c>
      <c r="V106" s="131" t="s">
        <v>237</v>
      </c>
      <c r="W106" s="131" t="s">
        <v>237</v>
      </c>
      <c r="X106" s="131" t="s">
        <v>237</v>
      </c>
      <c r="Y106" s="131" t="s">
        <v>237</v>
      </c>
      <c r="Z106" s="131" t="s">
        <v>237</v>
      </c>
      <c r="AA106" s="131" t="s">
        <v>237</v>
      </c>
      <c r="AB106" s="131" t="s">
        <v>237</v>
      </c>
      <c r="AC106" s="131" t="s">
        <v>237</v>
      </c>
      <c r="AD106" s="131" t="s">
        <v>237</v>
      </c>
      <c r="AE106" s="131" t="s">
        <v>237</v>
      </c>
      <c r="AF106" s="131" t="s">
        <v>237</v>
      </c>
      <c r="AG106" s="131" t="s">
        <v>237</v>
      </c>
      <c r="AH106" s="131" t="s">
        <v>237</v>
      </c>
    </row>
    <row r="107" spans="2:34" ht="15" hidden="1" outlineLevel="1" thickBot="1">
      <c r="B107" s="3"/>
      <c r="D107" s="51"/>
    </row>
    <row r="108" spans="2:34" ht="43.8" hidden="1" outlineLevel="1" thickBot="1">
      <c r="B108" s="127" t="str">
        <f t="shared" ref="B108:AH108" si="1">B48</f>
        <v>ISO country code</v>
      </c>
      <c r="C108" s="136" t="str">
        <f t="shared" si="1"/>
        <v>Average default rate</v>
      </c>
      <c r="D108" s="135">
        <f t="shared" si="1"/>
        <v>1994</v>
      </c>
      <c r="E108" s="128">
        <f t="shared" si="1"/>
        <v>1995</v>
      </c>
      <c r="F108" s="128">
        <f t="shared" si="1"/>
        <v>1996</v>
      </c>
      <c r="G108" s="128">
        <f t="shared" si="1"/>
        <v>1997</v>
      </c>
      <c r="H108" s="128">
        <f t="shared" si="1"/>
        <v>1998</v>
      </c>
      <c r="I108" s="128">
        <f t="shared" si="1"/>
        <v>1999</v>
      </c>
      <c r="J108" s="128">
        <f t="shared" si="1"/>
        <v>2000</v>
      </c>
      <c r="K108" s="128">
        <f t="shared" si="1"/>
        <v>2001</v>
      </c>
      <c r="L108" s="128">
        <f t="shared" si="1"/>
        <v>2002</v>
      </c>
      <c r="M108" s="128">
        <f t="shared" si="1"/>
        <v>2003</v>
      </c>
      <c r="N108" s="128">
        <f t="shared" si="1"/>
        <v>2004</v>
      </c>
      <c r="O108" s="128">
        <f t="shared" si="1"/>
        <v>2005</v>
      </c>
      <c r="P108" s="128">
        <f t="shared" si="1"/>
        <v>2006</v>
      </c>
      <c r="Q108" s="128">
        <f t="shared" si="1"/>
        <v>2007</v>
      </c>
      <c r="R108" s="128">
        <f t="shared" si="1"/>
        <v>2008</v>
      </c>
      <c r="S108" s="128">
        <f t="shared" si="1"/>
        <v>2009</v>
      </c>
      <c r="T108" s="128">
        <f t="shared" si="1"/>
        <v>2010</v>
      </c>
      <c r="U108" s="128">
        <f t="shared" si="1"/>
        <v>2011</v>
      </c>
      <c r="V108" s="128">
        <f t="shared" si="1"/>
        <v>2012</v>
      </c>
      <c r="W108" s="128">
        <f t="shared" si="1"/>
        <v>2013</v>
      </c>
      <c r="X108" s="128">
        <f t="shared" si="1"/>
        <v>2014</v>
      </c>
      <c r="Y108" s="128">
        <f t="shared" si="1"/>
        <v>2015</v>
      </c>
      <c r="Z108" s="128">
        <f t="shared" si="1"/>
        <v>2016</v>
      </c>
      <c r="AA108" s="128">
        <f t="shared" si="1"/>
        <v>2017</v>
      </c>
      <c r="AB108" s="128">
        <f t="shared" si="1"/>
        <v>2018</v>
      </c>
      <c r="AC108" s="128">
        <f t="shared" si="1"/>
        <v>2019</v>
      </c>
      <c r="AD108" s="128">
        <f t="shared" si="1"/>
        <v>2020</v>
      </c>
      <c r="AE108" s="128">
        <f t="shared" si="1"/>
        <v>2021</v>
      </c>
      <c r="AF108" s="128">
        <f t="shared" si="1"/>
        <v>2022</v>
      </c>
      <c r="AG108" s="128">
        <f t="shared" si="1"/>
        <v>2023</v>
      </c>
      <c r="AH108" s="129">
        <f t="shared" si="1"/>
        <v>2024</v>
      </c>
    </row>
    <row r="109" spans="2:34" hidden="1" outlineLevel="1">
      <c r="B109" s="87">
        <v>0</v>
      </c>
      <c r="C109" s="133">
        <v>0</v>
      </c>
      <c r="D109" s="51" t="s">
        <v>237</v>
      </c>
      <c r="E109" s="131" t="s">
        <v>237</v>
      </c>
      <c r="F109" s="131" t="s">
        <v>237</v>
      </c>
      <c r="G109" s="131" t="s">
        <v>237</v>
      </c>
      <c r="H109" s="131" t="s">
        <v>237</v>
      </c>
      <c r="I109" s="131" t="s">
        <v>237</v>
      </c>
      <c r="J109" s="131" t="s">
        <v>237</v>
      </c>
      <c r="K109" s="131" t="s">
        <v>237</v>
      </c>
      <c r="L109" s="131" t="s">
        <v>237</v>
      </c>
      <c r="M109" s="131" t="s">
        <v>237</v>
      </c>
      <c r="N109" s="131" t="s">
        <v>237</v>
      </c>
      <c r="O109" s="131" t="s">
        <v>237</v>
      </c>
      <c r="P109" s="131" t="s">
        <v>237</v>
      </c>
      <c r="Q109" s="131" t="s">
        <v>237</v>
      </c>
      <c r="R109" s="131" t="s">
        <v>237</v>
      </c>
      <c r="S109" s="131" t="s">
        <v>237</v>
      </c>
      <c r="T109" s="131" t="s">
        <v>237</v>
      </c>
      <c r="U109" s="131" t="s">
        <v>237</v>
      </c>
      <c r="V109" s="131" t="s">
        <v>237</v>
      </c>
      <c r="W109" s="131" t="s">
        <v>237</v>
      </c>
      <c r="X109" s="131" t="s">
        <v>237</v>
      </c>
      <c r="Y109" s="131" t="s">
        <v>237</v>
      </c>
      <c r="Z109" s="131" t="s">
        <v>237</v>
      </c>
      <c r="AA109" s="131" t="s">
        <v>237</v>
      </c>
      <c r="AB109" s="131" t="s">
        <v>237</v>
      </c>
      <c r="AC109" s="131" t="s">
        <v>237</v>
      </c>
      <c r="AD109" s="131" t="s">
        <v>237</v>
      </c>
      <c r="AE109" s="131" t="s">
        <v>237</v>
      </c>
      <c r="AF109" s="131" t="s">
        <v>237</v>
      </c>
      <c r="AG109" s="131" t="s">
        <v>237</v>
      </c>
      <c r="AH109" s="131" t="s">
        <v>237</v>
      </c>
    </row>
    <row r="110" spans="2:34" hidden="1" outlineLevel="1">
      <c r="B110" s="87">
        <v>0</v>
      </c>
      <c r="C110" s="133">
        <v>0</v>
      </c>
      <c r="D110" s="51" t="s">
        <v>237</v>
      </c>
      <c r="E110" s="131" t="s">
        <v>237</v>
      </c>
      <c r="F110" s="131" t="s">
        <v>237</v>
      </c>
      <c r="G110" s="131" t="s">
        <v>237</v>
      </c>
      <c r="H110" s="131" t="s">
        <v>237</v>
      </c>
      <c r="I110" s="131" t="s">
        <v>237</v>
      </c>
      <c r="J110" s="131" t="s">
        <v>237</v>
      </c>
      <c r="K110" s="131" t="s">
        <v>237</v>
      </c>
      <c r="L110" s="131" t="s">
        <v>237</v>
      </c>
      <c r="M110" s="131" t="s">
        <v>237</v>
      </c>
      <c r="N110" s="131" t="s">
        <v>237</v>
      </c>
      <c r="O110" s="131" t="s">
        <v>237</v>
      </c>
      <c r="P110" s="131" t="s">
        <v>237</v>
      </c>
      <c r="Q110" s="131" t="s">
        <v>237</v>
      </c>
      <c r="R110" s="131" t="s">
        <v>237</v>
      </c>
      <c r="S110" s="131" t="s">
        <v>237</v>
      </c>
      <c r="T110" s="131" t="s">
        <v>237</v>
      </c>
      <c r="U110" s="131" t="s">
        <v>237</v>
      </c>
      <c r="V110" s="131" t="s">
        <v>237</v>
      </c>
      <c r="W110" s="131" t="s">
        <v>237</v>
      </c>
      <c r="X110" s="131" t="s">
        <v>237</v>
      </c>
      <c r="Y110" s="131" t="s">
        <v>237</v>
      </c>
      <c r="Z110" s="131" t="s">
        <v>237</v>
      </c>
      <c r="AA110" s="131" t="s">
        <v>237</v>
      </c>
      <c r="AB110" s="131" t="s">
        <v>237</v>
      </c>
      <c r="AC110" s="131" t="s">
        <v>237</v>
      </c>
      <c r="AD110" s="131" t="s">
        <v>237</v>
      </c>
      <c r="AE110" s="131" t="s">
        <v>237</v>
      </c>
      <c r="AF110" s="131" t="s">
        <v>237</v>
      </c>
      <c r="AG110" s="131" t="s">
        <v>237</v>
      </c>
      <c r="AH110" s="131" t="s">
        <v>237</v>
      </c>
    </row>
    <row r="111" spans="2:34" hidden="1" outlineLevel="1">
      <c r="B111" s="87">
        <v>0</v>
      </c>
      <c r="C111" s="133">
        <v>0</v>
      </c>
      <c r="D111" s="51" t="s">
        <v>237</v>
      </c>
      <c r="E111" s="131" t="s">
        <v>237</v>
      </c>
      <c r="F111" s="131" t="s">
        <v>237</v>
      </c>
      <c r="G111" s="131" t="s">
        <v>237</v>
      </c>
      <c r="H111" s="131" t="s">
        <v>237</v>
      </c>
      <c r="I111" s="131" t="s">
        <v>237</v>
      </c>
      <c r="J111" s="131" t="s">
        <v>237</v>
      </c>
      <c r="K111" s="131" t="s">
        <v>237</v>
      </c>
      <c r="L111" s="131" t="s">
        <v>237</v>
      </c>
      <c r="M111" s="131" t="s">
        <v>237</v>
      </c>
      <c r="N111" s="131" t="s">
        <v>237</v>
      </c>
      <c r="O111" s="131" t="s">
        <v>237</v>
      </c>
      <c r="P111" s="131" t="s">
        <v>237</v>
      </c>
      <c r="Q111" s="131" t="s">
        <v>237</v>
      </c>
      <c r="R111" s="131" t="s">
        <v>237</v>
      </c>
      <c r="S111" s="131" t="s">
        <v>237</v>
      </c>
      <c r="T111" s="131" t="s">
        <v>237</v>
      </c>
      <c r="U111" s="131" t="s">
        <v>237</v>
      </c>
      <c r="V111" s="131" t="s">
        <v>237</v>
      </c>
      <c r="W111" s="131" t="s">
        <v>237</v>
      </c>
      <c r="X111" s="131" t="s">
        <v>237</v>
      </c>
      <c r="Y111" s="131" t="s">
        <v>237</v>
      </c>
      <c r="Z111" s="131" t="s">
        <v>237</v>
      </c>
      <c r="AA111" s="131" t="s">
        <v>237</v>
      </c>
      <c r="AB111" s="131" t="s">
        <v>237</v>
      </c>
      <c r="AC111" s="131" t="s">
        <v>237</v>
      </c>
      <c r="AD111" s="131" t="s">
        <v>237</v>
      </c>
      <c r="AE111" s="131" t="s">
        <v>237</v>
      </c>
      <c r="AF111" s="131" t="s">
        <v>237</v>
      </c>
      <c r="AG111" s="131" t="s">
        <v>237</v>
      </c>
      <c r="AH111" s="131" t="s">
        <v>237</v>
      </c>
    </row>
    <row r="112" spans="2:34" hidden="1" outlineLevel="1">
      <c r="B112" s="87">
        <v>0</v>
      </c>
      <c r="C112" s="133">
        <v>0</v>
      </c>
      <c r="D112" s="51" t="s">
        <v>237</v>
      </c>
      <c r="E112" s="131" t="s">
        <v>237</v>
      </c>
      <c r="F112" s="131" t="s">
        <v>237</v>
      </c>
      <c r="G112" s="131" t="s">
        <v>237</v>
      </c>
      <c r="H112" s="131" t="s">
        <v>237</v>
      </c>
      <c r="I112" s="131" t="s">
        <v>237</v>
      </c>
      <c r="J112" s="131" t="s">
        <v>237</v>
      </c>
      <c r="K112" s="131" t="s">
        <v>237</v>
      </c>
      <c r="L112" s="131" t="s">
        <v>237</v>
      </c>
      <c r="M112" s="131" t="s">
        <v>237</v>
      </c>
      <c r="N112" s="131" t="s">
        <v>237</v>
      </c>
      <c r="O112" s="131" t="s">
        <v>237</v>
      </c>
      <c r="P112" s="131" t="s">
        <v>237</v>
      </c>
      <c r="Q112" s="131" t="s">
        <v>237</v>
      </c>
      <c r="R112" s="131" t="s">
        <v>237</v>
      </c>
      <c r="S112" s="131" t="s">
        <v>237</v>
      </c>
      <c r="T112" s="131" t="s">
        <v>237</v>
      </c>
      <c r="U112" s="131" t="s">
        <v>237</v>
      </c>
      <c r="V112" s="131" t="s">
        <v>237</v>
      </c>
      <c r="W112" s="131" t="s">
        <v>237</v>
      </c>
      <c r="X112" s="131" t="s">
        <v>237</v>
      </c>
      <c r="Y112" s="131" t="s">
        <v>237</v>
      </c>
      <c r="Z112" s="131" t="s">
        <v>237</v>
      </c>
      <c r="AA112" s="131" t="s">
        <v>237</v>
      </c>
      <c r="AB112" s="131" t="s">
        <v>237</v>
      </c>
      <c r="AC112" s="131" t="s">
        <v>237</v>
      </c>
      <c r="AD112" s="131" t="s">
        <v>237</v>
      </c>
      <c r="AE112" s="131" t="s">
        <v>237</v>
      </c>
      <c r="AF112" s="131" t="s">
        <v>237</v>
      </c>
      <c r="AG112" s="131" t="s">
        <v>237</v>
      </c>
      <c r="AH112" s="131" t="s">
        <v>237</v>
      </c>
    </row>
    <row r="113" spans="2:34" hidden="1" outlineLevel="1">
      <c r="B113" s="87">
        <v>0</v>
      </c>
      <c r="C113" s="133">
        <v>0</v>
      </c>
      <c r="D113" s="51" t="s">
        <v>237</v>
      </c>
      <c r="E113" s="131" t="s">
        <v>237</v>
      </c>
      <c r="F113" s="131" t="s">
        <v>237</v>
      </c>
      <c r="G113" s="131" t="s">
        <v>237</v>
      </c>
      <c r="H113" s="131" t="s">
        <v>237</v>
      </c>
      <c r="I113" s="131" t="s">
        <v>237</v>
      </c>
      <c r="J113" s="131" t="s">
        <v>237</v>
      </c>
      <c r="K113" s="131" t="s">
        <v>237</v>
      </c>
      <c r="L113" s="131" t="s">
        <v>237</v>
      </c>
      <c r="M113" s="131" t="s">
        <v>237</v>
      </c>
      <c r="N113" s="131" t="s">
        <v>237</v>
      </c>
      <c r="O113" s="131" t="s">
        <v>237</v>
      </c>
      <c r="P113" s="131" t="s">
        <v>237</v>
      </c>
      <c r="Q113" s="131" t="s">
        <v>237</v>
      </c>
      <c r="R113" s="131" t="s">
        <v>237</v>
      </c>
      <c r="S113" s="131" t="s">
        <v>237</v>
      </c>
      <c r="T113" s="131" t="s">
        <v>237</v>
      </c>
      <c r="U113" s="131" t="s">
        <v>237</v>
      </c>
      <c r="V113" s="131" t="s">
        <v>237</v>
      </c>
      <c r="W113" s="131" t="s">
        <v>237</v>
      </c>
      <c r="X113" s="131" t="s">
        <v>237</v>
      </c>
      <c r="Y113" s="131" t="s">
        <v>237</v>
      </c>
      <c r="Z113" s="131" t="s">
        <v>237</v>
      </c>
      <c r="AA113" s="131" t="s">
        <v>237</v>
      </c>
      <c r="AB113" s="131" t="s">
        <v>237</v>
      </c>
      <c r="AC113" s="131" t="s">
        <v>237</v>
      </c>
      <c r="AD113" s="131" t="s">
        <v>237</v>
      </c>
      <c r="AE113" s="131" t="s">
        <v>237</v>
      </c>
      <c r="AF113" s="131" t="s">
        <v>237</v>
      </c>
      <c r="AG113" s="131" t="s">
        <v>237</v>
      </c>
      <c r="AH113" s="131" t="s">
        <v>237</v>
      </c>
    </row>
    <row r="114" spans="2:34" hidden="1" outlineLevel="1">
      <c r="B114" s="87">
        <v>0</v>
      </c>
      <c r="C114" s="133">
        <v>0</v>
      </c>
      <c r="D114" s="51" t="s">
        <v>237</v>
      </c>
      <c r="E114" s="131" t="s">
        <v>237</v>
      </c>
      <c r="F114" s="131" t="s">
        <v>237</v>
      </c>
      <c r="G114" s="131" t="s">
        <v>237</v>
      </c>
      <c r="H114" s="131" t="s">
        <v>237</v>
      </c>
      <c r="I114" s="131" t="s">
        <v>237</v>
      </c>
      <c r="J114" s="131" t="s">
        <v>237</v>
      </c>
      <c r="K114" s="131" t="s">
        <v>237</v>
      </c>
      <c r="L114" s="131" t="s">
        <v>237</v>
      </c>
      <c r="M114" s="131" t="s">
        <v>237</v>
      </c>
      <c r="N114" s="131" t="s">
        <v>237</v>
      </c>
      <c r="O114" s="131" t="s">
        <v>237</v>
      </c>
      <c r="P114" s="131" t="s">
        <v>237</v>
      </c>
      <c r="Q114" s="131" t="s">
        <v>237</v>
      </c>
      <c r="R114" s="131" t="s">
        <v>237</v>
      </c>
      <c r="S114" s="131" t="s">
        <v>237</v>
      </c>
      <c r="T114" s="131" t="s">
        <v>237</v>
      </c>
      <c r="U114" s="131" t="s">
        <v>237</v>
      </c>
      <c r="V114" s="131" t="s">
        <v>237</v>
      </c>
      <c r="W114" s="131" t="s">
        <v>237</v>
      </c>
      <c r="X114" s="131" t="s">
        <v>237</v>
      </c>
      <c r="Y114" s="131" t="s">
        <v>237</v>
      </c>
      <c r="Z114" s="131" t="s">
        <v>237</v>
      </c>
      <c r="AA114" s="131" t="s">
        <v>237</v>
      </c>
      <c r="AB114" s="131" t="s">
        <v>237</v>
      </c>
      <c r="AC114" s="131" t="s">
        <v>237</v>
      </c>
      <c r="AD114" s="131" t="s">
        <v>237</v>
      </c>
      <c r="AE114" s="131" t="s">
        <v>237</v>
      </c>
      <c r="AF114" s="131" t="s">
        <v>237</v>
      </c>
      <c r="AG114" s="131" t="s">
        <v>237</v>
      </c>
      <c r="AH114" s="131" t="s">
        <v>237</v>
      </c>
    </row>
    <row r="115" spans="2:34" hidden="1" outlineLevel="1">
      <c r="B115" s="87">
        <v>0</v>
      </c>
      <c r="C115" s="133">
        <v>0</v>
      </c>
      <c r="D115" s="51" t="s">
        <v>237</v>
      </c>
      <c r="E115" s="131" t="s">
        <v>237</v>
      </c>
      <c r="F115" s="131" t="s">
        <v>237</v>
      </c>
      <c r="G115" s="131" t="s">
        <v>237</v>
      </c>
      <c r="H115" s="131" t="s">
        <v>237</v>
      </c>
      <c r="I115" s="131" t="s">
        <v>237</v>
      </c>
      <c r="J115" s="131" t="s">
        <v>237</v>
      </c>
      <c r="K115" s="131" t="s">
        <v>237</v>
      </c>
      <c r="L115" s="131" t="s">
        <v>237</v>
      </c>
      <c r="M115" s="131" t="s">
        <v>237</v>
      </c>
      <c r="N115" s="131" t="s">
        <v>237</v>
      </c>
      <c r="O115" s="131" t="s">
        <v>237</v>
      </c>
      <c r="P115" s="131" t="s">
        <v>237</v>
      </c>
      <c r="Q115" s="131" t="s">
        <v>237</v>
      </c>
      <c r="R115" s="131" t="s">
        <v>237</v>
      </c>
      <c r="S115" s="131" t="s">
        <v>237</v>
      </c>
      <c r="T115" s="131" t="s">
        <v>237</v>
      </c>
      <c r="U115" s="131" t="s">
        <v>237</v>
      </c>
      <c r="V115" s="131" t="s">
        <v>237</v>
      </c>
      <c r="W115" s="131" t="s">
        <v>237</v>
      </c>
      <c r="X115" s="131" t="s">
        <v>237</v>
      </c>
      <c r="Y115" s="131" t="s">
        <v>237</v>
      </c>
      <c r="Z115" s="131" t="s">
        <v>237</v>
      </c>
      <c r="AA115" s="131" t="s">
        <v>237</v>
      </c>
      <c r="AB115" s="131" t="s">
        <v>237</v>
      </c>
      <c r="AC115" s="131" t="s">
        <v>237</v>
      </c>
      <c r="AD115" s="131" t="s">
        <v>237</v>
      </c>
      <c r="AE115" s="131" t="s">
        <v>237</v>
      </c>
      <c r="AF115" s="131" t="s">
        <v>237</v>
      </c>
      <c r="AG115" s="131" t="s">
        <v>237</v>
      </c>
      <c r="AH115" s="131" t="s">
        <v>237</v>
      </c>
    </row>
    <row r="116" spans="2:34" hidden="1" outlineLevel="1">
      <c r="B116" s="87">
        <v>0</v>
      </c>
      <c r="C116" s="133">
        <v>0</v>
      </c>
      <c r="D116" s="51" t="s">
        <v>237</v>
      </c>
      <c r="E116" s="131" t="s">
        <v>237</v>
      </c>
      <c r="F116" s="131" t="s">
        <v>237</v>
      </c>
      <c r="G116" s="131" t="s">
        <v>237</v>
      </c>
      <c r="H116" s="131" t="s">
        <v>237</v>
      </c>
      <c r="I116" s="131" t="s">
        <v>237</v>
      </c>
      <c r="J116" s="131" t="s">
        <v>237</v>
      </c>
      <c r="K116" s="131" t="s">
        <v>237</v>
      </c>
      <c r="L116" s="131" t="s">
        <v>237</v>
      </c>
      <c r="M116" s="131" t="s">
        <v>237</v>
      </c>
      <c r="N116" s="131" t="s">
        <v>237</v>
      </c>
      <c r="O116" s="131" t="s">
        <v>237</v>
      </c>
      <c r="P116" s="131" t="s">
        <v>237</v>
      </c>
      <c r="Q116" s="131" t="s">
        <v>237</v>
      </c>
      <c r="R116" s="131" t="s">
        <v>237</v>
      </c>
      <c r="S116" s="131" t="s">
        <v>237</v>
      </c>
      <c r="T116" s="131" t="s">
        <v>237</v>
      </c>
      <c r="U116" s="131" t="s">
        <v>237</v>
      </c>
      <c r="V116" s="131" t="s">
        <v>237</v>
      </c>
      <c r="W116" s="131" t="s">
        <v>237</v>
      </c>
      <c r="X116" s="131" t="s">
        <v>237</v>
      </c>
      <c r="Y116" s="131" t="s">
        <v>237</v>
      </c>
      <c r="Z116" s="131" t="s">
        <v>237</v>
      </c>
      <c r="AA116" s="131" t="s">
        <v>237</v>
      </c>
      <c r="AB116" s="131" t="s">
        <v>237</v>
      </c>
      <c r="AC116" s="131" t="s">
        <v>237</v>
      </c>
      <c r="AD116" s="131" t="s">
        <v>237</v>
      </c>
      <c r="AE116" s="131" t="s">
        <v>237</v>
      </c>
      <c r="AF116" s="131" t="s">
        <v>237</v>
      </c>
      <c r="AG116" s="131" t="s">
        <v>237</v>
      </c>
      <c r="AH116" s="131" t="s">
        <v>237</v>
      </c>
    </row>
    <row r="117" spans="2:34" hidden="1" outlineLevel="1">
      <c r="B117" s="87">
        <v>0</v>
      </c>
      <c r="C117" s="133">
        <v>0</v>
      </c>
      <c r="D117" s="51" t="s">
        <v>237</v>
      </c>
      <c r="E117" s="131" t="s">
        <v>237</v>
      </c>
      <c r="F117" s="131" t="s">
        <v>237</v>
      </c>
      <c r="G117" s="131" t="s">
        <v>237</v>
      </c>
      <c r="H117" s="131" t="s">
        <v>237</v>
      </c>
      <c r="I117" s="131" t="s">
        <v>237</v>
      </c>
      <c r="J117" s="131" t="s">
        <v>237</v>
      </c>
      <c r="K117" s="131" t="s">
        <v>237</v>
      </c>
      <c r="L117" s="131" t="s">
        <v>237</v>
      </c>
      <c r="M117" s="131" t="s">
        <v>237</v>
      </c>
      <c r="N117" s="131" t="s">
        <v>237</v>
      </c>
      <c r="O117" s="131" t="s">
        <v>237</v>
      </c>
      <c r="P117" s="131" t="s">
        <v>237</v>
      </c>
      <c r="Q117" s="131" t="s">
        <v>237</v>
      </c>
      <c r="R117" s="131" t="s">
        <v>237</v>
      </c>
      <c r="S117" s="131" t="s">
        <v>237</v>
      </c>
      <c r="T117" s="131" t="s">
        <v>237</v>
      </c>
      <c r="U117" s="131" t="s">
        <v>237</v>
      </c>
      <c r="V117" s="131" t="s">
        <v>237</v>
      </c>
      <c r="W117" s="131" t="s">
        <v>237</v>
      </c>
      <c r="X117" s="131" t="s">
        <v>237</v>
      </c>
      <c r="Y117" s="131" t="s">
        <v>237</v>
      </c>
      <c r="Z117" s="131" t="s">
        <v>237</v>
      </c>
      <c r="AA117" s="131" t="s">
        <v>237</v>
      </c>
      <c r="AB117" s="131" t="s">
        <v>237</v>
      </c>
      <c r="AC117" s="131" t="s">
        <v>237</v>
      </c>
      <c r="AD117" s="131" t="s">
        <v>237</v>
      </c>
      <c r="AE117" s="131" t="s">
        <v>237</v>
      </c>
      <c r="AF117" s="131" t="s">
        <v>237</v>
      </c>
      <c r="AG117" s="131" t="s">
        <v>237</v>
      </c>
      <c r="AH117" s="131" t="s">
        <v>237</v>
      </c>
    </row>
    <row r="118" spans="2:34" hidden="1" outlineLevel="1">
      <c r="B118" s="87">
        <v>0</v>
      </c>
      <c r="C118" s="133">
        <v>0</v>
      </c>
      <c r="D118" s="51" t="s">
        <v>237</v>
      </c>
      <c r="E118" s="131" t="s">
        <v>237</v>
      </c>
      <c r="F118" s="131" t="s">
        <v>237</v>
      </c>
      <c r="G118" s="131" t="s">
        <v>237</v>
      </c>
      <c r="H118" s="131" t="s">
        <v>237</v>
      </c>
      <c r="I118" s="131" t="s">
        <v>237</v>
      </c>
      <c r="J118" s="131" t="s">
        <v>237</v>
      </c>
      <c r="K118" s="131" t="s">
        <v>237</v>
      </c>
      <c r="L118" s="131" t="s">
        <v>237</v>
      </c>
      <c r="M118" s="131" t="s">
        <v>237</v>
      </c>
      <c r="N118" s="131" t="s">
        <v>237</v>
      </c>
      <c r="O118" s="131" t="s">
        <v>237</v>
      </c>
      <c r="P118" s="131" t="s">
        <v>237</v>
      </c>
      <c r="Q118" s="131" t="s">
        <v>237</v>
      </c>
      <c r="R118" s="131" t="s">
        <v>237</v>
      </c>
      <c r="S118" s="131" t="s">
        <v>237</v>
      </c>
      <c r="T118" s="131" t="s">
        <v>237</v>
      </c>
      <c r="U118" s="131" t="s">
        <v>237</v>
      </c>
      <c r="V118" s="131" t="s">
        <v>237</v>
      </c>
      <c r="W118" s="131" t="s">
        <v>237</v>
      </c>
      <c r="X118" s="131" t="s">
        <v>237</v>
      </c>
      <c r="Y118" s="131" t="s">
        <v>237</v>
      </c>
      <c r="Z118" s="131" t="s">
        <v>237</v>
      </c>
      <c r="AA118" s="131" t="s">
        <v>237</v>
      </c>
      <c r="AB118" s="131" t="s">
        <v>237</v>
      </c>
      <c r="AC118" s="131" t="s">
        <v>237</v>
      </c>
      <c r="AD118" s="131" t="s">
        <v>237</v>
      </c>
      <c r="AE118" s="131" t="s">
        <v>237</v>
      </c>
      <c r="AF118" s="131" t="s">
        <v>237</v>
      </c>
      <c r="AG118" s="131" t="s">
        <v>237</v>
      </c>
      <c r="AH118" s="131" t="s">
        <v>237</v>
      </c>
    </row>
    <row r="119" spans="2:34" hidden="1" outlineLevel="1">
      <c r="B119" s="87">
        <v>0</v>
      </c>
      <c r="C119" s="133">
        <v>0</v>
      </c>
      <c r="D119" s="51" t="s">
        <v>237</v>
      </c>
      <c r="E119" s="131" t="s">
        <v>237</v>
      </c>
      <c r="F119" s="131" t="s">
        <v>237</v>
      </c>
      <c r="G119" s="131" t="s">
        <v>237</v>
      </c>
      <c r="H119" s="131" t="s">
        <v>237</v>
      </c>
      <c r="I119" s="131" t="s">
        <v>237</v>
      </c>
      <c r="J119" s="131" t="s">
        <v>237</v>
      </c>
      <c r="K119" s="131" t="s">
        <v>237</v>
      </c>
      <c r="L119" s="131" t="s">
        <v>237</v>
      </c>
      <c r="M119" s="131" t="s">
        <v>237</v>
      </c>
      <c r="N119" s="131" t="s">
        <v>237</v>
      </c>
      <c r="O119" s="131" t="s">
        <v>237</v>
      </c>
      <c r="P119" s="131" t="s">
        <v>237</v>
      </c>
      <c r="Q119" s="131" t="s">
        <v>237</v>
      </c>
      <c r="R119" s="131" t="s">
        <v>237</v>
      </c>
      <c r="S119" s="131" t="s">
        <v>237</v>
      </c>
      <c r="T119" s="131" t="s">
        <v>237</v>
      </c>
      <c r="U119" s="131" t="s">
        <v>237</v>
      </c>
      <c r="V119" s="131" t="s">
        <v>237</v>
      </c>
      <c r="W119" s="131" t="s">
        <v>237</v>
      </c>
      <c r="X119" s="131" t="s">
        <v>237</v>
      </c>
      <c r="Y119" s="131" t="s">
        <v>237</v>
      </c>
      <c r="Z119" s="131" t="s">
        <v>237</v>
      </c>
      <c r="AA119" s="131" t="s">
        <v>237</v>
      </c>
      <c r="AB119" s="131" t="s">
        <v>237</v>
      </c>
      <c r="AC119" s="131" t="s">
        <v>237</v>
      </c>
      <c r="AD119" s="131" t="s">
        <v>237</v>
      </c>
      <c r="AE119" s="131" t="s">
        <v>237</v>
      </c>
      <c r="AF119" s="131" t="s">
        <v>237</v>
      </c>
      <c r="AG119" s="131" t="s">
        <v>237</v>
      </c>
      <c r="AH119" s="131" t="s">
        <v>237</v>
      </c>
    </row>
    <row r="120" spans="2:34" collapsed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56ED-058B-4DE1-AD52-1F3B37D2E985}">
  <dimension ref="B2:AH120"/>
  <sheetViews>
    <sheetView workbookViewId="0"/>
  </sheetViews>
  <sheetFormatPr defaultColWidth="9" defaultRowHeight="14.4" outlineLevelRow="1"/>
  <cols>
    <col min="1" max="1" width="9" style="3"/>
    <col min="2" max="2" width="9" style="6"/>
    <col min="3" max="3" width="9" style="53"/>
    <col min="4" max="34" width="6.59765625" style="3" customWidth="1"/>
    <col min="35" max="16384" width="9" style="3"/>
  </cols>
  <sheetData>
    <row r="2" spans="2:34">
      <c r="B2" s="236" t="s">
        <v>385</v>
      </c>
    </row>
    <row r="3" spans="2:34">
      <c r="B3" s="236"/>
    </row>
    <row r="4" spans="2:34" ht="43.2">
      <c r="B4" s="424" t="s">
        <v>124</v>
      </c>
      <c r="C4" s="425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2:34">
      <c r="B5" s="427" t="s">
        <v>251</v>
      </c>
      <c r="C5" s="428">
        <v>9.3406593406593408E-2</v>
      </c>
      <c r="D5" s="263">
        <v>0</v>
      </c>
      <c r="E5" s="263">
        <v>0</v>
      </c>
      <c r="F5" s="263">
        <v>0</v>
      </c>
      <c r="G5" s="263">
        <v>0</v>
      </c>
      <c r="H5" s="263">
        <v>0.5</v>
      </c>
      <c r="I5" s="263">
        <v>0</v>
      </c>
      <c r="J5" s="263">
        <v>0</v>
      </c>
      <c r="K5" s="263">
        <v>0</v>
      </c>
      <c r="L5" s="263">
        <v>0</v>
      </c>
      <c r="M5" s="263">
        <v>0</v>
      </c>
      <c r="N5" s="263">
        <v>0</v>
      </c>
      <c r="O5" s="263">
        <v>0</v>
      </c>
      <c r="P5" s="263">
        <v>0</v>
      </c>
      <c r="Q5" s="263">
        <v>0</v>
      </c>
      <c r="R5" s="263">
        <v>0</v>
      </c>
      <c r="S5" s="263">
        <v>0</v>
      </c>
      <c r="T5" s="263">
        <v>0.25</v>
      </c>
      <c r="U5" s="263">
        <v>0</v>
      </c>
      <c r="V5" s="263">
        <v>6.25E-2</v>
      </c>
      <c r="W5" s="263">
        <v>0.1111111111111111</v>
      </c>
      <c r="X5" s="263">
        <v>6.25E-2</v>
      </c>
      <c r="Y5" s="263">
        <v>0.14285714285714279</v>
      </c>
      <c r="Z5" s="263">
        <v>0.27272727272727271</v>
      </c>
      <c r="AA5" s="263">
        <v>0.375</v>
      </c>
      <c r="AB5" s="263">
        <v>0</v>
      </c>
      <c r="AC5" s="263">
        <v>0</v>
      </c>
      <c r="AD5" s="263">
        <v>0</v>
      </c>
      <c r="AE5" s="263">
        <v>1</v>
      </c>
      <c r="AF5" s="263" t="s">
        <v>237</v>
      </c>
      <c r="AG5" s="263">
        <v>0</v>
      </c>
      <c r="AH5" s="263">
        <v>0</v>
      </c>
    </row>
    <row r="6" spans="2:34">
      <c r="B6" s="429" t="s">
        <v>252</v>
      </c>
      <c r="C6" s="430">
        <v>3.5830618892508152E-2</v>
      </c>
      <c r="D6" s="260" t="s">
        <v>237</v>
      </c>
      <c r="E6" s="260" t="s">
        <v>237</v>
      </c>
      <c r="F6" s="260" t="s">
        <v>237</v>
      </c>
      <c r="G6" s="260" t="s">
        <v>237</v>
      </c>
      <c r="H6" s="260" t="s">
        <v>237</v>
      </c>
      <c r="I6" s="260" t="s">
        <v>237</v>
      </c>
      <c r="J6" s="260" t="s">
        <v>237</v>
      </c>
      <c r="K6" s="260">
        <v>0</v>
      </c>
      <c r="L6" s="260">
        <v>0</v>
      </c>
      <c r="M6" s="260">
        <v>0</v>
      </c>
      <c r="N6" s="260">
        <v>0</v>
      </c>
      <c r="O6" s="260">
        <v>0</v>
      </c>
      <c r="P6" s="260">
        <v>0</v>
      </c>
      <c r="Q6" s="260">
        <v>0</v>
      </c>
      <c r="R6" s="260">
        <v>0</v>
      </c>
      <c r="S6" s="260">
        <v>0</v>
      </c>
      <c r="T6" s="260">
        <v>9.5238095238095233E-2</v>
      </c>
      <c r="U6" s="260">
        <v>9.0909090909090912E-2</v>
      </c>
      <c r="V6" s="260">
        <v>0</v>
      </c>
      <c r="W6" s="260">
        <v>5.5555555555555552E-2</v>
      </c>
      <c r="X6" s="260">
        <v>0</v>
      </c>
      <c r="Y6" s="260">
        <v>5.8823529411764712E-2</v>
      </c>
      <c r="Z6" s="260">
        <v>5.5555555555555552E-2</v>
      </c>
      <c r="AA6" s="260">
        <v>0</v>
      </c>
      <c r="AB6" s="260">
        <v>0</v>
      </c>
      <c r="AC6" s="260">
        <v>6.25E-2</v>
      </c>
      <c r="AD6" s="260">
        <v>0.1176470588235294</v>
      </c>
      <c r="AE6" s="260">
        <v>0</v>
      </c>
      <c r="AF6" s="260">
        <v>0</v>
      </c>
      <c r="AG6" s="260">
        <v>6.25E-2</v>
      </c>
      <c r="AH6" s="260">
        <v>0</v>
      </c>
    </row>
    <row r="7" spans="2:34">
      <c r="B7" s="427" t="s">
        <v>253</v>
      </c>
      <c r="C7" s="428">
        <v>3.9783001808318258E-2</v>
      </c>
      <c r="D7" s="263">
        <v>0</v>
      </c>
      <c r="E7" s="263">
        <v>1.5384615384615391E-2</v>
      </c>
      <c r="F7" s="263">
        <v>0</v>
      </c>
      <c r="G7" s="263">
        <v>1.515151515151515E-2</v>
      </c>
      <c r="H7" s="263">
        <v>2.0833333333333329E-2</v>
      </c>
      <c r="I7" s="263">
        <v>4.3478260869565223E-2</v>
      </c>
      <c r="J7" s="263">
        <v>7.4999999999999997E-2</v>
      </c>
      <c r="K7" s="263">
        <v>2.5000000000000001E-2</v>
      </c>
      <c r="L7" s="263">
        <v>0.24390243902439021</v>
      </c>
      <c r="M7" s="263">
        <v>0.2857142857142857</v>
      </c>
      <c r="N7" s="263">
        <v>4.5454545454545463E-2</v>
      </c>
      <c r="O7" s="263">
        <v>4.5454545454545463E-2</v>
      </c>
      <c r="P7" s="263">
        <v>0.125</v>
      </c>
      <c r="Q7" s="263">
        <v>0</v>
      </c>
      <c r="R7" s="263">
        <v>0.1176470588235294</v>
      </c>
      <c r="S7" s="263">
        <v>0</v>
      </c>
      <c r="T7" s="263">
        <v>0</v>
      </c>
      <c r="U7" s="263">
        <v>0</v>
      </c>
      <c r="V7" s="263">
        <v>0</v>
      </c>
      <c r="W7" s="263">
        <v>0.08</v>
      </c>
      <c r="X7" s="263">
        <v>0</v>
      </c>
      <c r="Y7" s="263">
        <v>0</v>
      </c>
      <c r="Z7" s="263">
        <v>0</v>
      </c>
      <c r="AA7" s="263">
        <v>0</v>
      </c>
      <c r="AB7" s="263">
        <v>5.8823529411764712E-2</v>
      </c>
      <c r="AC7" s="263">
        <v>7.6923076923076927E-2</v>
      </c>
      <c r="AD7" s="263">
        <v>4.3478260869565223E-2</v>
      </c>
      <c r="AE7" s="263">
        <v>2.3255813953488368E-2</v>
      </c>
      <c r="AF7" s="263">
        <v>0</v>
      </c>
      <c r="AG7" s="263">
        <v>0</v>
      </c>
      <c r="AH7" s="263">
        <v>2.2727272727272731E-2</v>
      </c>
    </row>
    <row r="8" spans="2:34">
      <c r="B8" s="429" t="s">
        <v>254</v>
      </c>
      <c r="C8" s="430">
        <v>4.807692307692308E-2</v>
      </c>
      <c r="D8" s="260" t="s">
        <v>237</v>
      </c>
      <c r="E8" s="260" t="s">
        <v>237</v>
      </c>
      <c r="F8" s="260" t="s">
        <v>237</v>
      </c>
      <c r="G8" s="260" t="s">
        <v>237</v>
      </c>
      <c r="H8" s="260">
        <v>0</v>
      </c>
      <c r="I8" s="260">
        <v>0</v>
      </c>
      <c r="J8" s="260">
        <v>0</v>
      </c>
      <c r="K8" s="260">
        <v>0</v>
      </c>
      <c r="L8" s="260">
        <v>0</v>
      </c>
      <c r="M8" s="260">
        <v>0</v>
      </c>
      <c r="N8" s="260">
        <v>0</v>
      </c>
      <c r="O8" s="260">
        <v>0</v>
      </c>
      <c r="P8" s="260">
        <v>0</v>
      </c>
      <c r="Q8" s="260">
        <v>0</v>
      </c>
      <c r="R8" s="260">
        <v>0</v>
      </c>
      <c r="S8" s="260">
        <v>0</v>
      </c>
      <c r="T8" s="260">
        <v>0.1</v>
      </c>
      <c r="U8" s="260">
        <v>0</v>
      </c>
      <c r="V8" s="260">
        <v>9.0909090909090912E-2</v>
      </c>
      <c r="W8" s="260">
        <v>0.16666666666666671</v>
      </c>
      <c r="X8" s="260">
        <v>0</v>
      </c>
      <c r="Y8" s="260">
        <v>0</v>
      </c>
      <c r="Z8" s="260">
        <v>0.15</v>
      </c>
      <c r="AA8" s="260">
        <v>0.1764705882352941</v>
      </c>
      <c r="AB8" s="260">
        <v>7.1428571428571425E-2</v>
      </c>
      <c r="AC8" s="260">
        <v>0</v>
      </c>
      <c r="AD8" s="260">
        <v>6.25E-2</v>
      </c>
      <c r="AE8" s="260">
        <v>0</v>
      </c>
      <c r="AF8" s="260">
        <v>0.1333333333333333</v>
      </c>
      <c r="AG8" s="260">
        <v>8.3333333333333329E-2</v>
      </c>
      <c r="AH8" s="260">
        <v>0</v>
      </c>
    </row>
    <row r="9" spans="2:34">
      <c r="B9" s="427" t="s">
        <v>255</v>
      </c>
      <c r="C9" s="428">
        <v>6.5868263473053898E-2</v>
      </c>
      <c r="D9" s="263" t="s">
        <v>237</v>
      </c>
      <c r="E9" s="263" t="s">
        <v>237</v>
      </c>
      <c r="F9" s="263" t="s">
        <v>237</v>
      </c>
      <c r="G9" s="263" t="s">
        <v>237</v>
      </c>
      <c r="H9" s="263">
        <v>0</v>
      </c>
      <c r="I9" s="263">
        <v>0</v>
      </c>
      <c r="J9" s="263">
        <v>0.375</v>
      </c>
      <c r="K9" s="263">
        <v>0.33333333333333331</v>
      </c>
      <c r="L9" s="263">
        <v>0</v>
      </c>
      <c r="M9" s="263">
        <v>0</v>
      </c>
      <c r="N9" s="263">
        <v>0</v>
      </c>
      <c r="O9" s="263">
        <v>0</v>
      </c>
      <c r="P9" s="263">
        <v>0</v>
      </c>
      <c r="Q9" s="263">
        <v>0</v>
      </c>
      <c r="R9" s="263">
        <v>0</v>
      </c>
      <c r="S9" s="263">
        <v>0</v>
      </c>
      <c r="T9" s="263">
        <v>0.16666666666666671</v>
      </c>
      <c r="U9" s="263">
        <v>0</v>
      </c>
      <c r="V9" s="263">
        <v>0.2</v>
      </c>
      <c r="W9" s="263">
        <v>0</v>
      </c>
      <c r="X9" s="263">
        <v>0.2857142857142857</v>
      </c>
      <c r="Y9" s="263">
        <v>0</v>
      </c>
      <c r="Z9" s="263">
        <v>0</v>
      </c>
      <c r="AA9" s="263">
        <v>0</v>
      </c>
      <c r="AB9" s="263">
        <v>0</v>
      </c>
      <c r="AC9" s="263">
        <v>0</v>
      </c>
      <c r="AD9" s="263">
        <v>0</v>
      </c>
      <c r="AE9" s="263">
        <v>0</v>
      </c>
      <c r="AF9" s="263">
        <v>0</v>
      </c>
      <c r="AG9" s="263">
        <v>0</v>
      </c>
      <c r="AH9" s="263">
        <v>0</v>
      </c>
    </row>
    <row r="10" spans="2:34">
      <c r="B10" s="429" t="s">
        <v>256</v>
      </c>
      <c r="C10" s="430">
        <v>1.9178082191780819E-2</v>
      </c>
      <c r="D10" s="260">
        <v>0</v>
      </c>
      <c r="E10" s="260">
        <v>0</v>
      </c>
      <c r="F10" s="260">
        <v>0</v>
      </c>
      <c r="G10" s="260">
        <v>1</v>
      </c>
      <c r="H10" s="260" t="s">
        <v>237</v>
      </c>
      <c r="I10" s="260" t="s">
        <v>237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0.125</v>
      </c>
      <c r="R10" s="260">
        <v>0.125</v>
      </c>
      <c r="S10" s="260">
        <v>0</v>
      </c>
      <c r="T10" s="260">
        <v>0</v>
      </c>
      <c r="U10" s="260">
        <v>0.125</v>
      </c>
      <c r="V10" s="260">
        <v>0</v>
      </c>
      <c r="W10" s="260">
        <v>9.0909090909090912E-2</v>
      </c>
      <c r="X10" s="260">
        <v>0</v>
      </c>
      <c r="Y10" s="260">
        <v>0</v>
      </c>
      <c r="Z10" s="260">
        <v>0</v>
      </c>
      <c r="AA10" s="260">
        <v>0</v>
      </c>
      <c r="AB10" s="260">
        <v>0</v>
      </c>
      <c r="AC10" s="260">
        <v>0</v>
      </c>
      <c r="AD10" s="260">
        <v>3.7037037037037028E-2</v>
      </c>
      <c r="AE10" s="260">
        <v>4.1666666666666657E-2</v>
      </c>
      <c r="AF10" s="260">
        <v>0</v>
      </c>
      <c r="AG10" s="260">
        <v>0</v>
      </c>
      <c r="AH10" s="260">
        <v>0</v>
      </c>
    </row>
    <row r="11" spans="2:34">
      <c r="B11" s="427" t="s">
        <v>257</v>
      </c>
      <c r="C11" s="428">
        <v>0.12977099236641221</v>
      </c>
      <c r="D11" s="263">
        <v>0</v>
      </c>
      <c r="E11" s="263">
        <v>0</v>
      </c>
      <c r="F11" s="263">
        <v>0</v>
      </c>
      <c r="G11" s="263">
        <v>0</v>
      </c>
      <c r="H11" s="263">
        <v>0</v>
      </c>
      <c r="I11" s="263">
        <v>0</v>
      </c>
      <c r="J11" s="263">
        <v>0.33333333333333331</v>
      </c>
      <c r="K11" s="263">
        <v>0</v>
      </c>
      <c r="L11" s="263">
        <v>0</v>
      </c>
      <c r="M11" s="263">
        <v>0</v>
      </c>
      <c r="N11" s="263">
        <v>0.2</v>
      </c>
      <c r="O11" s="263">
        <v>0.5</v>
      </c>
      <c r="P11" s="263">
        <v>0.5</v>
      </c>
      <c r="Q11" s="263">
        <v>0.33333333333333331</v>
      </c>
      <c r="R11" s="263">
        <v>0</v>
      </c>
      <c r="S11" s="263">
        <v>0.16666666666666671</v>
      </c>
      <c r="T11" s="263">
        <v>0</v>
      </c>
      <c r="U11" s="263">
        <v>0.125</v>
      </c>
      <c r="V11" s="263">
        <v>0.2857142857142857</v>
      </c>
      <c r="W11" s="263">
        <v>0.2</v>
      </c>
      <c r="X11" s="263">
        <v>0.5</v>
      </c>
      <c r="Y11" s="263">
        <v>0</v>
      </c>
      <c r="Z11" s="263">
        <v>0</v>
      </c>
      <c r="AA11" s="263">
        <v>0.5</v>
      </c>
      <c r="AB11" s="263">
        <v>0</v>
      </c>
      <c r="AC11" s="263">
        <v>0</v>
      </c>
      <c r="AD11" s="263">
        <v>0</v>
      </c>
      <c r="AE11" s="263">
        <v>0</v>
      </c>
      <c r="AF11" s="263">
        <v>0</v>
      </c>
      <c r="AG11" s="263">
        <v>0.1</v>
      </c>
      <c r="AH11" s="263">
        <v>9.0909090909090912E-2</v>
      </c>
    </row>
    <row r="12" spans="2:34">
      <c r="B12" s="429" t="s">
        <v>258</v>
      </c>
      <c r="C12" s="430">
        <v>3.9179104477611942E-2</v>
      </c>
      <c r="D12" s="260" t="s">
        <v>237</v>
      </c>
      <c r="E12" s="260" t="s">
        <v>237</v>
      </c>
      <c r="F12" s="260" t="s">
        <v>237</v>
      </c>
      <c r="G12" s="260">
        <v>0</v>
      </c>
      <c r="H12" s="260">
        <v>0.33333333333333331</v>
      </c>
      <c r="I12" s="260">
        <v>0.25</v>
      </c>
      <c r="J12" s="260">
        <v>0.33333333333333331</v>
      </c>
      <c r="K12" s="260">
        <v>0</v>
      </c>
      <c r="L12" s="260">
        <v>0</v>
      </c>
      <c r="M12" s="260">
        <v>0.25</v>
      </c>
      <c r="N12" s="260">
        <v>0</v>
      </c>
      <c r="O12" s="260">
        <v>0</v>
      </c>
      <c r="P12" s="260">
        <v>0</v>
      </c>
      <c r="Q12" s="260">
        <v>0</v>
      </c>
      <c r="R12" s="260">
        <v>0.1</v>
      </c>
      <c r="S12" s="260">
        <v>0</v>
      </c>
      <c r="T12" s="260">
        <v>0</v>
      </c>
      <c r="U12" s="260">
        <v>7.6923076923076927E-2</v>
      </c>
      <c r="V12" s="260">
        <v>0</v>
      </c>
      <c r="W12" s="260">
        <v>3.5714285714285712E-2</v>
      </c>
      <c r="X12" s="260">
        <v>0.1</v>
      </c>
      <c r="Y12" s="260">
        <v>0</v>
      </c>
      <c r="Z12" s="260">
        <v>3.125E-2</v>
      </c>
      <c r="AA12" s="260">
        <v>6.0606060606060608E-2</v>
      </c>
      <c r="AB12" s="260">
        <v>0</v>
      </c>
      <c r="AC12" s="260">
        <v>0</v>
      </c>
      <c r="AD12" s="260">
        <v>7.1428571428571425E-2</v>
      </c>
      <c r="AE12" s="260">
        <v>0</v>
      </c>
      <c r="AF12" s="260">
        <v>0</v>
      </c>
      <c r="AG12" s="260">
        <v>0</v>
      </c>
      <c r="AH12" s="260">
        <v>7.1428571428571425E-2</v>
      </c>
    </row>
    <row r="13" spans="2:34">
      <c r="B13" s="427" t="s">
        <v>260</v>
      </c>
      <c r="C13" s="428">
        <v>7.6923076923076927E-2</v>
      </c>
      <c r="D13" s="263">
        <v>0</v>
      </c>
      <c r="E13" s="263">
        <v>0</v>
      </c>
      <c r="F13" s="263">
        <v>0</v>
      </c>
      <c r="G13" s="263">
        <v>0.25</v>
      </c>
      <c r="H13" s="263">
        <v>0</v>
      </c>
      <c r="I13" s="263">
        <v>0</v>
      </c>
      <c r="J13" s="263">
        <v>0</v>
      </c>
      <c r="K13" s="263">
        <v>0.125</v>
      </c>
      <c r="L13" s="263">
        <v>0.2</v>
      </c>
      <c r="M13" s="263">
        <v>0.4</v>
      </c>
      <c r="N13" s="263">
        <v>0</v>
      </c>
      <c r="O13" s="263">
        <v>0.2</v>
      </c>
      <c r="P13" s="263">
        <v>0</v>
      </c>
      <c r="Q13" s="263">
        <v>0</v>
      </c>
      <c r="R13" s="263">
        <v>0</v>
      </c>
      <c r="S13" s="263">
        <v>0</v>
      </c>
      <c r="T13" s="263">
        <v>0</v>
      </c>
      <c r="U13" s="263">
        <v>0.2</v>
      </c>
      <c r="V13" s="263">
        <v>0.4</v>
      </c>
      <c r="W13" s="263">
        <v>0</v>
      </c>
      <c r="X13" s="263">
        <v>0</v>
      </c>
      <c r="Y13" s="263">
        <v>0</v>
      </c>
      <c r="Z13" s="263">
        <v>0</v>
      </c>
      <c r="AA13" s="263">
        <v>0.5</v>
      </c>
      <c r="AB13" s="263">
        <v>0</v>
      </c>
      <c r="AC13" s="263">
        <v>0</v>
      </c>
      <c r="AD13" s="263">
        <v>0</v>
      </c>
      <c r="AE13" s="263">
        <v>0</v>
      </c>
      <c r="AF13" s="263">
        <v>0</v>
      </c>
      <c r="AG13" s="263">
        <v>0</v>
      </c>
      <c r="AH13" s="263">
        <v>0</v>
      </c>
    </row>
    <row r="14" spans="2:34">
      <c r="B14" s="429" t="s">
        <v>261</v>
      </c>
      <c r="C14" s="430">
        <v>2.6599568655643419E-2</v>
      </c>
      <c r="D14" s="260">
        <v>0</v>
      </c>
      <c r="E14" s="260">
        <v>0</v>
      </c>
      <c r="F14" s="260">
        <v>0</v>
      </c>
      <c r="G14" s="260">
        <v>5.2631578947368418E-2</v>
      </c>
      <c r="H14" s="260">
        <v>0</v>
      </c>
      <c r="I14" s="260">
        <v>0</v>
      </c>
      <c r="J14" s="260">
        <v>1.785714285714286E-2</v>
      </c>
      <c r="K14" s="260">
        <v>0</v>
      </c>
      <c r="L14" s="260">
        <v>5.9701492537313432E-2</v>
      </c>
      <c r="M14" s="260">
        <v>6.3492063492063489E-2</v>
      </c>
      <c r="N14" s="260">
        <v>0</v>
      </c>
      <c r="O14" s="260">
        <v>1.886792452830189E-2</v>
      </c>
      <c r="P14" s="260">
        <v>0</v>
      </c>
      <c r="Q14" s="260">
        <v>2.3255813953488368E-2</v>
      </c>
      <c r="R14" s="260">
        <v>2.222222222222222E-2</v>
      </c>
      <c r="S14" s="260">
        <v>0.08</v>
      </c>
      <c r="T14" s="260">
        <v>0</v>
      </c>
      <c r="U14" s="260">
        <v>0</v>
      </c>
      <c r="V14" s="260">
        <v>4.878048780487805E-2</v>
      </c>
      <c r="W14" s="260">
        <v>5.7142857142857141E-2</v>
      </c>
      <c r="X14" s="260">
        <v>9.375E-2</v>
      </c>
      <c r="Y14" s="260">
        <v>2.6315789473684209E-2</v>
      </c>
      <c r="Z14" s="260">
        <v>0.125</v>
      </c>
      <c r="AA14" s="260">
        <v>5.8823529411764712E-2</v>
      </c>
      <c r="AB14" s="260">
        <v>0</v>
      </c>
      <c r="AC14" s="260">
        <v>0</v>
      </c>
      <c r="AD14" s="260">
        <v>4.5454545454545463E-2</v>
      </c>
      <c r="AE14" s="260">
        <v>2.0833333333333329E-2</v>
      </c>
      <c r="AF14" s="260">
        <v>0</v>
      </c>
      <c r="AG14" s="260">
        <v>0</v>
      </c>
      <c r="AH14" s="260">
        <v>1.8518518518518521E-2</v>
      </c>
    </row>
    <row r="15" spans="2:34">
      <c r="B15" s="427" t="s">
        <v>263</v>
      </c>
      <c r="C15" s="428">
        <v>6.4171122994652413E-2</v>
      </c>
      <c r="D15" s="263" t="s">
        <v>237</v>
      </c>
      <c r="E15" s="263" t="s">
        <v>237</v>
      </c>
      <c r="F15" s="263" t="s">
        <v>237</v>
      </c>
      <c r="G15" s="263" t="s">
        <v>237</v>
      </c>
      <c r="H15" s="263" t="s">
        <v>237</v>
      </c>
      <c r="I15" s="263" t="s">
        <v>237</v>
      </c>
      <c r="J15" s="263" t="s">
        <v>237</v>
      </c>
      <c r="K15" s="263" t="s">
        <v>237</v>
      </c>
      <c r="L15" s="263" t="s">
        <v>237</v>
      </c>
      <c r="M15" s="263" t="s">
        <v>237</v>
      </c>
      <c r="N15" s="263" t="s">
        <v>237</v>
      </c>
      <c r="O15" s="263" t="s">
        <v>237</v>
      </c>
      <c r="P15" s="263">
        <v>0</v>
      </c>
      <c r="Q15" s="263">
        <v>0</v>
      </c>
      <c r="R15" s="263" t="s">
        <v>237</v>
      </c>
      <c r="S15" s="263">
        <v>0</v>
      </c>
      <c r="T15" s="263">
        <v>0</v>
      </c>
      <c r="U15" s="263">
        <v>0.2</v>
      </c>
      <c r="V15" s="263">
        <v>0</v>
      </c>
      <c r="W15" s="263">
        <v>0</v>
      </c>
      <c r="X15" s="263">
        <v>6.25E-2</v>
      </c>
      <c r="Y15" s="263">
        <v>7.1428571428571425E-2</v>
      </c>
      <c r="Z15" s="263">
        <v>0</v>
      </c>
      <c r="AA15" s="263">
        <v>0</v>
      </c>
      <c r="AB15" s="263">
        <v>0</v>
      </c>
      <c r="AC15" s="263">
        <v>0</v>
      </c>
      <c r="AD15" s="263">
        <v>0</v>
      </c>
      <c r="AE15" s="263">
        <v>5.2631578947368418E-2</v>
      </c>
      <c r="AF15" s="263">
        <v>0.4375</v>
      </c>
      <c r="AG15" s="263">
        <v>0.16666666666666671</v>
      </c>
      <c r="AH15" s="263">
        <v>0</v>
      </c>
    </row>
    <row r="16" spans="2:34">
      <c r="B16" s="429" t="s">
        <v>265</v>
      </c>
      <c r="C16" s="430">
        <v>0.10728744939271249</v>
      </c>
      <c r="D16" s="260">
        <v>0.1</v>
      </c>
      <c r="E16" s="260">
        <v>0</v>
      </c>
      <c r="F16" s="260">
        <v>0</v>
      </c>
      <c r="G16" s="260">
        <v>0.1176470588235294</v>
      </c>
      <c r="H16" s="260">
        <v>0.1333333333333333</v>
      </c>
      <c r="I16" s="260">
        <v>0.1875</v>
      </c>
      <c r="J16" s="260">
        <v>0.25</v>
      </c>
      <c r="K16" s="260">
        <v>0.2142857142857143</v>
      </c>
      <c r="L16" s="260">
        <v>0.1818181818181818</v>
      </c>
      <c r="M16" s="260">
        <v>0.3</v>
      </c>
      <c r="N16" s="260">
        <v>0.14285714285714279</v>
      </c>
      <c r="O16" s="260">
        <v>0</v>
      </c>
      <c r="P16" s="260">
        <v>0.2857142857142857</v>
      </c>
      <c r="Q16" s="260">
        <v>0.16666666666666671</v>
      </c>
      <c r="R16" s="260">
        <v>0.2857142857142857</v>
      </c>
      <c r="S16" s="260">
        <v>0</v>
      </c>
      <c r="T16" s="260">
        <v>0.125</v>
      </c>
      <c r="U16" s="260">
        <v>0.125</v>
      </c>
      <c r="V16" s="260">
        <v>0</v>
      </c>
      <c r="W16" s="260">
        <v>7.1428571428571425E-2</v>
      </c>
      <c r="X16" s="260">
        <v>0.14285714285714279</v>
      </c>
      <c r="Y16" s="260">
        <v>0.14285714285714279</v>
      </c>
      <c r="Z16" s="260">
        <v>9.0909090909090912E-2</v>
      </c>
      <c r="AA16" s="260">
        <v>0</v>
      </c>
      <c r="AB16" s="260">
        <v>4.3478260869565223E-2</v>
      </c>
      <c r="AC16" s="260">
        <v>0.125</v>
      </c>
      <c r="AD16" s="260">
        <v>0.10344827586206901</v>
      </c>
      <c r="AE16" s="260">
        <v>9.6774193548387094E-2</v>
      </c>
      <c r="AF16" s="260">
        <v>6.8965517241379309E-2</v>
      </c>
      <c r="AG16" s="260">
        <v>0.1071428571428571</v>
      </c>
      <c r="AH16" s="260">
        <v>3.3333333333333333E-2</v>
      </c>
    </row>
    <row r="17" spans="2:34">
      <c r="B17" s="427" t="s">
        <v>266</v>
      </c>
      <c r="C17" s="428">
        <v>6.5217391304347824E-2</v>
      </c>
      <c r="D17" s="263">
        <v>0</v>
      </c>
      <c r="E17" s="263">
        <v>8.3333333333333329E-2</v>
      </c>
      <c r="F17" s="263">
        <v>7.6923076923076927E-2</v>
      </c>
      <c r="G17" s="263">
        <v>0</v>
      </c>
      <c r="H17" s="263">
        <v>8.3333333333333329E-2</v>
      </c>
      <c r="I17" s="263">
        <v>0</v>
      </c>
      <c r="J17" s="263">
        <v>0</v>
      </c>
      <c r="K17" s="263">
        <v>0</v>
      </c>
      <c r="L17" s="263">
        <v>0.2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X17" s="263">
        <v>0.1</v>
      </c>
      <c r="Y17" s="263">
        <v>0</v>
      </c>
      <c r="Z17" s="263">
        <v>0.25925925925925919</v>
      </c>
      <c r="AA17" s="263">
        <v>0.19047619047619049</v>
      </c>
      <c r="AB17" s="263">
        <v>5.5555555555555552E-2</v>
      </c>
      <c r="AC17" s="263">
        <v>5.8823529411764712E-2</v>
      </c>
      <c r="AD17" s="263">
        <v>0.1333333333333333</v>
      </c>
      <c r="AE17" s="263">
        <v>0</v>
      </c>
      <c r="AF17" s="263">
        <v>0</v>
      </c>
      <c r="AG17" s="263">
        <v>8.3333333333333329E-2</v>
      </c>
      <c r="AH17" s="263">
        <v>0</v>
      </c>
    </row>
    <row r="18" spans="2:34">
      <c r="B18" s="429" t="s">
        <v>267</v>
      </c>
      <c r="C18" s="430">
        <v>6.25E-2</v>
      </c>
      <c r="D18" s="260">
        <v>0</v>
      </c>
      <c r="E18" s="260">
        <v>0</v>
      </c>
      <c r="F18" s="260">
        <v>0.16666666666666671</v>
      </c>
      <c r="G18" s="260">
        <v>0</v>
      </c>
      <c r="H18" s="260">
        <v>0</v>
      </c>
      <c r="I18" s="260">
        <v>0.2</v>
      </c>
      <c r="J18" s="260">
        <v>0</v>
      </c>
      <c r="K18" s="260">
        <v>0.2</v>
      </c>
      <c r="L18" s="260">
        <v>0</v>
      </c>
      <c r="M18" s="260">
        <v>0</v>
      </c>
      <c r="N18" s="260">
        <v>0.1111111111111111</v>
      </c>
      <c r="O18" s="260">
        <v>0</v>
      </c>
      <c r="P18" s="260">
        <v>0.42857142857142849</v>
      </c>
      <c r="Q18" s="260">
        <v>0.22222222222222221</v>
      </c>
      <c r="R18" s="260">
        <v>0</v>
      </c>
      <c r="S18" s="260">
        <v>0.1</v>
      </c>
      <c r="T18" s="260">
        <v>0.1111111111111111</v>
      </c>
      <c r="U18" s="260">
        <v>0</v>
      </c>
      <c r="V18" s="260">
        <v>0</v>
      </c>
      <c r="W18" s="260">
        <v>0</v>
      </c>
      <c r="X18" s="260">
        <v>0</v>
      </c>
      <c r="Y18" s="260">
        <v>0</v>
      </c>
      <c r="Z18" s="260">
        <v>0.1875</v>
      </c>
      <c r="AA18" s="260">
        <v>7.1428571428571425E-2</v>
      </c>
      <c r="AB18" s="260">
        <v>0</v>
      </c>
      <c r="AC18" s="260">
        <v>0.05</v>
      </c>
      <c r="AD18" s="260">
        <v>0</v>
      </c>
      <c r="AE18" s="260">
        <v>0</v>
      </c>
      <c r="AF18" s="260">
        <v>8.3333333333333329E-2</v>
      </c>
      <c r="AG18" s="260">
        <v>0.1818181818181818</v>
      </c>
      <c r="AH18" s="260">
        <v>0</v>
      </c>
    </row>
    <row r="19" spans="2:34">
      <c r="B19" s="427" t="s">
        <v>268</v>
      </c>
      <c r="C19" s="428">
        <v>3.5611164581328202E-2</v>
      </c>
      <c r="D19" s="263">
        <v>0</v>
      </c>
      <c r="E19" s="263">
        <v>0.16666666666666671</v>
      </c>
      <c r="F19" s="263">
        <v>0.16666666666666671</v>
      </c>
      <c r="G19" s="263">
        <v>0</v>
      </c>
      <c r="H19" s="263">
        <v>0</v>
      </c>
      <c r="I19" s="263">
        <v>0</v>
      </c>
      <c r="J19" s="263">
        <v>0</v>
      </c>
      <c r="K19" s="263">
        <v>7.6923076923076927E-2</v>
      </c>
      <c r="L19" s="263">
        <v>5.2631578947368418E-2</v>
      </c>
      <c r="M19" s="263">
        <v>5.8823529411764712E-2</v>
      </c>
      <c r="N19" s="263">
        <v>0</v>
      </c>
      <c r="O19" s="263">
        <v>6.25E-2</v>
      </c>
      <c r="P19" s="263">
        <v>0.13636363636363641</v>
      </c>
      <c r="Q19" s="263">
        <v>6.4516129032258063E-2</v>
      </c>
      <c r="R19" s="263">
        <v>0</v>
      </c>
      <c r="S19" s="263">
        <v>0.04</v>
      </c>
      <c r="T19" s="263">
        <v>3.9215686274509803E-2</v>
      </c>
      <c r="U19" s="263">
        <v>1.8518518518518521E-2</v>
      </c>
      <c r="V19" s="263">
        <v>0</v>
      </c>
      <c r="W19" s="263">
        <v>3.7037037037037028E-2</v>
      </c>
      <c r="X19" s="263">
        <v>0.1111111111111111</v>
      </c>
      <c r="Y19" s="263">
        <v>0.08</v>
      </c>
      <c r="Z19" s="263">
        <v>2.1739130434782612E-2</v>
      </c>
      <c r="AA19" s="263">
        <v>0</v>
      </c>
      <c r="AB19" s="263">
        <v>2.0833333333333329E-2</v>
      </c>
      <c r="AC19" s="263">
        <v>4.0816326530612242E-2</v>
      </c>
      <c r="AD19" s="263">
        <v>0.04</v>
      </c>
      <c r="AE19" s="263">
        <v>1.785714285714286E-2</v>
      </c>
      <c r="AF19" s="263">
        <v>0</v>
      </c>
      <c r="AG19" s="263">
        <v>0.02</v>
      </c>
      <c r="AH19" s="263">
        <v>2.1739130434782612E-2</v>
      </c>
    </row>
    <row r="20" spans="2:34">
      <c r="B20" s="429" t="s">
        <v>269</v>
      </c>
      <c r="C20" s="430">
        <v>3.1707317073170732E-2</v>
      </c>
      <c r="D20" s="260">
        <v>0</v>
      </c>
      <c r="E20" s="260">
        <v>0</v>
      </c>
      <c r="F20" s="260">
        <v>0</v>
      </c>
      <c r="G20" s="260">
        <v>0</v>
      </c>
      <c r="H20" s="260">
        <v>0</v>
      </c>
      <c r="I20" s="260">
        <v>0.2</v>
      </c>
      <c r="J20" s="260">
        <v>0</v>
      </c>
      <c r="K20" s="260">
        <v>0</v>
      </c>
      <c r="L20" s="260">
        <v>0</v>
      </c>
      <c r="M20" s="260">
        <v>0</v>
      </c>
      <c r="N20" s="260">
        <v>0</v>
      </c>
      <c r="O20" s="260">
        <v>0</v>
      </c>
      <c r="P20" s="260">
        <v>0</v>
      </c>
      <c r="Q20" s="260">
        <v>0</v>
      </c>
      <c r="R20" s="260">
        <v>0</v>
      </c>
      <c r="S20" s="260">
        <v>0</v>
      </c>
      <c r="T20" s="260">
        <v>0</v>
      </c>
      <c r="U20" s="260">
        <v>0</v>
      </c>
      <c r="V20" s="260">
        <v>0</v>
      </c>
      <c r="W20" s="260">
        <v>0</v>
      </c>
      <c r="X20" s="260">
        <v>0</v>
      </c>
      <c r="Y20" s="260">
        <v>0</v>
      </c>
      <c r="Z20" s="260">
        <v>0</v>
      </c>
      <c r="AA20" s="260">
        <v>7.1428571428571425E-2</v>
      </c>
      <c r="AB20" s="260">
        <v>4.3478260869565223E-2</v>
      </c>
      <c r="AC20" s="260">
        <v>0.2</v>
      </c>
      <c r="AD20" s="260">
        <v>0.16666666666666671</v>
      </c>
      <c r="AE20" s="260">
        <v>0</v>
      </c>
      <c r="AF20" s="260">
        <v>0</v>
      </c>
      <c r="AG20" s="260">
        <v>2.9411764705882349E-2</v>
      </c>
      <c r="AH20" s="260">
        <v>0</v>
      </c>
    </row>
    <row r="21" spans="2:34">
      <c r="B21" s="427" t="s">
        <v>270</v>
      </c>
      <c r="C21" s="428">
        <v>2.5000000000000001E-2</v>
      </c>
      <c r="D21" s="263">
        <v>0</v>
      </c>
      <c r="E21" s="263">
        <v>0</v>
      </c>
      <c r="F21" s="263">
        <v>0</v>
      </c>
      <c r="G21" s="263">
        <v>0</v>
      </c>
      <c r="H21" s="263">
        <v>0</v>
      </c>
      <c r="I21" s="263">
        <v>0</v>
      </c>
      <c r="J21" s="263">
        <v>0.25</v>
      </c>
      <c r="K21" s="263">
        <v>0</v>
      </c>
      <c r="L21" s="263">
        <v>0</v>
      </c>
      <c r="M21" s="263">
        <v>0.33333333333333331</v>
      </c>
      <c r="N21" s="263">
        <v>0</v>
      </c>
      <c r="O21" s="263">
        <v>0</v>
      </c>
      <c r="P21" s="263">
        <v>0</v>
      </c>
      <c r="Q21" s="263">
        <v>0</v>
      </c>
      <c r="R21" s="263">
        <v>0.5</v>
      </c>
      <c r="S21" s="263">
        <v>0</v>
      </c>
      <c r="T21" s="263">
        <v>0</v>
      </c>
      <c r="U21" s="263">
        <v>0</v>
      </c>
      <c r="V21" s="263">
        <v>0</v>
      </c>
      <c r="W21" s="263">
        <v>0.2</v>
      </c>
      <c r="X21" s="263">
        <v>0</v>
      </c>
      <c r="Y21" s="263">
        <v>6.6666666666666666E-2</v>
      </c>
      <c r="Z21" s="263">
        <v>0</v>
      </c>
      <c r="AA21" s="263">
        <v>0</v>
      </c>
      <c r="AB21" s="263">
        <v>0</v>
      </c>
      <c r="AC21" s="263">
        <v>0</v>
      </c>
      <c r="AD21" s="263">
        <v>5.5555555555555552E-2</v>
      </c>
      <c r="AE21" s="263">
        <v>0</v>
      </c>
      <c r="AF21" s="263">
        <v>0</v>
      </c>
      <c r="AG21" s="263">
        <v>0</v>
      </c>
      <c r="AH21" s="263">
        <v>0</v>
      </c>
    </row>
    <row r="22" spans="2:34">
      <c r="B22" s="429" t="s">
        <v>271</v>
      </c>
      <c r="C22" s="430">
        <v>2.6785714285714281E-2</v>
      </c>
      <c r="D22" s="260">
        <v>0</v>
      </c>
      <c r="E22" s="260">
        <v>0.1111111111111111</v>
      </c>
      <c r="F22" s="260">
        <v>8.3333333333333329E-2</v>
      </c>
      <c r="G22" s="260">
        <v>0</v>
      </c>
      <c r="H22" s="260">
        <v>0</v>
      </c>
      <c r="I22" s="260">
        <v>0</v>
      </c>
      <c r="J22" s="260">
        <v>0.16666666666666671</v>
      </c>
      <c r="K22" s="260">
        <v>0</v>
      </c>
      <c r="L22" s="260">
        <v>0</v>
      </c>
      <c r="M22" s="260">
        <v>0</v>
      </c>
      <c r="N22" s="260">
        <v>0</v>
      </c>
      <c r="O22" s="260">
        <v>0</v>
      </c>
      <c r="P22" s="260">
        <v>0</v>
      </c>
      <c r="Q22" s="260">
        <v>0</v>
      </c>
      <c r="R22" s="260">
        <v>0</v>
      </c>
      <c r="S22" s="260">
        <v>0</v>
      </c>
      <c r="T22" s="260">
        <v>0</v>
      </c>
      <c r="U22" s="260">
        <v>0</v>
      </c>
      <c r="V22" s="260">
        <v>0</v>
      </c>
      <c r="W22" s="260">
        <v>0</v>
      </c>
      <c r="X22" s="260">
        <v>0</v>
      </c>
      <c r="Y22" s="260">
        <v>0</v>
      </c>
      <c r="Z22" s="260">
        <v>0</v>
      </c>
      <c r="AA22" s="260" t="s">
        <v>237</v>
      </c>
      <c r="AB22" s="260" t="s">
        <v>237</v>
      </c>
      <c r="AC22" s="260" t="s">
        <v>237</v>
      </c>
      <c r="AD22" s="260" t="s">
        <v>237</v>
      </c>
      <c r="AE22" s="260" t="s">
        <v>237</v>
      </c>
      <c r="AF22" s="260" t="s">
        <v>237</v>
      </c>
      <c r="AG22" s="260" t="s">
        <v>237</v>
      </c>
      <c r="AH22" s="260">
        <v>0</v>
      </c>
    </row>
    <row r="23" spans="2:34">
      <c r="B23" s="427" t="s">
        <v>272</v>
      </c>
      <c r="C23" s="428">
        <v>3.3653846153846152E-2</v>
      </c>
      <c r="D23" s="263">
        <v>0</v>
      </c>
      <c r="E23" s="263">
        <v>0</v>
      </c>
      <c r="F23" s="263">
        <v>0</v>
      </c>
      <c r="G23" s="263">
        <v>0</v>
      </c>
      <c r="H23" s="263">
        <v>0</v>
      </c>
      <c r="I23" s="263">
        <v>0</v>
      </c>
      <c r="J23" s="263">
        <v>0</v>
      </c>
      <c r="K23" s="263">
        <v>0</v>
      </c>
      <c r="L23" s="263">
        <v>0</v>
      </c>
      <c r="M23" s="263">
        <v>0</v>
      </c>
      <c r="N23" s="263">
        <v>0.2</v>
      </c>
      <c r="O23" s="263">
        <v>0</v>
      </c>
      <c r="P23" s="263">
        <v>0.1111111111111111</v>
      </c>
      <c r="Q23" s="263">
        <v>0</v>
      </c>
      <c r="R23" s="263">
        <v>0</v>
      </c>
      <c r="S23" s="263">
        <v>0</v>
      </c>
      <c r="T23" s="263">
        <v>0</v>
      </c>
      <c r="U23" s="263">
        <v>0</v>
      </c>
      <c r="V23" s="263">
        <v>7.6923076923076927E-2</v>
      </c>
      <c r="W23" s="263">
        <v>0</v>
      </c>
      <c r="X23" s="263">
        <v>0</v>
      </c>
      <c r="Y23" s="263">
        <v>0.22222222222222221</v>
      </c>
      <c r="Z23" s="263">
        <v>0</v>
      </c>
      <c r="AA23" s="263">
        <v>0.16666666666666671</v>
      </c>
      <c r="AB23" s="263">
        <v>0.125</v>
      </c>
      <c r="AC23" s="263">
        <v>0</v>
      </c>
      <c r="AD23" s="263">
        <v>0</v>
      </c>
      <c r="AE23" s="263">
        <v>0</v>
      </c>
      <c r="AF23" s="263">
        <v>0</v>
      </c>
      <c r="AG23" s="263">
        <v>0</v>
      </c>
      <c r="AH23" s="263">
        <v>0</v>
      </c>
    </row>
    <row r="24" spans="2:34">
      <c r="B24" s="429" t="s">
        <v>273</v>
      </c>
      <c r="C24" s="430">
        <v>1.7921146953405021E-2</v>
      </c>
      <c r="D24" s="260">
        <v>0</v>
      </c>
      <c r="E24" s="260">
        <v>0</v>
      </c>
      <c r="F24" s="260">
        <v>0</v>
      </c>
      <c r="G24" s="260">
        <v>0</v>
      </c>
      <c r="H24" s="260">
        <v>0</v>
      </c>
      <c r="I24" s="260">
        <v>0.33333333333333331</v>
      </c>
      <c r="J24" s="260">
        <v>0.2</v>
      </c>
      <c r="K24" s="260">
        <v>0</v>
      </c>
      <c r="L24" s="260">
        <v>0.25</v>
      </c>
      <c r="M24" s="260">
        <v>0</v>
      </c>
      <c r="N24" s="260">
        <v>0</v>
      </c>
      <c r="O24" s="260">
        <v>0</v>
      </c>
      <c r="P24" s="260">
        <v>0</v>
      </c>
      <c r="Q24" s="260">
        <v>0</v>
      </c>
      <c r="R24" s="260">
        <v>0</v>
      </c>
      <c r="S24" s="260">
        <v>0.25</v>
      </c>
      <c r="T24" s="260">
        <v>0</v>
      </c>
      <c r="U24" s="260">
        <v>0</v>
      </c>
      <c r="V24" s="260">
        <v>0</v>
      </c>
      <c r="W24" s="260">
        <v>0</v>
      </c>
      <c r="X24" s="260">
        <v>0</v>
      </c>
      <c r="Y24" s="260">
        <v>0</v>
      </c>
      <c r="Z24" s="260">
        <v>0.05</v>
      </c>
      <c r="AA24" s="260">
        <v>0</v>
      </c>
      <c r="AB24" s="260">
        <v>0</v>
      </c>
      <c r="AC24" s="260">
        <v>0</v>
      </c>
      <c r="AD24" s="260">
        <v>0</v>
      </c>
      <c r="AE24" s="260">
        <v>0</v>
      </c>
      <c r="AF24" s="260">
        <v>0</v>
      </c>
      <c r="AG24" s="260">
        <v>0</v>
      </c>
      <c r="AH24" s="260">
        <v>0</v>
      </c>
    </row>
    <row r="25" spans="2:34">
      <c r="B25" s="427" t="s">
        <v>274</v>
      </c>
      <c r="C25" s="428">
        <v>2.6759167492566901E-2</v>
      </c>
      <c r="D25" s="263">
        <v>0.16666666666666671</v>
      </c>
      <c r="E25" s="263">
        <v>0</v>
      </c>
      <c r="F25" s="263">
        <v>0.1111111111111111</v>
      </c>
      <c r="G25" s="263">
        <v>0</v>
      </c>
      <c r="H25" s="263">
        <v>0</v>
      </c>
      <c r="I25" s="263">
        <v>7.1428571428571425E-2</v>
      </c>
      <c r="J25" s="263">
        <v>0</v>
      </c>
      <c r="K25" s="263">
        <v>9.0909090909090912E-2</v>
      </c>
      <c r="L25" s="263">
        <v>0.23076923076923081</v>
      </c>
      <c r="M25" s="263">
        <v>7.6923076923076927E-2</v>
      </c>
      <c r="N25" s="263">
        <v>0</v>
      </c>
      <c r="O25" s="263">
        <v>5.5555555555555552E-2</v>
      </c>
      <c r="P25" s="263">
        <v>0</v>
      </c>
      <c r="Q25" s="263">
        <v>0</v>
      </c>
      <c r="R25" s="263">
        <v>4.1666666666666657E-2</v>
      </c>
      <c r="S25" s="263">
        <v>4.5454545454545463E-2</v>
      </c>
      <c r="T25" s="263">
        <v>5.5555555555555552E-2</v>
      </c>
      <c r="U25" s="263">
        <v>5.2631578947368418E-2</v>
      </c>
      <c r="V25" s="263">
        <v>0</v>
      </c>
      <c r="W25" s="263">
        <v>0</v>
      </c>
      <c r="X25" s="263">
        <v>0.1</v>
      </c>
      <c r="Y25" s="263">
        <v>4.7619047619047623E-2</v>
      </c>
      <c r="Z25" s="263">
        <v>4.1666666666666657E-2</v>
      </c>
      <c r="AA25" s="263">
        <v>3.8461538461538457E-2</v>
      </c>
      <c r="AB25" s="263">
        <v>2.6666666666666668E-2</v>
      </c>
      <c r="AC25" s="263">
        <v>3.125E-2</v>
      </c>
      <c r="AD25" s="263">
        <v>2.1276595744680851E-2</v>
      </c>
      <c r="AE25" s="263">
        <v>1.0869565217391301E-2</v>
      </c>
      <c r="AF25" s="263">
        <v>1.0869565217391301E-2</v>
      </c>
      <c r="AG25" s="263">
        <v>0</v>
      </c>
      <c r="AH25" s="263">
        <v>0</v>
      </c>
    </row>
    <row r="26" spans="2:34">
      <c r="B26" s="429" t="s">
        <v>275</v>
      </c>
      <c r="C26" s="430">
        <v>5.128205128205128E-2</v>
      </c>
      <c r="D26" s="260">
        <v>0</v>
      </c>
      <c r="E26" s="260">
        <v>0</v>
      </c>
      <c r="F26" s="260">
        <v>0</v>
      </c>
      <c r="G26" s="260">
        <v>0.5</v>
      </c>
      <c r="H26" s="260" t="s">
        <v>237</v>
      </c>
      <c r="I26" s="260" t="s">
        <v>237</v>
      </c>
      <c r="J26" s="260" t="s">
        <v>237</v>
      </c>
      <c r="K26" s="260">
        <v>0</v>
      </c>
      <c r="L26" s="260">
        <v>0</v>
      </c>
      <c r="M26" s="260">
        <v>0</v>
      </c>
      <c r="N26" s="260">
        <v>0</v>
      </c>
      <c r="O26" s="260">
        <v>0</v>
      </c>
      <c r="P26" s="260">
        <v>0</v>
      </c>
      <c r="Q26" s="260">
        <v>0</v>
      </c>
      <c r="R26" s="260">
        <v>0</v>
      </c>
      <c r="S26" s="260">
        <v>0</v>
      </c>
      <c r="T26" s="260">
        <v>0</v>
      </c>
      <c r="U26" s="260">
        <v>0</v>
      </c>
      <c r="V26" s="260">
        <v>0</v>
      </c>
      <c r="W26" s="260">
        <v>0</v>
      </c>
      <c r="X26" s="260">
        <v>0</v>
      </c>
      <c r="Y26" s="260">
        <v>0</v>
      </c>
      <c r="Z26" s="260">
        <v>0</v>
      </c>
      <c r="AA26" s="260">
        <v>0.5</v>
      </c>
      <c r="AB26" s="260">
        <v>0</v>
      </c>
      <c r="AC26" s="260">
        <v>0</v>
      </c>
      <c r="AD26" s="260">
        <v>0</v>
      </c>
      <c r="AE26" s="260">
        <v>0</v>
      </c>
      <c r="AF26" s="260">
        <v>0</v>
      </c>
      <c r="AG26" s="260">
        <v>0.1</v>
      </c>
      <c r="AH26" s="260">
        <v>9.0909090909090912E-2</v>
      </c>
    </row>
    <row r="27" spans="2:34">
      <c r="B27" s="427" t="s">
        <v>276</v>
      </c>
      <c r="C27" s="428">
        <v>4.8275862068965517E-2</v>
      </c>
      <c r="D27" s="263" t="s">
        <v>237</v>
      </c>
      <c r="E27" s="263" t="s">
        <v>237</v>
      </c>
      <c r="F27" s="263" t="s">
        <v>237</v>
      </c>
      <c r="G27" s="263" t="s">
        <v>237</v>
      </c>
      <c r="H27" s="263">
        <v>0</v>
      </c>
      <c r="I27" s="263">
        <v>0</v>
      </c>
      <c r="J27" s="263">
        <v>0</v>
      </c>
      <c r="K27" s="263">
        <v>0.25</v>
      </c>
      <c r="L27" s="263">
        <v>0.33333333333333331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5.2631578947368418E-2</v>
      </c>
      <c r="S27" s="263">
        <v>4.3478260869565223E-2</v>
      </c>
      <c r="T27" s="263">
        <v>8.3333333333333329E-2</v>
      </c>
      <c r="U27" s="263">
        <v>0.1153846153846154</v>
      </c>
      <c r="V27" s="263">
        <v>0</v>
      </c>
      <c r="W27" s="263">
        <v>0</v>
      </c>
      <c r="X27" s="263">
        <v>0</v>
      </c>
      <c r="Y27" s="263">
        <v>8.3333333333333329E-2</v>
      </c>
      <c r="Z27" s="263">
        <v>0</v>
      </c>
      <c r="AA27" s="263">
        <v>6.25E-2</v>
      </c>
      <c r="AB27" s="263">
        <v>0.12</v>
      </c>
      <c r="AC27" s="263">
        <v>0</v>
      </c>
      <c r="AD27" s="263">
        <v>0.1025641025641026</v>
      </c>
      <c r="AE27" s="263">
        <v>5.7142857142857141E-2</v>
      </c>
      <c r="AF27" s="263">
        <v>0</v>
      </c>
      <c r="AG27" s="263">
        <v>3.7037037037037028E-2</v>
      </c>
      <c r="AH27" s="263">
        <v>0</v>
      </c>
    </row>
    <row r="28" spans="2:34">
      <c r="B28" s="429" t="s">
        <v>277</v>
      </c>
      <c r="C28" s="430">
        <v>7.8125E-2</v>
      </c>
      <c r="D28" s="260">
        <v>0.2</v>
      </c>
      <c r="E28" s="260">
        <v>0.2</v>
      </c>
      <c r="F28" s="260">
        <v>0</v>
      </c>
      <c r="G28" s="260">
        <v>0</v>
      </c>
      <c r="H28" s="260">
        <v>0.33333333333333331</v>
      </c>
      <c r="I28" s="260">
        <v>0</v>
      </c>
      <c r="J28" s="260">
        <v>0</v>
      </c>
      <c r="K28" s="260">
        <v>0</v>
      </c>
      <c r="L28" s="260">
        <v>0</v>
      </c>
      <c r="M28" s="260">
        <v>1</v>
      </c>
      <c r="N28" s="260">
        <v>0</v>
      </c>
      <c r="O28" s="260">
        <v>0</v>
      </c>
      <c r="P28" s="260">
        <v>0</v>
      </c>
      <c r="Q28" s="260">
        <v>0</v>
      </c>
      <c r="R28" s="260">
        <v>0</v>
      </c>
      <c r="S28" s="260">
        <v>0</v>
      </c>
      <c r="T28" s="260">
        <v>0</v>
      </c>
      <c r="U28" s="260">
        <v>0</v>
      </c>
      <c r="V28" s="260">
        <v>9.0909090909090912E-2</v>
      </c>
      <c r="W28" s="260">
        <v>0</v>
      </c>
      <c r="X28" s="260">
        <v>6.25E-2</v>
      </c>
      <c r="Y28" s="260">
        <v>0.125</v>
      </c>
      <c r="Z28" s="260">
        <v>0.1176470588235294</v>
      </c>
      <c r="AA28" s="260">
        <v>0</v>
      </c>
      <c r="AB28" s="260">
        <v>4.3478260869565223E-2</v>
      </c>
      <c r="AC28" s="260">
        <v>0</v>
      </c>
      <c r="AD28" s="260">
        <v>4.5454545454545463E-2</v>
      </c>
      <c r="AE28" s="260">
        <v>0.1153846153846154</v>
      </c>
      <c r="AF28" s="260">
        <v>8.6956521739130432E-2</v>
      </c>
      <c r="AG28" s="260">
        <v>0.20833333333333329</v>
      </c>
      <c r="AH28" s="260">
        <v>0.13043478260869559</v>
      </c>
    </row>
    <row r="29" spans="2:34">
      <c r="B29" s="427" t="s">
        <v>279</v>
      </c>
      <c r="C29" s="428">
        <v>3.4482758620689648E-2</v>
      </c>
      <c r="D29" s="263">
        <v>0</v>
      </c>
      <c r="E29" s="263">
        <v>0</v>
      </c>
      <c r="F29" s="263">
        <v>0</v>
      </c>
      <c r="G29" s="263">
        <v>0</v>
      </c>
      <c r="H29" s="263">
        <v>0</v>
      </c>
      <c r="I29" s="263">
        <v>0</v>
      </c>
      <c r="J29" s="263">
        <v>0</v>
      </c>
      <c r="K29" s="263">
        <v>0</v>
      </c>
      <c r="L29" s="263">
        <v>0</v>
      </c>
      <c r="M29" s="263">
        <v>0</v>
      </c>
      <c r="N29" s="263">
        <v>0</v>
      </c>
      <c r="O29" s="263">
        <v>0</v>
      </c>
      <c r="P29" s="263">
        <v>0</v>
      </c>
      <c r="Q29" s="263">
        <v>0</v>
      </c>
      <c r="R29" s="263">
        <v>0</v>
      </c>
      <c r="S29" s="263">
        <v>0</v>
      </c>
      <c r="T29" s="263">
        <v>0</v>
      </c>
      <c r="U29" s="263">
        <v>0</v>
      </c>
      <c r="V29" s="263">
        <v>0</v>
      </c>
      <c r="W29" s="263">
        <v>0</v>
      </c>
      <c r="X29" s="263">
        <v>0</v>
      </c>
      <c r="Y29" s="263">
        <v>0</v>
      </c>
      <c r="Z29" s="263">
        <v>9.0909090909090912E-2</v>
      </c>
      <c r="AA29" s="263">
        <v>9.0909090909090912E-2</v>
      </c>
      <c r="AB29" s="263">
        <v>0.3</v>
      </c>
      <c r="AC29" s="263">
        <v>0.1111111111111111</v>
      </c>
      <c r="AD29" s="263">
        <v>0.14285714285714279</v>
      </c>
      <c r="AE29" s="263">
        <v>0</v>
      </c>
      <c r="AF29" s="263">
        <v>0</v>
      </c>
      <c r="AG29" s="263">
        <v>0</v>
      </c>
      <c r="AH29" s="263">
        <v>0</v>
      </c>
    </row>
    <row r="30" spans="2:34">
      <c r="B30" s="429" t="s">
        <v>280</v>
      </c>
      <c r="C30" s="430">
        <v>3.6231884057971023E-2</v>
      </c>
      <c r="D30" s="260" t="s">
        <v>237</v>
      </c>
      <c r="E30" s="260">
        <v>0</v>
      </c>
      <c r="F30" s="260">
        <v>0</v>
      </c>
      <c r="G30" s="260">
        <v>0</v>
      </c>
      <c r="H30" s="260">
        <v>0</v>
      </c>
      <c r="I30" s="260">
        <v>0</v>
      </c>
      <c r="J30" s="260">
        <v>0</v>
      </c>
      <c r="K30" s="260">
        <v>0</v>
      </c>
      <c r="L30" s="260">
        <v>0</v>
      </c>
      <c r="M30" s="260">
        <v>0.33333333333333331</v>
      </c>
      <c r="N30" s="260">
        <v>0</v>
      </c>
      <c r="O30" s="260">
        <v>0</v>
      </c>
      <c r="P30" s="260">
        <v>0</v>
      </c>
      <c r="Q30" s="260">
        <v>0</v>
      </c>
      <c r="R30" s="260">
        <v>0</v>
      </c>
      <c r="S30" s="260">
        <v>0</v>
      </c>
      <c r="T30" s="260">
        <v>0</v>
      </c>
      <c r="U30" s="260">
        <v>0</v>
      </c>
      <c r="V30" s="260">
        <v>0</v>
      </c>
      <c r="W30" s="260">
        <v>0</v>
      </c>
      <c r="X30" s="260">
        <v>0</v>
      </c>
      <c r="Y30" s="260">
        <v>3.5714285714285712E-2</v>
      </c>
      <c r="Z30" s="260">
        <v>0.1153846153846154</v>
      </c>
      <c r="AA30" s="260">
        <v>0</v>
      </c>
      <c r="AB30" s="260">
        <v>0.04</v>
      </c>
      <c r="AC30" s="260">
        <v>4.1666666666666657E-2</v>
      </c>
      <c r="AD30" s="260">
        <v>0</v>
      </c>
      <c r="AE30" s="260">
        <v>0</v>
      </c>
      <c r="AF30" s="260">
        <v>0</v>
      </c>
      <c r="AG30" s="260">
        <v>0.1764705882352941</v>
      </c>
      <c r="AH30" s="260">
        <v>0</v>
      </c>
    </row>
    <row r="31" spans="2:34">
      <c r="B31" s="427" t="s">
        <v>281</v>
      </c>
      <c r="C31" s="428">
        <v>2.1582733812949641E-2</v>
      </c>
      <c r="D31" s="263" t="s">
        <v>237</v>
      </c>
      <c r="E31" s="263" t="s">
        <v>237</v>
      </c>
      <c r="F31" s="263">
        <v>0</v>
      </c>
      <c r="G31" s="263">
        <v>0</v>
      </c>
      <c r="H31" s="263">
        <v>0</v>
      </c>
      <c r="I31" s="263">
        <v>0</v>
      </c>
      <c r="J31" s="263">
        <v>0</v>
      </c>
      <c r="K31" s="263">
        <v>0</v>
      </c>
      <c r="L31" s="263">
        <v>0.1</v>
      </c>
      <c r="M31" s="263">
        <v>0</v>
      </c>
      <c r="N31" s="263">
        <v>0</v>
      </c>
      <c r="O31" s="263">
        <v>0</v>
      </c>
      <c r="P31" s="263">
        <v>0</v>
      </c>
      <c r="Q31" s="263">
        <v>0</v>
      </c>
      <c r="R31" s="263">
        <v>0</v>
      </c>
      <c r="S31" s="263">
        <v>0.1</v>
      </c>
      <c r="T31" s="263">
        <v>0</v>
      </c>
      <c r="U31" s="263">
        <v>9.0909090909090912E-2</v>
      </c>
      <c r="V31" s="263">
        <v>0.1111111111111111</v>
      </c>
      <c r="W31" s="263">
        <v>0</v>
      </c>
      <c r="X31" s="263">
        <v>0</v>
      </c>
      <c r="Y31" s="263">
        <v>0</v>
      </c>
      <c r="Z31" s="263">
        <v>0</v>
      </c>
      <c r="AA31" s="263">
        <v>0</v>
      </c>
      <c r="AB31" s="263">
        <v>0</v>
      </c>
      <c r="AC31" s="263">
        <v>0</v>
      </c>
      <c r="AD31" s="263">
        <v>5.5555555555555552E-2</v>
      </c>
      <c r="AE31" s="263">
        <v>0.1</v>
      </c>
      <c r="AF31" s="263">
        <v>0</v>
      </c>
      <c r="AG31" s="263">
        <v>0</v>
      </c>
      <c r="AH31" s="263">
        <v>0</v>
      </c>
    </row>
    <row r="32" spans="2:34">
      <c r="B32" s="429" t="s">
        <v>283</v>
      </c>
      <c r="C32" s="430">
        <v>3.0927835051546389E-2</v>
      </c>
      <c r="D32" s="260">
        <v>0</v>
      </c>
      <c r="E32" s="260">
        <v>0</v>
      </c>
      <c r="F32" s="260">
        <v>6.6666666666666666E-2</v>
      </c>
      <c r="G32" s="260">
        <v>8.3333333333333329E-2</v>
      </c>
      <c r="H32" s="260">
        <v>0</v>
      </c>
      <c r="I32" s="260">
        <v>0</v>
      </c>
      <c r="J32" s="260">
        <v>0</v>
      </c>
      <c r="K32" s="260">
        <v>0.125</v>
      </c>
      <c r="L32" s="260">
        <v>0.14285714285714279</v>
      </c>
      <c r="M32" s="260">
        <v>0</v>
      </c>
      <c r="N32" s="260">
        <v>0</v>
      </c>
      <c r="O32" s="260">
        <v>0</v>
      </c>
      <c r="P32" s="260">
        <v>0</v>
      </c>
      <c r="Q32" s="260">
        <v>0</v>
      </c>
      <c r="R32" s="260">
        <v>0</v>
      </c>
      <c r="S32" s="260">
        <v>0</v>
      </c>
      <c r="T32" s="260">
        <v>0</v>
      </c>
      <c r="U32" s="260">
        <v>0</v>
      </c>
      <c r="V32" s="260">
        <v>0.16666666666666671</v>
      </c>
      <c r="W32" s="260">
        <v>0</v>
      </c>
      <c r="X32" s="260">
        <v>0</v>
      </c>
      <c r="Y32" s="260">
        <v>0</v>
      </c>
      <c r="Z32" s="260">
        <v>0</v>
      </c>
      <c r="AA32" s="260">
        <v>0</v>
      </c>
      <c r="AB32" s="260">
        <v>0</v>
      </c>
      <c r="AC32" s="260">
        <v>0</v>
      </c>
      <c r="AD32" s="260">
        <v>0</v>
      </c>
      <c r="AE32" s="260">
        <v>0</v>
      </c>
      <c r="AF32" s="260">
        <v>0</v>
      </c>
      <c r="AG32" s="260">
        <v>0</v>
      </c>
      <c r="AH32" s="260">
        <v>0.25</v>
      </c>
    </row>
    <row r="33" spans="2:34">
      <c r="B33" s="427" t="s">
        <v>284</v>
      </c>
      <c r="C33" s="428">
        <v>0.04</v>
      </c>
      <c r="D33" s="263">
        <v>0</v>
      </c>
      <c r="E33" s="263">
        <v>0</v>
      </c>
      <c r="F33" s="263">
        <v>0</v>
      </c>
      <c r="G33" s="263">
        <v>0</v>
      </c>
      <c r="H33" s="263">
        <v>0.33333333333333331</v>
      </c>
      <c r="I33" s="263">
        <v>6.25E-2</v>
      </c>
      <c r="J33" s="263">
        <v>6.6666666666666666E-2</v>
      </c>
      <c r="K33" s="263">
        <v>7.6923076923076927E-2</v>
      </c>
      <c r="L33" s="263">
        <v>8.3333333333333329E-2</v>
      </c>
      <c r="M33" s="263">
        <v>0</v>
      </c>
      <c r="N33" s="263">
        <v>0.15384615384615391</v>
      </c>
      <c r="O33" s="263">
        <v>0</v>
      </c>
      <c r="P33" s="263">
        <v>0</v>
      </c>
      <c r="Q33" s="263">
        <v>0</v>
      </c>
      <c r="R33" s="263">
        <v>0</v>
      </c>
      <c r="S33" s="263">
        <v>0</v>
      </c>
      <c r="T33" s="263">
        <v>0</v>
      </c>
      <c r="U33" s="263">
        <v>0</v>
      </c>
      <c r="V33" s="263">
        <v>6.6666666666666666E-2</v>
      </c>
      <c r="W33" s="263">
        <v>0</v>
      </c>
      <c r="X33" s="263">
        <v>0</v>
      </c>
      <c r="Y33" s="263">
        <v>0</v>
      </c>
      <c r="Z33" s="263">
        <v>6.6666666666666666E-2</v>
      </c>
      <c r="AA33" s="263">
        <v>5.2631578947368418E-2</v>
      </c>
      <c r="AB33" s="263">
        <v>4.5454545454545463E-2</v>
      </c>
      <c r="AC33" s="263">
        <v>0</v>
      </c>
      <c r="AD33" s="263">
        <v>7.6923076923076927E-2</v>
      </c>
      <c r="AE33" s="263">
        <v>4.3478260869565223E-2</v>
      </c>
      <c r="AF33" s="263">
        <v>0</v>
      </c>
      <c r="AG33" s="263">
        <v>0</v>
      </c>
      <c r="AH33" s="263">
        <v>0</v>
      </c>
    </row>
    <row r="34" spans="2:34">
      <c r="B34" s="429" t="s">
        <v>285</v>
      </c>
      <c r="C34" s="430">
        <v>3.5547785547785538E-2</v>
      </c>
      <c r="D34" s="260">
        <v>0</v>
      </c>
      <c r="E34" s="260">
        <v>0</v>
      </c>
      <c r="F34" s="260">
        <v>0</v>
      </c>
      <c r="G34" s="260">
        <v>0.10526315789473679</v>
      </c>
      <c r="H34" s="260">
        <v>0.14285714285714279</v>
      </c>
      <c r="I34" s="260">
        <v>0</v>
      </c>
      <c r="J34" s="260">
        <v>0</v>
      </c>
      <c r="K34" s="260">
        <v>0.1</v>
      </c>
      <c r="L34" s="260">
        <v>0.23076923076923081</v>
      </c>
      <c r="M34" s="260">
        <v>0.125</v>
      </c>
      <c r="N34" s="260">
        <v>7.6923076923076927E-2</v>
      </c>
      <c r="O34" s="260">
        <v>5.5555555555555552E-2</v>
      </c>
      <c r="P34" s="260">
        <v>0</v>
      </c>
      <c r="Q34" s="260">
        <v>0</v>
      </c>
      <c r="R34" s="260">
        <v>6.0606060606060608E-2</v>
      </c>
      <c r="S34" s="260">
        <v>4.3478260869565223E-2</v>
      </c>
      <c r="T34" s="260">
        <v>1.8181818181818181E-2</v>
      </c>
      <c r="U34" s="260">
        <v>6.1538461538461542E-2</v>
      </c>
      <c r="V34" s="260">
        <v>0</v>
      </c>
      <c r="W34" s="260">
        <v>4.878048780487805E-2</v>
      </c>
      <c r="X34" s="260">
        <v>6.5934065934065936E-2</v>
      </c>
      <c r="Y34" s="260">
        <v>9.6153846153846159E-3</v>
      </c>
      <c r="Z34" s="260">
        <v>4.5045045045045043E-2</v>
      </c>
      <c r="AA34" s="260">
        <v>0</v>
      </c>
      <c r="AB34" s="260">
        <v>4.8543689320388349E-2</v>
      </c>
      <c r="AC34" s="260">
        <v>6.9306930693069313E-2</v>
      </c>
      <c r="AD34" s="260">
        <v>6.6037735849056603E-2</v>
      </c>
      <c r="AE34" s="260">
        <v>3.1578947368421047E-2</v>
      </c>
      <c r="AF34" s="260">
        <v>1.020408163265306E-2</v>
      </c>
      <c r="AG34" s="260">
        <v>9.6153846153846159E-3</v>
      </c>
      <c r="AH34" s="260">
        <v>0</v>
      </c>
    </row>
    <row r="35" spans="2:34">
      <c r="B35" s="427" t="s">
        <v>286</v>
      </c>
      <c r="C35" s="428">
        <v>4.9504950495049514E-3</v>
      </c>
      <c r="D35" s="263">
        <v>0</v>
      </c>
      <c r="E35" s="263">
        <v>0</v>
      </c>
      <c r="F35" s="263">
        <v>0</v>
      </c>
      <c r="G35" s="263">
        <v>0</v>
      </c>
      <c r="H35" s="263">
        <v>0</v>
      </c>
      <c r="I35" s="263">
        <v>0</v>
      </c>
      <c r="J35" s="263">
        <v>0</v>
      </c>
      <c r="K35" s="263">
        <v>0</v>
      </c>
      <c r="L35" s="263">
        <v>0</v>
      </c>
      <c r="M35" s="263">
        <v>0</v>
      </c>
      <c r="N35" s="263">
        <v>0</v>
      </c>
      <c r="O35" s="263">
        <v>0</v>
      </c>
      <c r="P35" s="263">
        <v>0</v>
      </c>
      <c r="Q35" s="263">
        <v>0</v>
      </c>
      <c r="R35" s="263">
        <v>0</v>
      </c>
      <c r="S35" s="263">
        <v>0</v>
      </c>
      <c r="T35" s="263">
        <v>0</v>
      </c>
      <c r="U35" s="263">
        <v>0</v>
      </c>
      <c r="V35" s="263">
        <v>0</v>
      </c>
      <c r="W35" s="263">
        <v>0</v>
      </c>
      <c r="X35" s="263">
        <v>0</v>
      </c>
      <c r="Y35" s="263">
        <v>0</v>
      </c>
      <c r="Z35" s="263">
        <v>0</v>
      </c>
      <c r="AA35" s="263">
        <v>0</v>
      </c>
      <c r="AB35" s="263">
        <v>0</v>
      </c>
      <c r="AC35" s="263">
        <v>0</v>
      </c>
      <c r="AD35" s="263">
        <v>0</v>
      </c>
      <c r="AE35" s="263">
        <v>0</v>
      </c>
      <c r="AF35" s="263">
        <v>0</v>
      </c>
      <c r="AG35" s="263">
        <v>0.16666666666666671</v>
      </c>
      <c r="AH35" s="263">
        <v>0</v>
      </c>
    </row>
    <row r="36" spans="2:34">
      <c r="B36" s="429" t="s">
        <v>287</v>
      </c>
      <c r="C36" s="430">
        <v>0.02</v>
      </c>
      <c r="D36" s="260">
        <v>0</v>
      </c>
      <c r="E36" s="260">
        <v>0</v>
      </c>
      <c r="F36" s="260">
        <v>0.5</v>
      </c>
      <c r="G36" s="260">
        <v>0</v>
      </c>
      <c r="H36" s="260">
        <v>0</v>
      </c>
      <c r="I36" s="260">
        <v>0</v>
      </c>
      <c r="J36" s="260">
        <v>0</v>
      </c>
      <c r="K36" s="260">
        <v>0</v>
      </c>
      <c r="L36" s="260">
        <v>0.2</v>
      </c>
      <c r="M36" s="260">
        <v>0</v>
      </c>
      <c r="N36" s="260">
        <v>0.1</v>
      </c>
      <c r="O36" s="260">
        <v>0.14285714285714279</v>
      </c>
      <c r="P36" s="260">
        <v>0</v>
      </c>
      <c r="Q36" s="260">
        <v>0</v>
      </c>
      <c r="R36" s="260">
        <v>0</v>
      </c>
      <c r="S36" s="260">
        <v>0</v>
      </c>
      <c r="T36" s="260">
        <v>0</v>
      </c>
      <c r="U36" s="260">
        <v>0</v>
      </c>
      <c r="V36" s="260">
        <v>0</v>
      </c>
      <c r="W36" s="260">
        <v>6.6666666666666666E-2</v>
      </c>
      <c r="X36" s="260">
        <v>0</v>
      </c>
      <c r="Y36" s="260">
        <v>0</v>
      </c>
      <c r="Z36" s="260">
        <v>0</v>
      </c>
      <c r="AA36" s="260">
        <v>2.1276595744680851E-2</v>
      </c>
      <c r="AB36" s="260">
        <v>0</v>
      </c>
      <c r="AC36" s="260">
        <v>2.1276595744680851E-2</v>
      </c>
      <c r="AD36" s="260">
        <v>2.0408163265306121E-2</v>
      </c>
      <c r="AE36" s="260">
        <v>0.02</v>
      </c>
      <c r="AF36" s="260">
        <v>2.0833333333333329E-2</v>
      </c>
      <c r="AG36" s="260">
        <v>2.222222222222222E-2</v>
      </c>
      <c r="AH36" s="260">
        <v>0</v>
      </c>
    </row>
    <row r="37" spans="2:34">
      <c r="B37" s="427" t="s">
        <v>288</v>
      </c>
      <c r="C37" s="428">
        <v>5.2272727272727269E-2</v>
      </c>
      <c r="D37" s="263">
        <v>0</v>
      </c>
      <c r="E37" s="263">
        <v>0</v>
      </c>
      <c r="F37" s="263">
        <v>0</v>
      </c>
      <c r="G37" s="263">
        <v>0</v>
      </c>
      <c r="H37" s="263">
        <v>0.25</v>
      </c>
      <c r="I37" s="263">
        <v>0</v>
      </c>
      <c r="J37" s="263">
        <v>0.16666666666666671</v>
      </c>
      <c r="K37" s="263">
        <v>0.22222222222222221</v>
      </c>
      <c r="L37" s="263">
        <v>0</v>
      </c>
      <c r="M37" s="263">
        <v>0.125</v>
      </c>
      <c r="N37" s="263">
        <v>0</v>
      </c>
      <c r="O37" s="263">
        <v>0.1111111111111111</v>
      </c>
      <c r="P37" s="263">
        <v>0</v>
      </c>
      <c r="Q37" s="263">
        <v>0</v>
      </c>
      <c r="R37" s="263">
        <v>0.1</v>
      </c>
      <c r="S37" s="263">
        <v>0</v>
      </c>
      <c r="T37" s="263">
        <v>0</v>
      </c>
      <c r="U37" s="263">
        <v>0</v>
      </c>
      <c r="V37" s="263">
        <v>0.1</v>
      </c>
      <c r="W37" s="263">
        <v>0</v>
      </c>
      <c r="X37" s="263">
        <v>0.16666666666666671</v>
      </c>
      <c r="Y37" s="263">
        <v>0</v>
      </c>
      <c r="Z37" s="263">
        <v>0</v>
      </c>
      <c r="AA37" s="263">
        <v>0.05</v>
      </c>
      <c r="AB37" s="263">
        <v>4.7619047619047623E-2</v>
      </c>
      <c r="AC37" s="263">
        <v>6.6666666666666666E-2</v>
      </c>
      <c r="AD37" s="263">
        <v>0.1081081081081081</v>
      </c>
      <c r="AE37" s="263">
        <v>0</v>
      </c>
      <c r="AF37" s="263">
        <v>0</v>
      </c>
      <c r="AG37" s="263">
        <v>9.7560975609756101E-2</v>
      </c>
      <c r="AH37" s="263">
        <v>2.1276595744680851E-2</v>
      </c>
    </row>
    <row r="38" spans="2:34">
      <c r="B38" s="429" t="s">
        <v>289</v>
      </c>
      <c r="C38" s="430">
        <v>5.7471264367816091E-3</v>
      </c>
      <c r="D38" s="260" t="s">
        <v>237</v>
      </c>
      <c r="E38" s="260" t="s">
        <v>237</v>
      </c>
      <c r="F38" s="260">
        <v>0</v>
      </c>
      <c r="G38" s="260">
        <v>0</v>
      </c>
      <c r="H38" s="260">
        <v>0</v>
      </c>
      <c r="I38" s="260">
        <v>0</v>
      </c>
      <c r="J38" s="260">
        <v>0</v>
      </c>
      <c r="K38" s="260">
        <v>0</v>
      </c>
      <c r="L38" s="260">
        <v>0</v>
      </c>
      <c r="M38" s="260">
        <v>0</v>
      </c>
      <c r="N38" s="260">
        <v>0</v>
      </c>
      <c r="O38" s="260">
        <v>0</v>
      </c>
      <c r="P38" s="260">
        <v>0</v>
      </c>
      <c r="Q38" s="260">
        <v>0</v>
      </c>
      <c r="R38" s="260">
        <v>0</v>
      </c>
      <c r="S38" s="260">
        <v>0</v>
      </c>
      <c r="T38" s="260">
        <v>0</v>
      </c>
      <c r="U38" s="260">
        <v>0</v>
      </c>
      <c r="V38" s="260">
        <v>0</v>
      </c>
      <c r="W38" s="260">
        <v>7.6923076923076927E-2</v>
      </c>
      <c r="X38" s="260">
        <v>0</v>
      </c>
      <c r="Y38" s="260">
        <v>0</v>
      </c>
      <c r="Z38" s="260">
        <v>0</v>
      </c>
      <c r="AA38" s="260">
        <v>0</v>
      </c>
      <c r="AB38" s="260">
        <v>0</v>
      </c>
      <c r="AC38" s="260">
        <v>0</v>
      </c>
      <c r="AD38" s="260">
        <v>0</v>
      </c>
      <c r="AE38" s="260">
        <v>0</v>
      </c>
      <c r="AF38" s="260">
        <v>0</v>
      </c>
      <c r="AG38" s="260">
        <v>0</v>
      </c>
      <c r="AH38" s="260">
        <v>0</v>
      </c>
    </row>
    <row r="39" spans="2:34">
      <c r="B39" s="427" t="s">
        <v>291</v>
      </c>
      <c r="C39" s="428">
        <v>1.367521367521368E-2</v>
      </c>
      <c r="D39" s="263" t="s">
        <v>237</v>
      </c>
      <c r="E39" s="263" t="s">
        <v>237</v>
      </c>
      <c r="F39" s="263" t="s">
        <v>237</v>
      </c>
      <c r="G39" s="263" t="s">
        <v>237</v>
      </c>
      <c r="H39" s="263">
        <v>0</v>
      </c>
      <c r="I39" s="263">
        <v>0</v>
      </c>
      <c r="J39" s="263">
        <v>0</v>
      </c>
      <c r="K39" s="263">
        <v>0.16666666666666671</v>
      </c>
      <c r="L39" s="263">
        <v>0</v>
      </c>
      <c r="M39" s="263">
        <v>0</v>
      </c>
      <c r="N39" s="263">
        <v>0</v>
      </c>
      <c r="O39" s="263">
        <v>0</v>
      </c>
      <c r="P39" s="263">
        <v>0</v>
      </c>
      <c r="Q39" s="263">
        <v>0</v>
      </c>
      <c r="R39" s="263">
        <v>0</v>
      </c>
      <c r="S39" s="263">
        <v>0</v>
      </c>
      <c r="T39" s="263">
        <v>0.125</v>
      </c>
      <c r="U39" s="263">
        <v>0.1333333333333333</v>
      </c>
      <c r="V39" s="263">
        <v>5.8823529411764712E-2</v>
      </c>
      <c r="W39" s="263">
        <v>0</v>
      </c>
      <c r="X39" s="263">
        <v>3.125E-2</v>
      </c>
      <c r="Y39" s="263">
        <v>0</v>
      </c>
      <c r="Z39" s="263">
        <v>0</v>
      </c>
      <c r="AA39" s="263">
        <v>0</v>
      </c>
      <c r="AB39" s="263">
        <v>0</v>
      </c>
      <c r="AC39" s="263">
        <v>0</v>
      </c>
      <c r="AD39" s="263">
        <v>2.4390243902439029E-2</v>
      </c>
      <c r="AE39" s="263">
        <v>0</v>
      </c>
      <c r="AF39" s="263">
        <v>0</v>
      </c>
      <c r="AG39" s="263">
        <v>0</v>
      </c>
      <c r="AH39" s="263">
        <v>0</v>
      </c>
    </row>
    <row r="40" spans="2:34">
      <c r="B40" s="429" t="s">
        <v>293</v>
      </c>
      <c r="C40" s="430">
        <v>0</v>
      </c>
      <c r="D40" s="260" t="s">
        <v>237</v>
      </c>
      <c r="E40" s="260" t="s">
        <v>237</v>
      </c>
      <c r="F40" s="260" t="s">
        <v>237</v>
      </c>
      <c r="G40" s="260" t="s">
        <v>237</v>
      </c>
      <c r="H40" s="260">
        <v>0</v>
      </c>
      <c r="I40" s="260">
        <v>0</v>
      </c>
      <c r="J40" s="260">
        <v>0</v>
      </c>
      <c r="K40" s="260">
        <v>0</v>
      </c>
      <c r="L40" s="260">
        <v>0</v>
      </c>
      <c r="M40" s="260">
        <v>0</v>
      </c>
      <c r="N40" s="260">
        <v>0</v>
      </c>
      <c r="O40" s="260">
        <v>0</v>
      </c>
      <c r="P40" s="260">
        <v>0</v>
      </c>
      <c r="Q40" s="260">
        <v>0</v>
      </c>
      <c r="R40" s="260">
        <v>0</v>
      </c>
      <c r="S40" s="260">
        <v>0</v>
      </c>
      <c r="T40" s="260">
        <v>0</v>
      </c>
      <c r="U40" s="260">
        <v>0</v>
      </c>
      <c r="V40" s="260">
        <v>0</v>
      </c>
      <c r="W40" s="260">
        <v>0</v>
      </c>
      <c r="X40" s="260">
        <v>0</v>
      </c>
      <c r="Y40" s="260">
        <v>0</v>
      </c>
      <c r="Z40" s="260">
        <v>0</v>
      </c>
      <c r="AA40" s="260">
        <v>0</v>
      </c>
      <c r="AB40" s="260">
        <v>0</v>
      </c>
      <c r="AC40" s="260">
        <v>0</v>
      </c>
      <c r="AD40" s="260">
        <v>0</v>
      </c>
      <c r="AE40" s="260">
        <v>0</v>
      </c>
      <c r="AF40" s="260">
        <v>0</v>
      </c>
      <c r="AG40" s="260">
        <v>0</v>
      </c>
      <c r="AH40" s="260">
        <v>0</v>
      </c>
    </row>
    <row r="41" spans="2:34">
      <c r="B41" s="427" t="s">
        <v>295</v>
      </c>
      <c r="C41" s="428">
        <v>2.553191489361702E-2</v>
      </c>
      <c r="D41" s="263">
        <v>0.2</v>
      </c>
      <c r="E41" s="263">
        <v>0</v>
      </c>
      <c r="F41" s="263">
        <v>0</v>
      </c>
      <c r="G41" s="263">
        <v>0</v>
      </c>
      <c r="H41" s="263">
        <v>0</v>
      </c>
      <c r="I41" s="263">
        <v>0</v>
      </c>
      <c r="J41" s="263">
        <v>0</v>
      </c>
      <c r="K41" s="263">
        <v>0</v>
      </c>
      <c r="L41" s="263">
        <v>0</v>
      </c>
      <c r="M41" s="263">
        <v>0</v>
      </c>
      <c r="N41" s="263">
        <v>0</v>
      </c>
      <c r="O41" s="263">
        <v>0.25</v>
      </c>
      <c r="P41" s="263">
        <v>0</v>
      </c>
      <c r="Q41" s="263">
        <v>0</v>
      </c>
      <c r="R41" s="263">
        <v>0</v>
      </c>
      <c r="S41" s="263">
        <v>0</v>
      </c>
      <c r="T41" s="263">
        <v>0</v>
      </c>
      <c r="U41" s="263">
        <v>0</v>
      </c>
      <c r="V41" s="263">
        <v>0.5</v>
      </c>
      <c r="W41" s="263">
        <v>0</v>
      </c>
      <c r="X41" s="263">
        <v>0</v>
      </c>
      <c r="Y41" s="263">
        <v>0</v>
      </c>
      <c r="Z41" s="263">
        <v>0.1111111111111111</v>
      </c>
      <c r="AA41" s="263">
        <v>0</v>
      </c>
      <c r="AB41" s="263">
        <v>0</v>
      </c>
      <c r="AC41" s="263">
        <v>0</v>
      </c>
      <c r="AD41" s="263">
        <v>4.7619047619047623E-2</v>
      </c>
      <c r="AE41" s="263">
        <v>0</v>
      </c>
      <c r="AF41" s="263">
        <v>0</v>
      </c>
      <c r="AG41" s="263">
        <v>4.3478260869565223E-2</v>
      </c>
      <c r="AH41" s="263">
        <v>0</v>
      </c>
    </row>
    <row r="42" spans="2:34">
      <c r="B42" s="429" t="s">
        <v>296</v>
      </c>
      <c r="C42" s="430">
        <v>2.9069767441860461E-2</v>
      </c>
      <c r="D42" s="260" t="s">
        <v>237</v>
      </c>
      <c r="E42" s="260" t="s">
        <v>237</v>
      </c>
      <c r="F42" s="260" t="s">
        <v>237</v>
      </c>
      <c r="G42" s="260">
        <v>0</v>
      </c>
      <c r="H42" s="260">
        <v>0</v>
      </c>
      <c r="I42" s="260">
        <v>0.5</v>
      </c>
      <c r="J42" s="260">
        <v>0</v>
      </c>
      <c r="K42" s="260">
        <v>0</v>
      </c>
      <c r="L42" s="260">
        <v>0</v>
      </c>
      <c r="M42" s="260">
        <v>0</v>
      </c>
      <c r="N42" s="260">
        <v>0</v>
      </c>
      <c r="O42" s="260">
        <v>0</v>
      </c>
      <c r="P42" s="260">
        <v>0</v>
      </c>
      <c r="Q42" s="260">
        <v>0</v>
      </c>
      <c r="R42" s="260">
        <v>0</v>
      </c>
      <c r="S42" s="260">
        <v>0</v>
      </c>
      <c r="T42" s="260">
        <v>0</v>
      </c>
      <c r="U42" s="260">
        <v>0.14285714285714279</v>
      </c>
      <c r="V42" s="260">
        <v>0</v>
      </c>
      <c r="W42" s="260">
        <v>0</v>
      </c>
      <c r="X42" s="260">
        <v>0</v>
      </c>
      <c r="Y42" s="260">
        <v>0.1818181818181818</v>
      </c>
      <c r="Z42" s="260">
        <v>9.0909090909090912E-2</v>
      </c>
      <c r="AA42" s="260">
        <v>0</v>
      </c>
      <c r="AB42" s="260">
        <v>0</v>
      </c>
      <c r="AC42" s="260">
        <v>0</v>
      </c>
      <c r="AD42" s="260">
        <v>0</v>
      </c>
      <c r="AE42" s="260">
        <v>0</v>
      </c>
      <c r="AF42" s="260">
        <v>0</v>
      </c>
      <c r="AG42" s="260">
        <v>0</v>
      </c>
      <c r="AH42" s="260">
        <v>0</v>
      </c>
    </row>
    <row r="43" spans="2:34">
      <c r="B43" s="427" t="s">
        <v>298</v>
      </c>
      <c r="C43" s="428">
        <v>8.0246913580246909E-2</v>
      </c>
      <c r="D43" s="263">
        <v>0</v>
      </c>
      <c r="E43" s="263">
        <v>0</v>
      </c>
      <c r="F43" s="263">
        <v>0</v>
      </c>
      <c r="G43" s="263">
        <v>0</v>
      </c>
      <c r="H43" s="263">
        <v>0</v>
      </c>
      <c r="I43" s="263">
        <v>0</v>
      </c>
      <c r="J43" s="263">
        <v>0</v>
      </c>
      <c r="K43" s="263">
        <v>0</v>
      </c>
      <c r="L43" s="263">
        <v>0.16666666666666671</v>
      </c>
      <c r="M43" s="263">
        <v>0</v>
      </c>
      <c r="N43" s="263">
        <v>0</v>
      </c>
      <c r="O43" s="263">
        <v>0.6</v>
      </c>
      <c r="P43" s="263">
        <v>0</v>
      </c>
      <c r="Q43" s="263">
        <v>0</v>
      </c>
      <c r="R43" s="263">
        <v>0</v>
      </c>
      <c r="S43" s="263">
        <v>0</v>
      </c>
      <c r="T43" s="263">
        <v>0.125</v>
      </c>
      <c r="U43" s="263">
        <v>0</v>
      </c>
      <c r="V43" s="263">
        <v>0.25</v>
      </c>
      <c r="W43" s="263">
        <v>0</v>
      </c>
      <c r="X43" s="263">
        <v>0</v>
      </c>
      <c r="Y43" s="263">
        <v>0</v>
      </c>
      <c r="Z43" s="263">
        <v>0.75</v>
      </c>
      <c r="AA43" s="263">
        <v>0</v>
      </c>
      <c r="AB43" s="263">
        <v>0.33333333333333331</v>
      </c>
      <c r="AC43" s="263">
        <v>0</v>
      </c>
      <c r="AD43" s="263">
        <v>0</v>
      </c>
      <c r="AE43" s="263">
        <v>0.33333333333333331</v>
      </c>
      <c r="AF43" s="263">
        <v>0</v>
      </c>
      <c r="AG43" s="263">
        <v>0</v>
      </c>
      <c r="AH43" s="263">
        <v>0</v>
      </c>
    </row>
    <row r="44" spans="2:34">
      <c r="B44" s="429" t="s">
        <v>299</v>
      </c>
      <c r="C44" s="430">
        <v>1.058201058201058E-2</v>
      </c>
      <c r="D44" s="260" t="s">
        <v>237</v>
      </c>
      <c r="E44" s="260" t="s">
        <v>237</v>
      </c>
      <c r="F44" s="260" t="s">
        <v>237</v>
      </c>
      <c r="G44" s="260" t="s">
        <v>237</v>
      </c>
      <c r="H44" s="260">
        <v>0</v>
      </c>
      <c r="I44" s="260">
        <v>0</v>
      </c>
      <c r="J44" s="260">
        <v>0.2</v>
      </c>
      <c r="K44" s="260">
        <v>0</v>
      </c>
      <c r="L44" s="260">
        <v>0</v>
      </c>
      <c r="M44" s="260">
        <v>0</v>
      </c>
      <c r="N44" s="260">
        <v>0</v>
      </c>
      <c r="O44" s="260">
        <v>0</v>
      </c>
      <c r="P44" s="260">
        <v>0</v>
      </c>
      <c r="Q44" s="260">
        <v>0</v>
      </c>
      <c r="R44" s="260">
        <v>0</v>
      </c>
      <c r="S44" s="260">
        <v>0</v>
      </c>
      <c r="T44" s="260">
        <v>0.16666666666666671</v>
      </c>
      <c r="U44" s="260">
        <v>0</v>
      </c>
      <c r="V44" s="260">
        <v>0</v>
      </c>
      <c r="W44" s="260">
        <v>0</v>
      </c>
      <c r="X44" s="260">
        <v>0</v>
      </c>
      <c r="Y44" s="260">
        <v>0</v>
      </c>
      <c r="Z44" s="260">
        <v>0</v>
      </c>
      <c r="AA44" s="260">
        <v>0</v>
      </c>
      <c r="AB44" s="260">
        <v>0</v>
      </c>
      <c r="AC44" s="260">
        <v>0</v>
      </c>
      <c r="AD44" s="260">
        <v>0</v>
      </c>
      <c r="AE44" s="260">
        <v>0</v>
      </c>
      <c r="AF44" s="260">
        <v>0</v>
      </c>
      <c r="AG44" s="260">
        <v>0</v>
      </c>
      <c r="AH44" s="260">
        <v>0</v>
      </c>
    </row>
    <row r="45" spans="2:34">
      <c r="B45" s="427" t="s">
        <v>300</v>
      </c>
      <c r="C45" s="428">
        <v>0.15</v>
      </c>
      <c r="D45" s="263">
        <v>0</v>
      </c>
      <c r="E45" s="263">
        <v>0</v>
      </c>
      <c r="F45" s="263">
        <v>0</v>
      </c>
      <c r="G45" s="263">
        <v>0.125</v>
      </c>
      <c r="H45" s="263">
        <v>0.1111111111111111</v>
      </c>
      <c r="I45" s="263">
        <v>0.22222222222222221</v>
      </c>
      <c r="J45" s="263">
        <v>0</v>
      </c>
      <c r="K45" s="263">
        <v>0</v>
      </c>
      <c r="L45" s="263">
        <v>0.1818181818181818</v>
      </c>
      <c r="M45" s="263">
        <v>0.2</v>
      </c>
      <c r="N45" s="263">
        <v>0.33333333333333331</v>
      </c>
      <c r="O45" s="263">
        <v>0.14285714285714279</v>
      </c>
      <c r="P45" s="263">
        <v>0.2</v>
      </c>
      <c r="Q45" s="263">
        <v>0</v>
      </c>
      <c r="R45" s="263">
        <v>0</v>
      </c>
      <c r="S45" s="263">
        <v>0</v>
      </c>
      <c r="T45" s="263">
        <v>0.16666666666666671</v>
      </c>
      <c r="U45" s="263">
        <v>0.2</v>
      </c>
      <c r="V45" s="263">
        <v>0</v>
      </c>
      <c r="W45" s="263">
        <v>0</v>
      </c>
      <c r="X45" s="263">
        <v>0.2</v>
      </c>
      <c r="Y45" s="263">
        <v>0</v>
      </c>
      <c r="Z45" s="263">
        <v>0</v>
      </c>
      <c r="AA45" s="263">
        <v>0</v>
      </c>
      <c r="AB45" s="263">
        <v>0.23076923076923081</v>
      </c>
      <c r="AC45" s="263">
        <v>0.27272727272727271</v>
      </c>
      <c r="AD45" s="263">
        <v>0.14285714285714279</v>
      </c>
      <c r="AE45" s="263">
        <v>0.125</v>
      </c>
      <c r="AF45" s="263">
        <v>0.33333333333333331</v>
      </c>
      <c r="AG45" s="263">
        <v>0.33333333333333331</v>
      </c>
      <c r="AH45" s="263">
        <v>0.42857142857142849</v>
      </c>
    </row>
    <row r="46" spans="2:34">
      <c r="B46" s="429" t="s">
        <v>301</v>
      </c>
      <c r="C46" s="430">
        <v>0.12781954887218039</v>
      </c>
      <c r="D46" s="260" t="s">
        <v>237</v>
      </c>
      <c r="E46" s="260" t="s">
        <v>237</v>
      </c>
      <c r="F46" s="260" t="s">
        <v>237</v>
      </c>
      <c r="G46" s="260" t="s">
        <v>237</v>
      </c>
      <c r="H46" s="260" t="s">
        <v>237</v>
      </c>
      <c r="I46" s="260" t="s">
        <v>237</v>
      </c>
      <c r="J46" s="260" t="s">
        <v>237</v>
      </c>
      <c r="K46" s="260" t="s">
        <v>237</v>
      </c>
      <c r="L46" s="260" t="s">
        <v>237</v>
      </c>
      <c r="M46" s="260" t="s">
        <v>237</v>
      </c>
      <c r="N46" s="260" t="s">
        <v>237</v>
      </c>
      <c r="O46" s="260" t="s">
        <v>237</v>
      </c>
      <c r="P46" s="260" t="s">
        <v>237</v>
      </c>
      <c r="Q46" s="260" t="s">
        <v>237</v>
      </c>
      <c r="R46" s="260" t="s">
        <v>237</v>
      </c>
      <c r="S46" s="260" t="s">
        <v>237</v>
      </c>
      <c r="T46" s="260" t="s">
        <v>237</v>
      </c>
      <c r="U46" s="260" t="s">
        <v>237</v>
      </c>
      <c r="V46" s="260" t="s">
        <v>237</v>
      </c>
      <c r="W46" s="260" t="s">
        <v>237</v>
      </c>
      <c r="X46" s="260" t="s">
        <v>237</v>
      </c>
      <c r="Y46" s="260">
        <v>0</v>
      </c>
      <c r="Z46" s="260">
        <v>0</v>
      </c>
      <c r="AA46" s="260">
        <v>0</v>
      </c>
      <c r="AB46" s="260">
        <v>0</v>
      </c>
      <c r="AC46" s="260">
        <v>4.1666666666666657E-2</v>
      </c>
      <c r="AD46" s="260">
        <v>8.6956521739130432E-2</v>
      </c>
      <c r="AE46" s="260">
        <v>0.4</v>
      </c>
      <c r="AF46" s="260">
        <v>0.33333333333333331</v>
      </c>
      <c r="AG46" s="260">
        <v>0.2857142857142857</v>
      </c>
      <c r="AH46" s="260">
        <v>0</v>
      </c>
    </row>
    <row r="47" spans="2:34">
      <c r="B47" s="427" t="s">
        <v>302</v>
      </c>
      <c r="C47" s="428">
        <v>4.2713567839195977E-2</v>
      </c>
      <c r="D47" s="263" t="s">
        <v>237</v>
      </c>
      <c r="E47" s="263" t="s">
        <v>237</v>
      </c>
      <c r="F47" s="263" t="s">
        <v>237</v>
      </c>
      <c r="G47" s="263" t="s">
        <v>237</v>
      </c>
      <c r="H47" s="263" t="s">
        <v>237</v>
      </c>
      <c r="I47" s="263" t="s">
        <v>237</v>
      </c>
      <c r="J47" s="263" t="s">
        <v>237</v>
      </c>
      <c r="K47" s="263" t="s">
        <v>237</v>
      </c>
      <c r="L47" s="263" t="s">
        <v>237</v>
      </c>
      <c r="M47" s="263" t="s">
        <v>237</v>
      </c>
      <c r="N47" s="263" t="s">
        <v>237</v>
      </c>
      <c r="O47" s="263" t="s">
        <v>237</v>
      </c>
      <c r="P47" s="263" t="s">
        <v>237</v>
      </c>
      <c r="Q47" s="263" t="s">
        <v>237</v>
      </c>
      <c r="R47" s="263">
        <v>0</v>
      </c>
      <c r="S47" s="263">
        <v>0</v>
      </c>
      <c r="T47" s="263">
        <v>0</v>
      </c>
      <c r="U47" s="263">
        <v>0</v>
      </c>
      <c r="V47" s="263">
        <v>0</v>
      </c>
      <c r="W47" s="263">
        <v>0.04</v>
      </c>
      <c r="X47" s="263">
        <v>9.6774193548387094E-2</v>
      </c>
      <c r="Y47" s="263">
        <v>7.1428571428571425E-2</v>
      </c>
      <c r="Z47" s="263">
        <v>6.8965517241379309E-2</v>
      </c>
      <c r="AA47" s="263">
        <v>0</v>
      </c>
      <c r="AB47" s="263">
        <v>0.1</v>
      </c>
      <c r="AC47" s="263">
        <v>0</v>
      </c>
      <c r="AD47" s="263">
        <v>0.16129032258064521</v>
      </c>
      <c r="AE47" s="263">
        <v>0</v>
      </c>
      <c r="AF47" s="263">
        <v>0</v>
      </c>
      <c r="AG47" s="263">
        <v>3.3333333333333333E-2</v>
      </c>
      <c r="AH47" s="263">
        <v>0</v>
      </c>
    </row>
    <row r="48" spans="2:34">
      <c r="B48" s="429" t="s">
        <v>305</v>
      </c>
      <c r="C48" s="430">
        <v>3.5971223021582732E-2</v>
      </c>
      <c r="D48" s="260">
        <v>0</v>
      </c>
      <c r="E48" s="260">
        <v>0</v>
      </c>
      <c r="F48" s="260">
        <v>0</v>
      </c>
      <c r="G48" s="260">
        <v>0</v>
      </c>
      <c r="H48" s="260">
        <v>0</v>
      </c>
      <c r="I48" s="260">
        <v>0</v>
      </c>
      <c r="J48" s="260">
        <v>0</v>
      </c>
      <c r="K48" s="260">
        <v>3.2258064516129031E-2</v>
      </c>
      <c r="L48" s="260">
        <v>0.10344827586206901</v>
      </c>
      <c r="M48" s="260">
        <v>3.7037037037037028E-2</v>
      </c>
      <c r="N48" s="260">
        <v>0.10344827586206901</v>
      </c>
      <c r="O48" s="260">
        <v>4.1666666666666657E-2</v>
      </c>
      <c r="P48" s="260">
        <v>0</v>
      </c>
      <c r="Q48" s="260">
        <v>0.08</v>
      </c>
      <c r="R48" s="260">
        <v>0</v>
      </c>
      <c r="S48" s="260">
        <v>0.1111111111111111</v>
      </c>
      <c r="T48" s="260">
        <v>6.25E-2</v>
      </c>
      <c r="U48" s="260">
        <v>0</v>
      </c>
      <c r="V48" s="260">
        <v>0</v>
      </c>
      <c r="W48" s="260">
        <v>0.16</v>
      </c>
      <c r="X48" s="260">
        <v>0</v>
      </c>
      <c r="Y48" s="260">
        <v>2.7027027027027029E-2</v>
      </c>
      <c r="Z48" s="260">
        <v>6.5217391304347824E-2</v>
      </c>
      <c r="AA48" s="260">
        <v>8.8888888888888892E-2</v>
      </c>
      <c r="AB48" s="260">
        <v>0</v>
      </c>
      <c r="AC48" s="260">
        <v>4.5454545454545463E-2</v>
      </c>
      <c r="AD48" s="260">
        <v>4.0816326530612242E-2</v>
      </c>
      <c r="AE48" s="260">
        <v>5.5555555555555552E-2</v>
      </c>
      <c r="AF48" s="260">
        <v>0</v>
      </c>
      <c r="AG48" s="260">
        <v>2.0408163265306121E-2</v>
      </c>
      <c r="AH48" s="260">
        <v>2.0833333333333329E-2</v>
      </c>
    </row>
    <row r="49" spans="2:34">
      <c r="B49" s="427" t="s">
        <v>306</v>
      </c>
      <c r="C49" s="428">
        <v>6.9868995633187769E-2</v>
      </c>
      <c r="D49" s="263">
        <v>0</v>
      </c>
      <c r="E49" s="263">
        <v>0</v>
      </c>
      <c r="F49" s="263">
        <v>0</v>
      </c>
      <c r="G49" s="263">
        <v>0.33333333333333331</v>
      </c>
      <c r="H49" s="263">
        <v>0</v>
      </c>
      <c r="I49" s="263">
        <v>0</v>
      </c>
      <c r="J49" s="263">
        <v>0</v>
      </c>
      <c r="K49" s="263">
        <v>0</v>
      </c>
      <c r="L49" s="263">
        <v>0.14285714285714279</v>
      </c>
      <c r="M49" s="263">
        <v>0</v>
      </c>
      <c r="N49" s="263">
        <v>0</v>
      </c>
      <c r="O49" s="263">
        <v>0.1</v>
      </c>
      <c r="P49" s="263">
        <v>0</v>
      </c>
      <c r="Q49" s="263">
        <v>0</v>
      </c>
      <c r="R49" s="263">
        <v>0.1</v>
      </c>
      <c r="S49" s="263">
        <v>9.0909090909090912E-2</v>
      </c>
      <c r="T49" s="263">
        <v>9.0909090909090912E-2</v>
      </c>
      <c r="U49" s="263">
        <v>0</v>
      </c>
      <c r="V49" s="263">
        <v>0</v>
      </c>
      <c r="W49" s="263">
        <v>0</v>
      </c>
      <c r="X49" s="263">
        <v>0.25</v>
      </c>
      <c r="Y49" s="263">
        <v>0.33333333333333331</v>
      </c>
      <c r="Z49" s="263">
        <v>0</v>
      </c>
      <c r="AA49" s="263">
        <v>0</v>
      </c>
      <c r="AB49" s="263">
        <v>0.14285714285714279</v>
      </c>
      <c r="AC49" s="263">
        <v>0</v>
      </c>
      <c r="AD49" s="263">
        <v>0.1111111111111111</v>
      </c>
      <c r="AE49" s="263">
        <v>0.25</v>
      </c>
      <c r="AF49" s="263">
        <v>0</v>
      </c>
      <c r="AG49" s="263">
        <v>9.0909090909090912E-2</v>
      </c>
      <c r="AH49" s="263">
        <v>8.3333333333333329E-2</v>
      </c>
    </row>
    <row r="50" spans="2:34">
      <c r="B50" s="429" t="s">
        <v>307</v>
      </c>
      <c r="C50" s="430">
        <v>8.4795321637426896E-2</v>
      </c>
      <c r="D50" s="260">
        <v>0.5</v>
      </c>
      <c r="E50" s="260">
        <v>0</v>
      </c>
      <c r="F50" s="260">
        <v>0</v>
      </c>
      <c r="G50" s="260">
        <v>0</v>
      </c>
      <c r="H50" s="260">
        <v>0.5</v>
      </c>
      <c r="I50" s="260" t="s">
        <v>237</v>
      </c>
      <c r="J50" s="260" t="s">
        <v>237</v>
      </c>
      <c r="K50" s="260" t="s">
        <v>237</v>
      </c>
      <c r="L50" s="260" t="s">
        <v>237</v>
      </c>
      <c r="M50" s="260">
        <v>0</v>
      </c>
      <c r="N50" s="260">
        <v>0.33333333333333331</v>
      </c>
      <c r="O50" s="260">
        <v>0</v>
      </c>
      <c r="P50" s="260">
        <v>0</v>
      </c>
      <c r="Q50" s="260">
        <v>0.16666666666666671</v>
      </c>
      <c r="R50" s="260">
        <v>0.1111111111111111</v>
      </c>
      <c r="S50" s="260">
        <v>0.14285714285714279</v>
      </c>
      <c r="T50" s="260">
        <v>0</v>
      </c>
      <c r="U50" s="260">
        <v>9.0909090909090912E-2</v>
      </c>
      <c r="V50" s="260">
        <v>0.1818181818181818</v>
      </c>
      <c r="W50" s="260">
        <v>0</v>
      </c>
      <c r="X50" s="260">
        <v>7.1428571428571425E-2</v>
      </c>
      <c r="Y50" s="260">
        <v>0.125</v>
      </c>
      <c r="Z50" s="260">
        <v>0.08</v>
      </c>
      <c r="AA50" s="260">
        <v>0.14814814814814811</v>
      </c>
      <c r="AB50" s="260">
        <v>0.04</v>
      </c>
      <c r="AC50" s="260">
        <v>3.4482758620689648E-2</v>
      </c>
      <c r="AD50" s="260">
        <v>0.04</v>
      </c>
      <c r="AE50" s="260">
        <v>0.1153846153846154</v>
      </c>
      <c r="AF50" s="260">
        <v>4.5454545454545463E-2</v>
      </c>
      <c r="AG50" s="260">
        <v>4.5454545454545463E-2</v>
      </c>
      <c r="AH50" s="260">
        <v>9.0909090909090912E-2</v>
      </c>
    </row>
    <row r="51" spans="2:34">
      <c r="B51" s="427" t="s">
        <v>308</v>
      </c>
      <c r="C51" s="428">
        <v>4.6692607003891051E-2</v>
      </c>
      <c r="D51" s="263" t="s">
        <v>237</v>
      </c>
      <c r="E51" s="263" t="s">
        <v>237</v>
      </c>
      <c r="F51" s="263" t="s">
        <v>237</v>
      </c>
      <c r="G51" s="263" t="s">
        <v>237</v>
      </c>
      <c r="H51" s="263" t="s">
        <v>237</v>
      </c>
      <c r="I51" s="263">
        <v>0</v>
      </c>
      <c r="J51" s="263">
        <v>0</v>
      </c>
      <c r="K51" s="263">
        <v>0</v>
      </c>
      <c r="L51" s="263">
        <v>0</v>
      </c>
      <c r="M51" s="263">
        <v>0.5</v>
      </c>
      <c r="N51" s="263">
        <v>0</v>
      </c>
      <c r="O51" s="263">
        <v>0</v>
      </c>
      <c r="P51" s="263">
        <v>0</v>
      </c>
      <c r="Q51" s="263">
        <v>0</v>
      </c>
      <c r="R51" s="263">
        <v>0</v>
      </c>
      <c r="S51" s="263">
        <v>0</v>
      </c>
      <c r="T51" s="263">
        <v>0.2</v>
      </c>
      <c r="U51" s="263">
        <v>0</v>
      </c>
      <c r="V51" s="263">
        <v>0</v>
      </c>
      <c r="W51" s="263">
        <v>0.125</v>
      </c>
      <c r="X51" s="263">
        <v>0.125</v>
      </c>
      <c r="Y51" s="263">
        <v>0</v>
      </c>
      <c r="Z51" s="263">
        <v>0</v>
      </c>
      <c r="AA51" s="263">
        <v>0</v>
      </c>
      <c r="AB51" s="263">
        <v>8.6956521739130432E-2</v>
      </c>
      <c r="AC51" s="263">
        <v>9.0909090909090912E-2</v>
      </c>
      <c r="AD51" s="263">
        <v>0.14285714285714279</v>
      </c>
      <c r="AE51" s="263">
        <v>0</v>
      </c>
      <c r="AF51" s="263">
        <v>0</v>
      </c>
      <c r="AG51" s="263">
        <v>5.5555555555555552E-2</v>
      </c>
      <c r="AH51" s="263">
        <v>0</v>
      </c>
    </row>
    <row r="52" spans="2:34">
      <c r="B52" s="429" t="s">
        <v>310</v>
      </c>
      <c r="C52" s="430">
        <v>3.5135135135135137E-2</v>
      </c>
      <c r="D52" s="260" t="s">
        <v>237</v>
      </c>
      <c r="E52" s="260" t="s">
        <v>237</v>
      </c>
      <c r="F52" s="260">
        <v>0</v>
      </c>
      <c r="G52" s="260">
        <v>0</v>
      </c>
      <c r="H52" s="260">
        <v>0</v>
      </c>
      <c r="I52" s="260">
        <v>0</v>
      </c>
      <c r="J52" s="260">
        <v>0</v>
      </c>
      <c r="K52" s="260">
        <v>0</v>
      </c>
      <c r="L52" s="260">
        <v>0.5</v>
      </c>
      <c r="M52" s="260">
        <v>0</v>
      </c>
      <c r="N52" s="260" t="s">
        <v>237</v>
      </c>
      <c r="O52" s="260">
        <v>0</v>
      </c>
      <c r="P52" s="260">
        <v>0</v>
      </c>
      <c r="Q52" s="260">
        <v>0</v>
      </c>
      <c r="R52" s="260">
        <v>0</v>
      </c>
      <c r="S52" s="260">
        <v>0</v>
      </c>
      <c r="T52" s="260">
        <v>0.1176470588235294</v>
      </c>
      <c r="U52" s="260">
        <v>9.5238095238095233E-2</v>
      </c>
      <c r="V52" s="260">
        <v>4.5454545454545463E-2</v>
      </c>
      <c r="W52" s="260">
        <v>0.10344827586206901</v>
      </c>
      <c r="X52" s="260">
        <v>0.13157894736842099</v>
      </c>
      <c r="Y52" s="260">
        <v>0</v>
      </c>
      <c r="Z52" s="260">
        <v>4.3478260869565223E-2</v>
      </c>
      <c r="AA52" s="260">
        <v>2.1276595744680851E-2</v>
      </c>
      <c r="AB52" s="260">
        <v>1.9230769230769228E-2</v>
      </c>
      <c r="AC52" s="260">
        <v>3.7037037037037028E-2</v>
      </c>
      <c r="AD52" s="260">
        <v>0</v>
      </c>
      <c r="AE52" s="260">
        <v>3.5714285714285712E-2</v>
      </c>
      <c r="AF52" s="260">
        <v>0</v>
      </c>
      <c r="AG52" s="260">
        <v>2.8571428571428571E-2</v>
      </c>
      <c r="AH52" s="260">
        <v>2.564102564102564E-2</v>
      </c>
    </row>
    <row r="53" spans="2:34">
      <c r="B53" s="427" t="s">
        <v>311</v>
      </c>
      <c r="C53" s="428">
        <v>6.1224489795918373E-2</v>
      </c>
      <c r="D53" s="263" t="s">
        <v>237</v>
      </c>
      <c r="E53" s="263" t="s">
        <v>237</v>
      </c>
      <c r="F53" s="263">
        <v>0</v>
      </c>
      <c r="G53" s="263">
        <v>0</v>
      </c>
      <c r="H53" s="263">
        <v>0</v>
      </c>
      <c r="I53" s="263">
        <v>0</v>
      </c>
      <c r="J53" s="263">
        <v>0</v>
      </c>
      <c r="K53" s="263">
        <v>0</v>
      </c>
      <c r="L53" s="263">
        <v>0.25</v>
      </c>
      <c r="M53" s="263">
        <v>0</v>
      </c>
      <c r="N53" s="263">
        <v>0</v>
      </c>
      <c r="O53" s="263">
        <v>0</v>
      </c>
      <c r="P53" s="263">
        <v>0</v>
      </c>
      <c r="Q53" s="263">
        <v>0</v>
      </c>
      <c r="R53" s="263">
        <v>0</v>
      </c>
      <c r="S53" s="263">
        <v>0</v>
      </c>
      <c r="T53" s="263">
        <v>0</v>
      </c>
      <c r="U53" s="263">
        <v>0</v>
      </c>
      <c r="V53" s="263">
        <v>0.2</v>
      </c>
      <c r="W53" s="263">
        <v>0</v>
      </c>
      <c r="X53" s="263">
        <v>0</v>
      </c>
      <c r="Y53" s="263">
        <v>0.2</v>
      </c>
      <c r="Z53" s="263">
        <v>0</v>
      </c>
      <c r="AA53" s="263">
        <v>7.6923076923076927E-2</v>
      </c>
      <c r="AB53" s="263">
        <v>7.6923076923076927E-2</v>
      </c>
      <c r="AC53" s="263">
        <v>0</v>
      </c>
      <c r="AD53" s="263">
        <v>0</v>
      </c>
      <c r="AE53" s="263">
        <v>0.375</v>
      </c>
      <c r="AF53" s="263">
        <v>0</v>
      </c>
      <c r="AG53" s="263">
        <v>0</v>
      </c>
      <c r="AH53" s="263">
        <v>0</v>
      </c>
    </row>
    <row r="54" spans="2:34">
      <c r="B54" s="429" t="s">
        <v>312</v>
      </c>
      <c r="C54" s="430">
        <v>2.3504273504273501E-2</v>
      </c>
      <c r="D54" s="260">
        <v>0</v>
      </c>
      <c r="E54" s="260">
        <v>0</v>
      </c>
      <c r="F54" s="260">
        <v>0</v>
      </c>
      <c r="G54" s="260">
        <v>0</v>
      </c>
      <c r="H54" s="260">
        <v>0</v>
      </c>
      <c r="I54" s="260">
        <v>0</v>
      </c>
      <c r="J54" s="260">
        <v>0.14285714285714279</v>
      </c>
      <c r="K54" s="260">
        <v>0.1111111111111111</v>
      </c>
      <c r="L54" s="260">
        <v>9.0909090909090912E-2</v>
      </c>
      <c r="M54" s="260">
        <v>8.3333333333333329E-2</v>
      </c>
      <c r="N54" s="260">
        <v>0</v>
      </c>
      <c r="O54" s="260">
        <v>0</v>
      </c>
      <c r="P54" s="260">
        <v>0</v>
      </c>
      <c r="Q54" s="260">
        <v>0</v>
      </c>
      <c r="R54" s="260">
        <v>0</v>
      </c>
      <c r="S54" s="260">
        <v>0</v>
      </c>
      <c r="T54" s="260">
        <v>7.6923076923076927E-2</v>
      </c>
      <c r="U54" s="260">
        <v>0</v>
      </c>
      <c r="V54" s="260">
        <v>0</v>
      </c>
      <c r="W54" s="260">
        <v>0</v>
      </c>
      <c r="X54" s="260">
        <v>0</v>
      </c>
      <c r="Y54" s="260">
        <v>0</v>
      </c>
      <c r="Z54" s="260">
        <v>3.7037037037037028E-2</v>
      </c>
      <c r="AA54" s="260">
        <v>7.407407407407407E-2</v>
      </c>
      <c r="AB54" s="260">
        <v>0</v>
      </c>
      <c r="AC54" s="260">
        <v>0</v>
      </c>
      <c r="AD54" s="260">
        <v>0</v>
      </c>
      <c r="AE54" s="260">
        <v>0</v>
      </c>
      <c r="AF54" s="260">
        <v>3.4482758620689648E-2</v>
      </c>
      <c r="AG54" s="260">
        <v>3.03030303030303E-2</v>
      </c>
      <c r="AH54" s="260">
        <v>3.2258064516129031E-2</v>
      </c>
    </row>
    <row r="56" spans="2:34" ht="43.2">
      <c r="B56" s="424" t="str">
        <f>B4</f>
        <v>ISO country code</v>
      </c>
      <c r="C56" s="425" t="str">
        <f t="shared" ref="C56:AH56" si="0">C4</f>
        <v>Average default rate</v>
      </c>
      <c r="D56" s="426">
        <f t="shared" si="0"/>
        <v>1994</v>
      </c>
      <c r="E56" s="426">
        <f t="shared" si="0"/>
        <v>1995</v>
      </c>
      <c r="F56" s="426">
        <f t="shared" si="0"/>
        <v>1996</v>
      </c>
      <c r="G56" s="426">
        <f t="shared" si="0"/>
        <v>1997</v>
      </c>
      <c r="H56" s="426">
        <f t="shared" si="0"/>
        <v>1998</v>
      </c>
      <c r="I56" s="426">
        <f t="shared" si="0"/>
        <v>1999</v>
      </c>
      <c r="J56" s="426">
        <f t="shared" si="0"/>
        <v>2000</v>
      </c>
      <c r="K56" s="426">
        <f t="shared" si="0"/>
        <v>2001</v>
      </c>
      <c r="L56" s="426">
        <f t="shared" si="0"/>
        <v>2002</v>
      </c>
      <c r="M56" s="426">
        <f t="shared" si="0"/>
        <v>2003</v>
      </c>
      <c r="N56" s="426">
        <f t="shared" si="0"/>
        <v>2004</v>
      </c>
      <c r="O56" s="426">
        <f t="shared" si="0"/>
        <v>2005</v>
      </c>
      <c r="P56" s="426">
        <f t="shared" si="0"/>
        <v>2006</v>
      </c>
      <c r="Q56" s="426">
        <f t="shared" si="0"/>
        <v>2007</v>
      </c>
      <c r="R56" s="426">
        <f t="shared" si="0"/>
        <v>2008</v>
      </c>
      <c r="S56" s="426">
        <f t="shared" si="0"/>
        <v>2009</v>
      </c>
      <c r="T56" s="426">
        <f t="shared" si="0"/>
        <v>2010</v>
      </c>
      <c r="U56" s="426">
        <f t="shared" si="0"/>
        <v>2011</v>
      </c>
      <c r="V56" s="426">
        <f t="shared" si="0"/>
        <v>2012</v>
      </c>
      <c r="W56" s="426">
        <f t="shared" si="0"/>
        <v>2013</v>
      </c>
      <c r="X56" s="426">
        <f t="shared" si="0"/>
        <v>2014</v>
      </c>
      <c r="Y56" s="426">
        <f t="shared" si="0"/>
        <v>2015</v>
      </c>
      <c r="Z56" s="426">
        <f t="shared" si="0"/>
        <v>2016</v>
      </c>
      <c r="AA56" s="426">
        <f t="shared" si="0"/>
        <v>2017</v>
      </c>
      <c r="AB56" s="426">
        <f t="shared" si="0"/>
        <v>2018</v>
      </c>
      <c r="AC56" s="426">
        <f t="shared" si="0"/>
        <v>2019</v>
      </c>
      <c r="AD56" s="426">
        <f t="shared" si="0"/>
        <v>2020</v>
      </c>
      <c r="AE56" s="426">
        <f t="shared" si="0"/>
        <v>2021</v>
      </c>
      <c r="AF56" s="426">
        <f t="shared" si="0"/>
        <v>2022</v>
      </c>
      <c r="AG56" s="426">
        <f t="shared" si="0"/>
        <v>2023</v>
      </c>
      <c r="AH56" s="426">
        <f t="shared" si="0"/>
        <v>2024</v>
      </c>
    </row>
    <row r="57" spans="2:34">
      <c r="B57" s="427" t="s">
        <v>313</v>
      </c>
      <c r="C57" s="428">
        <v>5.3968253968253971E-2</v>
      </c>
      <c r="D57" s="263">
        <v>0</v>
      </c>
      <c r="E57" s="263">
        <v>9.0909090909090912E-2</v>
      </c>
      <c r="F57" s="263">
        <v>0</v>
      </c>
      <c r="G57" s="263">
        <v>0.125</v>
      </c>
      <c r="H57" s="263">
        <v>0</v>
      </c>
      <c r="I57" s="263">
        <v>0</v>
      </c>
      <c r="J57" s="263">
        <v>0</v>
      </c>
      <c r="K57" s="263">
        <v>7.6923076923076927E-2</v>
      </c>
      <c r="L57" s="263">
        <v>0.16666666666666671</v>
      </c>
      <c r="M57" s="263">
        <v>0.33333333333333331</v>
      </c>
      <c r="N57" s="263">
        <v>0.2</v>
      </c>
      <c r="O57" s="263">
        <v>0</v>
      </c>
      <c r="P57" s="263">
        <v>9.0909090909090912E-2</v>
      </c>
      <c r="Q57" s="263">
        <v>0.16666666666666671</v>
      </c>
      <c r="R57" s="263">
        <v>0</v>
      </c>
      <c r="S57" s="263">
        <v>0</v>
      </c>
      <c r="T57" s="263">
        <v>0</v>
      </c>
      <c r="U57" s="263">
        <v>0</v>
      </c>
      <c r="V57" s="263">
        <v>0</v>
      </c>
      <c r="W57" s="263">
        <v>0</v>
      </c>
      <c r="X57" s="263">
        <v>0</v>
      </c>
      <c r="Y57" s="263">
        <v>0</v>
      </c>
      <c r="Z57" s="263">
        <v>0</v>
      </c>
      <c r="AA57" s="263">
        <v>0.1333333333333333</v>
      </c>
      <c r="AB57" s="263">
        <v>0</v>
      </c>
      <c r="AC57" s="263">
        <v>0</v>
      </c>
      <c r="AD57" s="263">
        <v>0.1111111111111111</v>
      </c>
      <c r="AE57" s="263">
        <v>0.14285714285714279</v>
      </c>
      <c r="AF57" s="263">
        <v>0</v>
      </c>
      <c r="AG57" s="263">
        <v>0</v>
      </c>
      <c r="AH57" s="263">
        <v>0</v>
      </c>
    </row>
    <row r="58" spans="2:34">
      <c r="B58" s="429" t="s">
        <v>314</v>
      </c>
      <c r="C58" s="430">
        <v>3.8615179760319571E-2</v>
      </c>
      <c r="D58" s="260">
        <v>0</v>
      </c>
      <c r="E58" s="260">
        <v>0</v>
      </c>
      <c r="F58" s="260">
        <v>0</v>
      </c>
      <c r="G58" s="260">
        <v>4.5454545454545463E-2</v>
      </c>
      <c r="H58" s="260">
        <v>0.61904761904761907</v>
      </c>
      <c r="I58" s="260">
        <v>0.14285714285714279</v>
      </c>
      <c r="J58" s="260">
        <v>0</v>
      </c>
      <c r="K58" s="260">
        <v>0</v>
      </c>
      <c r="L58" s="260">
        <v>0</v>
      </c>
      <c r="M58" s="260">
        <v>0</v>
      </c>
      <c r="N58" s="260">
        <v>0.14285714285714279</v>
      </c>
      <c r="O58" s="260">
        <v>0</v>
      </c>
      <c r="P58" s="260">
        <v>0</v>
      </c>
      <c r="Q58" s="260">
        <v>0</v>
      </c>
      <c r="R58" s="260">
        <v>7.1428571428571425E-2</v>
      </c>
      <c r="S58" s="260">
        <v>0.14285714285714279</v>
      </c>
      <c r="T58" s="260">
        <v>0</v>
      </c>
      <c r="U58" s="260">
        <v>0</v>
      </c>
      <c r="V58" s="260">
        <v>5.2631578947368418E-2</v>
      </c>
      <c r="W58" s="260">
        <v>0</v>
      </c>
      <c r="X58" s="260">
        <v>4.1666666666666657E-2</v>
      </c>
      <c r="Y58" s="260">
        <v>0</v>
      </c>
      <c r="Z58" s="260">
        <v>2.3809523809523812E-2</v>
      </c>
      <c r="AA58" s="260">
        <v>0</v>
      </c>
      <c r="AB58" s="260">
        <v>2.0408163265306121E-2</v>
      </c>
      <c r="AC58" s="260">
        <v>0</v>
      </c>
      <c r="AD58" s="260">
        <v>0</v>
      </c>
      <c r="AE58" s="260">
        <v>0</v>
      </c>
      <c r="AF58" s="260">
        <v>0</v>
      </c>
      <c r="AG58" s="260">
        <v>0.10169491525423729</v>
      </c>
      <c r="AH58" s="260">
        <v>0</v>
      </c>
    </row>
    <row r="59" spans="2:34">
      <c r="B59" s="427" t="s">
        <v>315</v>
      </c>
      <c r="C59" s="428">
        <v>2.5437201907790141E-2</v>
      </c>
      <c r="D59" s="263">
        <v>9.6774193548387094E-2</v>
      </c>
      <c r="E59" s="263">
        <v>3.5714285714285712E-2</v>
      </c>
      <c r="F59" s="263">
        <v>3.3333333333333333E-2</v>
      </c>
      <c r="G59" s="263">
        <v>0</v>
      </c>
      <c r="H59" s="263">
        <v>0</v>
      </c>
      <c r="I59" s="263">
        <v>4.5454545454545463E-2</v>
      </c>
      <c r="J59" s="263">
        <v>0</v>
      </c>
      <c r="K59" s="263">
        <v>4.3478260869565223E-2</v>
      </c>
      <c r="L59" s="263">
        <v>0.05</v>
      </c>
      <c r="M59" s="263">
        <v>0</v>
      </c>
      <c r="N59" s="263">
        <v>0</v>
      </c>
      <c r="O59" s="263">
        <v>0</v>
      </c>
      <c r="P59" s="263">
        <v>0</v>
      </c>
      <c r="Q59" s="263">
        <v>0.1111111111111111</v>
      </c>
      <c r="R59" s="263">
        <v>0</v>
      </c>
      <c r="S59" s="263">
        <v>0</v>
      </c>
      <c r="T59" s="263">
        <v>0.125</v>
      </c>
      <c r="U59" s="263">
        <v>0</v>
      </c>
      <c r="V59" s="263">
        <v>0</v>
      </c>
      <c r="W59" s="263">
        <v>0</v>
      </c>
      <c r="X59" s="263">
        <v>0</v>
      </c>
      <c r="Y59" s="263">
        <v>0</v>
      </c>
      <c r="Z59" s="263">
        <v>0</v>
      </c>
      <c r="AA59" s="263">
        <v>0.12</v>
      </c>
      <c r="AB59" s="263">
        <v>0</v>
      </c>
      <c r="AC59" s="263">
        <v>0</v>
      </c>
      <c r="AD59" s="263">
        <v>4.1666666666666657E-2</v>
      </c>
      <c r="AE59" s="263">
        <v>0</v>
      </c>
      <c r="AF59" s="263">
        <v>0</v>
      </c>
      <c r="AG59" s="263">
        <v>5.2631578947368418E-2</v>
      </c>
      <c r="AH59" s="263">
        <v>0</v>
      </c>
    </row>
    <row r="60" spans="2:34">
      <c r="B60" s="429" t="s">
        <v>317</v>
      </c>
      <c r="C60" s="430">
        <v>8.8495575221238937E-3</v>
      </c>
      <c r="D60" s="260" t="s">
        <v>237</v>
      </c>
      <c r="E60" s="260" t="s">
        <v>237</v>
      </c>
      <c r="F60" s="260" t="s">
        <v>237</v>
      </c>
      <c r="G60" s="260" t="s">
        <v>237</v>
      </c>
      <c r="H60" s="260" t="s">
        <v>237</v>
      </c>
      <c r="I60" s="260" t="s">
        <v>237</v>
      </c>
      <c r="J60" s="260" t="s">
        <v>237</v>
      </c>
      <c r="K60" s="260" t="s">
        <v>237</v>
      </c>
      <c r="L60" s="260" t="s">
        <v>237</v>
      </c>
      <c r="M60" s="260" t="s">
        <v>237</v>
      </c>
      <c r="N60" s="260" t="s">
        <v>237</v>
      </c>
      <c r="O60" s="260" t="s">
        <v>237</v>
      </c>
      <c r="P60" s="260">
        <v>0</v>
      </c>
      <c r="Q60" s="260">
        <v>0</v>
      </c>
      <c r="R60" s="260" t="s">
        <v>237</v>
      </c>
      <c r="S60" s="260">
        <v>0</v>
      </c>
      <c r="T60" s="260">
        <v>0</v>
      </c>
      <c r="U60" s="260">
        <v>0</v>
      </c>
      <c r="V60" s="260">
        <v>0</v>
      </c>
      <c r="W60" s="260">
        <v>0</v>
      </c>
      <c r="X60" s="260">
        <v>0</v>
      </c>
      <c r="Y60" s="260">
        <v>0.125</v>
      </c>
      <c r="Z60" s="260">
        <v>0</v>
      </c>
      <c r="AA60" s="260">
        <v>0</v>
      </c>
      <c r="AB60" s="260">
        <v>0</v>
      </c>
      <c r="AC60" s="260">
        <v>0</v>
      </c>
      <c r="AD60" s="260">
        <v>0</v>
      </c>
      <c r="AE60" s="260">
        <v>0</v>
      </c>
      <c r="AF60" s="260">
        <v>0</v>
      </c>
      <c r="AG60" s="260">
        <v>0</v>
      </c>
      <c r="AH60" s="260">
        <v>0</v>
      </c>
    </row>
    <row r="61" spans="2:34">
      <c r="B61" s="427" t="s">
        <v>318</v>
      </c>
      <c r="C61" s="428">
        <v>3.61328125E-2</v>
      </c>
      <c r="D61" s="263">
        <v>0</v>
      </c>
      <c r="E61" s="263">
        <v>0</v>
      </c>
      <c r="F61" s="263">
        <v>0</v>
      </c>
      <c r="G61" s="263">
        <v>0</v>
      </c>
      <c r="H61" s="263">
        <v>0</v>
      </c>
      <c r="I61" s="263">
        <v>0</v>
      </c>
      <c r="J61" s="263">
        <v>0</v>
      </c>
      <c r="K61" s="263">
        <v>0.125</v>
      </c>
      <c r="L61" s="263">
        <v>0</v>
      </c>
      <c r="M61" s="263">
        <v>5.8823529411764712E-2</v>
      </c>
      <c r="N61" s="263">
        <v>4.3478260869565223E-2</v>
      </c>
      <c r="O61" s="263">
        <v>0</v>
      </c>
      <c r="P61" s="263">
        <v>0</v>
      </c>
      <c r="Q61" s="263">
        <v>0</v>
      </c>
      <c r="R61" s="263">
        <v>0</v>
      </c>
      <c r="S61" s="263">
        <v>9.6774193548387094E-2</v>
      </c>
      <c r="T61" s="263">
        <v>5.8823529411764712E-2</v>
      </c>
      <c r="U61" s="263">
        <v>0</v>
      </c>
      <c r="V61" s="263">
        <v>2.1739130434782612E-2</v>
      </c>
      <c r="W61" s="263">
        <v>1.8518518518518521E-2</v>
      </c>
      <c r="X61" s="263">
        <v>6.8965517241379309E-2</v>
      </c>
      <c r="Y61" s="263">
        <v>6.3492063492063489E-2</v>
      </c>
      <c r="Z61" s="263">
        <v>3.3898305084745763E-2</v>
      </c>
      <c r="AA61" s="263">
        <v>5.8823529411764712E-2</v>
      </c>
      <c r="AB61" s="263">
        <v>0</v>
      </c>
      <c r="AC61" s="263">
        <v>2.1276595744680851E-2</v>
      </c>
      <c r="AD61" s="263">
        <v>2.0833333333333329E-2</v>
      </c>
      <c r="AE61" s="263">
        <v>6.1224489795918373E-2</v>
      </c>
      <c r="AF61" s="263">
        <v>0</v>
      </c>
      <c r="AG61" s="263">
        <v>6.5789473684210523E-2</v>
      </c>
      <c r="AH61" s="263">
        <v>4.7619047619047623E-2</v>
      </c>
    </row>
    <row r="62" spans="2:34">
      <c r="B62" s="429" t="s">
        <v>319</v>
      </c>
      <c r="C62" s="430">
        <v>1.30718954248366E-2</v>
      </c>
      <c r="D62" s="260">
        <v>0</v>
      </c>
      <c r="E62" s="260">
        <v>0</v>
      </c>
      <c r="F62" s="260">
        <v>0</v>
      </c>
      <c r="G62" s="260">
        <v>0</v>
      </c>
      <c r="H62" s="260">
        <v>0</v>
      </c>
      <c r="I62" s="260">
        <v>0</v>
      </c>
      <c r="J62" s="260">
        <v>0</v>
      </c>
      <c r="K62" s="260">
        <v>5.8823529411764712E-2</v>
      </c>
      <c r="L62" s="260">
        <v>6.6666666666666666E-2</v>
      </c>
      <c r="M62" s="260">
        <v>0</v>
      </c>
      <c r="N62" s="260">
        <v>0</v>
      </c>
      <c r="O62" s="260">
        <v>0</v>
      </c>
      <c r="P62" s="260">
        <v>0</v>
      </c>
      <c r="Q62" s="260">
        <v>0</v>
      </c>
      <c r="R62" s="260">
        <v>0</v>
      </c>
      <c r="S62" s="260">
        <v>0</v>
      </c>
      <c r="T62" s="260">
        <v>4.1666666666666657E-2</v>
      </c>
      <c r="U62" s="260">
        <v>4.5454545454545463E-2</v>
      </c>
      <c r="V62" s="260">
        <v>3.5714285714285712E-2</v>
      </c>
      <c r="W62" s="260">
        <v>0</v>
      </c>
      <c r="X62" s="260">
        <v>0</v>
      </c>
      <c r="Y62" s="260">
        <v>0</v>
      </c>
      <c r="Z62" s="260">
        <v>5.7142857142857141E-2</v>
      </c>
      <c r="AA62" s="260">
        <v>4.3478260869565223E-2</v>
      </c>
      <c r="AB62" s="260">
        <v>0</v>
      </c>
      <c r="AC62" s="260">
        <v>0</v>
      </c>
      <c r="AD62" s="260">
        <v>0</v>
      </c>
      <c r="AE62" s="260">
        <v>0</v>
      </c>
      <c r="AF62" s="260">
        <v>0</v>
      </c>
      <c r="AG62" s="260">
        <v>0</v>
      </c>
      <c r="AH62" s="260">
        <v>0</v>
      </c>
    </row>
    <row r="63" spans="2:34">
      <c r="B63" s="427" t="s">
        <v>320</v>
      </c>
      <c r="C63" s="428">
        <v>4.1782729805013928E-2</v>
      </c>
      <c r="D63" s="263" t="s">
        <v>237</v>
      </c>
      <c r="E63" s="263" t="s">
        <v>237</v>
      </c>
      <c r="F63" s="263" t="s">
        <v>237</v>
      </c>
      <c r="G63" s="263" t="s">
        <v>237</v>
      </c>
      <c r="H63" s="263" t="s">
        <v>237</v>
      </c>
      <c r="I63" s="263" t="s">
        <v>237</v>
      </c>
      <c r="J63" s="263" t="s">
        <v>237</v>
      </c>
      <c r="K63" s="263" t="s">
        <v>237</v>
      </c>
      <c r="L63" s="263">
        <v>0</v>
      </c>
      <c r="M63" s="263">
        <v>0</v>
      </c>
      <c r="N63" s="263">
        <v>0</v>
      </c>
      <c r="O63" s="263">
        <v>0</v>
      </c>
      <c r="P63" s="263">
        <v>0</v>
      </c>
      <c r="Q63" s="263">
        <v>0</v>
      </c>
      <c r="R63" s="263">
        <v>0</v>
      </c>
      <c r="S63" s="263">
        <v>0</v>
      </c>
      <c r="T63" s="263">
        <v>0.125</v>
      </c>
      <c r="U63" s="263">
        <v>0</v>
      </c>
      <c r="V63" s="263">
        <v>0.13043478260869559</v>
      </c>
      <c r="W63" s="263">
        <v>8.6956521739130432E-2</v>
      </c>
      <c r="X63" s="263">
        <v>0.16666666666666671</v>
      </c>
      <c r="Y63" s="263">
        <v>0</v>
      </c>
      <c r="Z63" s="263">
        <v>0</v>
      </c>
      <c r="AA63" s="263">
        <v>0.05</v>
      </c>
      <c r="AB63" s="263">
        <v>0</v>
      </c>
      <c r="AC63" s="263">
        <v>0</v>
      </c>
      <c r="AD63" s="263">
        <v>9.5238095238095233E-2</v>
      </c>
      <c r="AE63" s="263">
        <v>0</v>
      </c>
      <c r="AF63" s="263">
        <v>0</v>
      </c>
      <c r="AG63" s="263">
        <v>0</v>
      </c>
      <c r="AH63" s="263">
        <v>5.2631578947368418E-2</v>
      </c>
    </row>
    <row r="64" spans="2:34">
      <c r="B64" s="429" t="s">
        <v>321</v>
      </c>
      <c r="C64" s="430">
        <v>2.5204359673024521E-2</v>
      </c>
      <c r="D64" s="260">
        <v>0</v>
      </c>
      <c r="E64" s="260">
        <v>0</v>
      </c>
      <c r="F64" s="260">
        <v>9.5238095238095233E-2</v>
      </c>
      <c r="G64" s="260">
        <v>0.04</v>
      </c>
      <c r="H64" s="260">
        <v>0.25</v>
      </c>
      <c r="I64" s="260">
        <v>4.1666666666666657E-2</v>
      </c>
      <c r="J64" s="260">
        <v>6.0606060606060608E-2</v>
      </c>
      <c r="K64" s="260">
        <v>0</v>
      </c>
      <c r="L64" s="260">
        <v>0</v>
      </c>
      <c r="M64" s="260">
        <v>0</v>
      </c>
      <c r="N64" s="260">
        <v>0</v>
      </c>
      <c r="O64" s="260">
        <v>0</v>
      </c>
      <c r="P64" s="260">
        <v>0</v>
      </c>
      <c r="Q64" s="260">
        <v>1.428571428571429E-2</v>
      </c>
      <c r="R64" s="260">
        <v>3.7499999999999999E-2</v>
      </c>
      <c r="S64" s="260">
        <v>3.4482758620689648E-2</v>
      </c>
      <c r="T64" s="260">
        <v>3.9603960396039598E-2</v>
      </c>
      <c r="U64" s="260">
        <v>2.0618556701030931E-2</v>
      </c>
      <c r="V64" s="260">
        <v>1.041666666666667E-2</v>
      </c>
      <c r="W64" s="260">
        <v>0</v>
      </c>
      <c r="X64" s="260">
        <v>1.149425287356322E-2</v>
      </c>
      <c r="Y64" s="260">
        <v>6.097560975609756E-2</v>
      </c>
      <c r="Z64" s="260">
        <v>1.754385964912281E-2</v>
      </c>
      <c r="AA64" s="260">
        <v>2.4390243902439029E-2</v>
      </c>
      <c r="AB64" s="260">
        <v>0</v>
      </c>
      <c r="AC64" s="260">
        <v>0</v>
      </c>
      <c r="AD64" s="260">
        <v>0</v>
      </c>
      <c r="AE64" s="260">
        <v>9.0909090909090912E-2</v>
      </c>
      <c r="AF64" s="260">
        <v>0</v>
      </c>
      <c r="AG64" s="260">
        <v>0</v>
      </c>
      <c r="AH64" s="260">
        <v>0.2</v>
      </c>
    </row>
    <row r="65" spans="2:34">
      <c r="B65" s="427" t="s">
        <v>322</v>
      </c>
      <c r="C65" s="428">
        <v>0.1071428571428571</v>
      </c>
      <c r="D65" s="263" t="s">
        <v>237</v>
      </c>
      <c r="E65" s="263">
        <v>1</v>
      </c>
      <c r="F65" s="263" t="s">
        <v>237</v>
      </c>
      <c r="G65" s="263" t="s">
        <v>237</v>
      </c>
      <c r="H65" s="263" t="s">
        <v>237</v>
      </c>
      <c r="I65" s="263" t="s">
        <v>237</v>
      </c>
      <c r="J65" s="263" t="s">
        <v>237</v>
      </c>
      <c r="K65" s="263" t="s">
        <v>237</v>
      </c>
      <c r="L65" s="263" t="s">
        <v>237</v>
      </c>
      <c r="M65" s="263" t="s">
        <v>237</v>
      </c>
      <c r="N65" s="263" t="s">
        <v>237</v>
      </c>
      <c r="O65" s="263" t="s">
        <v>237</v>
      </c>
      <c r="P65" s="263" t="s">
        <v>237</v>
      </c>
      <c r="Q65" s="263" t="s">
        <v>237</v>
      </c>
      <c r="R65" s="263">
        <v>0</v>
      </c>
      <c r="S65" s="263">
        <v>0.5</v>
      </c>
      <c r="T65" s="263">
        <v>0</v>
      </c>
      <c r="U65" s="263">
        <v>0</v>
      </c>
      <c r="V65" s="263">
        <v>0</v>
      </c>
      <c r="W65" s="263">
        <v>0</v>
      </c>
      <c r="X65" s="263">
        <v>0</v>
      </c>
      <c r="Y65" s="263">
        <v>0.33333333333333331</v>
      </c>
      <c r="Z65" s="263">
        <v>9.0909090909090912E-2</v>
      </c>
      <c r="AA65" s="263">
        <v>0</v>
      </c>
      <c r="AB65" s="263">
        <v>0</v>
      </c>
      <c r="AC65" s="263">
        <v>0.41666666666666669</v>
      </c>
      <c r="AD65" s="263">
        <v>0</v>
      </c>
      <c r="AE65" s="263">
        <v>0</v>
      </c>
      <c r="AF65" s="263">
        <v>0</v>
      </c>
      <c r="AG65" s="263">
        <v>0.2</v>
      </c>
      <c r="AH65" s="263">
        <v>0</v>
      </c>
    </row>
    <row r="66" spans="2:34">
      <c r="B66" s="429" t="s">
        <v>323</v>
      </c>
      <c r="C66" s="430">
        <v>1.7094017094017099E-2</v>
      </c>
      <c r="D66" s="260">
        <v>0</v>
      </c>
      <c r="E66" s="260">
        <v>0</v>
      </c>
      <c r="F66" s="260">
        <v>0</v>
      </c>
      <c r="G66" s="260">
        <v>0</v>
      </c>
      <c r="H66" s="260">
        <v>0</v>
      </c>
      <c r="I66" s="260">
        <v>0</v>
      </c>
      <c r="J66" s="260">
        <v>0</v>
      </c>
      <c r="K66" s="260">
        <v>0</v>
      </c>
      <c r="L66" s="260">
        <v>0</v>
      </c>
      <c r="M66" s="260">
        <v>0</v>
      </c>
      <c r="N66" s="260">
        <v>0</v>
      </c>
      <c r="O66" s="260">
        <v>0</v>
      </c>
      <c r="P66" s="260">
        <v>0</v>
      </c>
      <c r="Q66" s="260">
        <v>0</v>
      </c>
      <c r="R66" s="260">
        <v>0</v>
      </c>
      <c r="S66" s="260">
        <v>0</v>
      </c>
      <c r="T66" s="260">
        <v>0</v>
      </c>
      <c r="U66" s="260">
        <v>0</v>
      </c>
      <c r="V66" s="260">
        <v>0</v>
      </c>
      <c r="W66" s="260">
        <v>0</v>
      </c>
      <c r="X66" s="260">
        <v>0</v>
      </c>
      <c r="Y66" s="260">
        <v>0</v>
      </c>
      <c r="Z66" s="260">
        <v>0</v>
      </c>
      <c r="AA66" s="260">
        <v>0</v>
      </c>
      <c r="AB66" s="260">
        <v>0.2</v>
      </c>
      <c r="AC66" s="260">
        <v>0</v>
      </c>
      <c r="AD66" s="260">
        <v>0</v>
      </c>
      <c r="AE66" s="260">
        <v>0</v>
      </c>
      <c r="AF66" s="260">
        <v>0</v>
      </c>
      <c r="AG66" s="260">
        <v>0</v>
      </c>
      <c r="AH66" s="260">
        <v>0.33333333333333331</v>
      </c>
    </row>
    <row r="67" spans="2:34">
      <c r="B67" s="427" t="s">
        <v>325</v>
      </c>
      <c r="C67" s="428">
        <v>7.6595744680851063E-2</v>
      </c>
      <c r="D67" s="263">
        <v>0</v>
      </c>
      <c r="E67" s="263">
        <v>0</v>
      </c>
      <c r="F67" s="263">
        <v>0</v>
      </c>
      <c r="G67" s="263">
        <v>0</v>
      </c>
      <c r="H67" s="263">
        <v>0</v>
      </c>
      <c r="I67" s="263">
        <v>0</v>
      </c>
      <c r="J67" s="263">
        <v>0.25</v>
      </c>
      <c r="K67" s="263">
        <v>0</v>
      </c>
      <c r="L67" s="263">
        <v>0</v>
      </c>
      <c r="M67" s="263">
        <v>0</v>
      </c>
      <c r="N67" s="263">
        <v>0.125</v>
      </c>
      <c r="O67" s="263">
        <v>0</v>
      </c>
      <c r="P67" s="263">
        <v>0</v>
      </c>
      <c r="Q67" s="263">
        <v>0.1</v>
      </c>
      <c r="R67" s="263">
        <v>0.27272727272727271</v>
      </c>
      <c r="S67" s="263">
        <v>0.16666666666666671</v>
      </c>
      <c r="T67" s="263">
        <v>0</v>
      </c>
      <c r="U67" s="263">
        <v>0.1176470588235294</v>
      </c>
      <c r="V67" s="263">
        <v>6.6666666666666666E-2</v>
      </c>
      <c r="W67" s="263">
        <v>0</v>
      </c>
      <c r="X67" s="263">
        <v>9.5238095238095233E-2</v>
      </c>
      <c r="Y67" s="263">
        <v>8.6956521739130432E-2</v>
      </c>
      <c r="Z67" s="263">
        <v>0</v>
      </c>
      <c r="AA67" s="263">
        <v>0.1290322580645161</v>
      </c>
      <c r="AB67" s="263">
        <v>7.6923076923076927E-2</v>
      </c>
      <c r="AC67" s="263">
        <v>7.6923076923076927E-2</v>
      </c>
      <c r="AD67" s="263">
        <v>0.1333333333333333</v>
      </c>
      <c r="AE67" s="263">
        <v>3.5714285714285712E-2</v>
      </c>
      <c r="AF67" s="263">
        <v>0.1</v>
      </c>
      <c r="AG67" s="263">
        <v>6.0606060606060608E-2</v>
      </c>
      <c r="AH67" s="263">
        <v>8.5714285714285715E-2</v>
      </c>
    </row>
    <row r="68" spans="2:34">
      <c r="B68" s="429" t="s">
        <v>326</v>
      </c>
      <c r="C68" s="430">
        <v>4.3478260869565218E-3</v>
      </c>
      <c r="D68" s="260" t="s">
        <v>237</v>
      </c>
      <c r="E68" s="260">
        <v>0</v>
      </c>
      <c r="F68" s="260">
        <v>0</v>
      </c>
      <c r="G68" s="260">
        <v>0</v>
      </c>
      <c r="H68" s="260">
        <v>0</v>
      </c>
      <c r="I68" s="260">
        <v>0</v>
      </c>
      <c r="J68" s="260">
        <v>0</v>
      </c>
      <c r="K68" s="260">
        <v>0</v>
      </c>
      <c r="L68" s="260">
        <v>0</v>
      </c>
      <c r="M68" s="260">
        <v>0</v>
      </c>
      <c r="N68" s="260">
        <v>0</v>
      </c>
      <c r="O68" s="260">
        <v>0</v>
      </c>
      <c r="P68" s="260">
        <v>0</v>
      </c>
      <c r="Q68" s="260">
        <v>0</v>
      </c>
      <c r="R68" s="260">
        <v>0</v>
      </c>
      <c r="S68" s="260">
        <v>0</v>
      </c>
      <c r="T68" s="260">
        <v>0</v>
      </c>
      <c r="U68" s="260">
        <v>0</v>
      </c>
      <c r="V68" s="260">
        <v>0</v>
      </c>
      <c r="W68" s="260">
        <v>0</v>
      </c>
      <c r="X68" s="260">
        <v>0</v>
      </c>
      <c r="Y68" s="260">
        <v>0</v>
      </c>
      <c r="Z68" s="260">
        <v>0</v>
      </c>
      <c r="AA68" s="260">
        <v>0</v>
      </c>
      <c r="AB68" s="260">
        <v>0</v>
      </c>
      <c r="AC68" s="260">
        <v>0</v>
      </c>
      <c r="AD68" s="260">
        <v>0</v>
      </c>
      <c r="AE68" s="260">
        <v>0</v>
      </c>
      <c r="AF68" s="260">
        <v>4.3478260869565223E-2</v>
      </c>
      <c r="AG68" s="260">
        <v>0</v>
      </c>
      <c r="AH68" s="260">
        <v>0</v>
      </c>
    </row>
    <row r="69" spans="2:34">
      <c r="B69" s="427" t="s">
        <v>327</v>
      </c>
      <c r="C69" s="428">
        <v>9.4339622641509441E-2</v>
      </c>
      <c r="D69" s="263">
        <v>0</v>
      </c>
      <c r="E69" s="263" t="s">
        <v>237</v>
      </c>
      <c r="F69" s="263">
        <v>0</v>
      </c>
      <c r="G69" s="263">
        <v>0</v>
      </c>
      <c r="H69" s="263">
        <v>1</v>
      </c>
      <c r="I69" s="263" t="s">
        <v>237</v>
      </c>
      <c r="J69" s="263">
        <v>0</v>
      </c>
      <c r="K69" s="263">
        <v>0</v>
      </c>
      <c r="L69" s="263">
        <v>0.5</v>
      </c>
      <c r="M69" s="263">
        <v>0</v>
      </c>
      <c r="N69" s="263">
        <v>0.5</v>
      </c>
      <c r="O69" s="263">
        <v>0</v>
      </c>
      <c r="P69" s="263">
        <v>0</v>
      </c>
      <c r="Q69" s="263">
        <v>0.5</v>
      </c>
      <c r="R69" s="263">
        <v>0</v>
      </c>
      <c r="S69" s="263">
        <v>0</v>
      </c>
      <c r="T69" s="263">
        <v>0</v>
      </c>
      <c r="U69" s="263">
        <v>0</v>
      </c>
      <c r="V69" s="263">
        <v>0</v>
      </c>
      <c r="W69" s="263">
        <v>0.2857142857142857</v>
      </c>
      <c r="X69" s="263">
        <v>0.14285714285714279</v>
      </c>
      <c r="Y69" s="263">
        <v>0</v>
      </c>
      <c r="Z69" s="263">
        <v>0.14285714285714279</v>
      </c>
      <c r="AA69" s="263">
        <v>0</v>
      </c>
      <c r="AB69" s="263">
        <v>0.16666666666666671</v>
      </c>
      <c r="AC69" s="263">
        <v>0</v>
      </c>
      <c r="AD69" s="263">
        <v>0</v>
      </c>
      <c r="AE69" s="263">
        <v>0</v>
      </c>
      <c r="AF69" s="263">
        <v>0</v>
      </c>
      <c r="AG69" s="263">
        <v>0.14285714285714279</v>
      </c>
      <c r="AH69" s="263">
        <v>0</v>
      </c>
    </row>
    <row r="70" spans="2:34">
      <c r="B70" s="429" t="s">
        <v>328</v>
      </c>
      <c r="C70" s="430">
        <v>3.1055900621118009E-2</v>
      </c>
      <c r="D70" s="260">
        <v>0</v>
      </c>
      <c r="E70" s="260">
        <v>9.0909090909090912E-2</v>
      </c>
      <c r="F70" s="260">
        <v>0</v>
      </c>
      <c r="G70" s="260">
        <v>7.6923076923076927E-2</v>
      </c>
      <c r="H70" s="260">
        <v>0.25</v>
      </c>
      <c r="I70" s="260">
        <v>0</v>
      </c>
      <c r="J70" s="260">
        <v>0.22222222222222221</v>
      </c>
      <c r="K70" s="260">
        <v>0</v>
      </c>
      <c r="L70" s="260">
        <v>0</v>
      </c>
      <c r="M70" s="260">
        <v>0.33333333333333331</v>
      </c>
      <c r="N70" s="260">
        <v>0</v>
      </c>
      <c r="O70" s="260">
        <v>0</v>
      </c>
      <c r="P70" s="260">
        <v>0</v>
      </c>
      <c r="Q70" s="260">
        <v>0</v>
      </c>
      <c r="R70" s="260">
        <v>0</v>
      </c>
      <c r="S70" s="260">
        <v>0</v>
      </c>
      <c r="T70" s="260">
        <v>0</v>
      </c>
      <c r="U70" s="260">
        <v>0</v>
      </c>
      <c r="V70" s="260">
        <v>0</v>
      </c>
      <c r="W70" s="260">
        <v>0</v>
      </c>
      <c r="X70" s="260">
        <v>0</v>
      </c>
      <c r="Y70" s="260">
        <v>0</v>
      </c>
      <c r="Z70" s="260">
        <v>0</v>
      </c>
      <c r="AA70" s="260">
        <v>0</v>
      </c>
      <c r="AB70" s="260">
        <v>7.6923076923076927E-2</v>
      </c>
      <c r="AC70" s="260">
        <v>6.25E-2</v>
      </c>
      <c r="AD70" s="260">
        <v>0</v>
      </c>
      <c r="AE70" s="260">
        <v>0</v>
      </c>
      <c r="AF70" s="260">
        <v>0</v>
      </c>
      <c r="AG70" s="260">
        <v>0</v>
      </c>
      <c r="AH70" s="260">
        <v>0</v>
      </c>
    </row>
    <row r="71" spans="2:34">
      <c r="B71" s="427" t="s">
        <v>329</v>
      </c>
      <c r="C71" s="428">
        <v>6.1320754716981132E-2</v>
      </c>
      <c r="D71" s="263" t="s">
        <v>237</v>
      </c>
      <c r="E71" s="263" t="s">
        <v>237</v>
      </c>
      <c r="F71" s="263" t="s">
        <v>237</v>
      </c>
      <c r="G71" s="263" t="s">
        <v>237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0.25</v>
      </c>
      <c r="N71" s="263">
        <v>0</v>
      </c>
      <c r="O71" s="263">
        <v>0</v>
      </c>
      <c r="P71" s="263">
        <v>0.33333333333333331</v>
      </c>
      <c r="Q71" s="263">
        <v>0.25</v>
      </c>
      <c r="R71" s="263">
        <v>0</v>
      </c>
      <c r="S71" s="263">
        <v>0.33333333333333331</v>
      </c>
      <c r="T71" s="263">
        <v>0.16666666666666671</v>
      </c>
      <c r="U71" s="263">
        <v>0.25</v>
      </c>
      <c r="V71" s="263">
        <v>0.14285714285714279</v>
      </c>
      <c r="W71" s="263">
        <v>0</v>
      </c>
      <c r="X71" s="263">
        <v>0.125</v>
      </c>
      <c r="Y71" s="263">
        <v>9.0909090909090912E-2</v>
      </c>
      <c r="Z71" s="263">
        <v>0</v>
      </c>
      <c r="AA71" s="263">
        <v>8.3333333333333329E-2</v>
      </c>
      <c r="AB71" s="263">
        <v>0</v>
      </c>
      <c r="AC71" s="263">
        <v>0</v>
      </c>
      <c r="AD71" s="263">
        <v>0</v>
      </c>
      <c r="AE71" s="263">
        <v>0</v>
      </c>
      <c r="AF71" s="263">
        <v>0</v>
      </c>
      <c r="AG71" s="263">
        <v>7.6923076923076927E-2</v>
      </c>
      <c r="AH71" s="263">
        <v>7.6923076923076927E-2</v>
      </c>
    </row>
    <row r="72" spans="2:34">
      <c r="B72" s="429" t="s">
        <v>330</v>
      </c>
      <c r="C72" s="430">
        <v>0.14084507042253519</v>
      </c>
      <c r="D72" s="260" t="s">
        <v>237</v>
      </c>
      <c r="E72" s="260" t="s">
        <v>237</v>
      </c>
      <c r="F72" s="260" t="s">
        <v>237</v>
      </c>
      <c r="G72" s="260" t="s">
        <v>237</v>
      </c>
      <c r="H72" s="260" t="s">
        <v>237</v>
      </c>
      <c r="I72" s="260" t="s">
        <v>237</v>
      </c>
      <c r="J72" s="260">
        <v>0</v>
      </c>
      <c r="K72" s="260">
        <v>0</v>
      </c>
      <c r="L72" s="260">
        <v>0</v>
      </c>
      <c r="M72" s="260">
        <v>0</v>
      </c>
      <c r="N72" s="260">
        <v>0</v>
      </c>
      <c r="O72" s="260">
        <v>0</v>
      </c>
      <c r="P72" s="260">
        <v>0</v>
      </c>
      <c r="Q72" s="260" t="s">
        <v>237</v>
      </c>
      <c r="R72" s="260" t="s">
        <v>237</v>
      </c>
      <c r="S72" s="260" t="s">
        <v>237</v>
      </c>
      <c r="T72" s="260">
        <v>0</v>
      </c>
      <c r="U72" s="260">
        <v>0</v>
      </c>
      <c r="V72" s="260">
        <v>9.0909090909090912E-2</v>
      </c>
      <c r="W72" s="260">
        <v>0</v>
      </c>
      <c r="X72" s="260">
        <v>6.6666666666666666E-2</v>
      </c>
      <c r="Y72" s="260">
        <v>7.1428571428571425E-2</v>
      </c>
      <c r="Z72" s="260">
        <v>0</v>
      </c>
      <c r="AA72" s="260">
        <v>0</v>
      </c>
      <c r="AB72" s="260">
        <v>0</v>
      </c>
      <c r="AC72" s="260">
        <v>0.33333333333333331</v>
      </c>
      <c r="AD72" s="260">
        <v>0.125</v>
      </c>
      <c r="AE72" s="260">
        <v>0.31818181818181818</v>
      </c>
      <c r="AF72" s="260">
        <v>0.6470588235294118</v>
      </c>
      <c r="AG72" s="260">
        <v>0</v>
      </c>
      <c r="AH72" s="260">
        <v>0</v>
      </c>
    </row>
    <row r="73" spans="2:34">
      <c r="B73" s="427" t="s">
        <v>331</v>
      </c>
      <c r="C73" s="428">
        <v>4.1666666666666657E-2</v>
      </c>
      <c r="D73" s="263">
        <v>0</v>
      </c>
      <c r="E73" s="263">
        <v>0</v>
      </c>
      <c r="F73" s="263">
        <v>0</v>
      </c>
      <c r="G73" s="263">
        <v>0</v>
      </c>
      <c r="H73" s="263">
        <v>0</v>
      </c>
      <c r="I73" s="263">
        <v>0</v>
      </c>
      <c r="J73" s="263">
        <v>0</v>
      </c>
      <c r="K73" s="263" t="s">
        <v>237</v>
      </c>
      <c r="L73" s="263" t="s">
        <v>237</v>
      </c>
      <c r="M73" s="263">
        <v>0</v>
      </c>
      <c r="N73" s="263">
        <v>0</v>
      </c>
      <c r="O73" s="263">
        <v>0</v>
      </c>
      <c r="P73" s="263">
        <v>0</v>
      </c>
      <c r="Q73" s="263">
        <v>0</v>
      </c>
      <c r="R73" s="263">
        <v>0</v>
      </c>
      <c r="S73" s="263">
        <v>0</v>
      </c>
      <c r="T73" s="263">
        <v>0</v>
      </c>
      <c r="U73" s="263">
        <v>0.2</v>
      </c>
      <c r="V73" s="263">
        <v>0</v>
      </c>
      <c r="W73" s="263">
        <v>0.14285714285714279</v>
      </c>
      <c r="X73" s="263">
        <v>0</v>
      </c>
      <c r="Y73" s="263">
        <v>0.33333333333333331</v>
      </c>
      <c r="Z73" s="263">
        <v>0.14285714285714279</v>
      </c>
      <c r="AA73" s="263">
        <v>0</v>
      </c>
      <c r="AB73" s="263">
        <v>0</v>
      </c>
      <c r="AC73" s="263">
        <v>0</v>
      </c>
      <c r="AD73" s="263">
        <v>0</v>
      </c>
      <c r="AE73" s="263">
        <v>0</v>
      </c>
      <c r="AF73" s="263">
        <v>0</v>
      </c>
      <c r="AG73" s="263">
        <v>6.6666666666666666E-2</v>
      </c>
      <c r="AH73" s="263">
        <v>0</v>
      </c>
    </row>
    <row r="74" spans="2:34">
      <c r="B74" s="429" t="s">
        <v>332</v>
      </c>
      <c r="C74" s="430">
        <v>3.1920460491889062E-2</v>
      </c>
      <c r="D74" s="260">
        <v>4.5454545454545463E-2</v>
      </c>
      <c r="E74" s="260">
        <v>8.6956521739130432E-2</v>
      </c>
      <c r="F74" s="260">
        <v>0</v>
      </c>
      <c r="G74" s="260">
        <v>8.3333333333333329E-2</v>
      </c>
      <c r="H74" s="260">
        <v>0</v>
      </c>
      <c r="I74" s="260">
        <v>0.12</v>
      </c>
      <c r="J74" s="260">
        <v>0</v>
      </c>
      <c r="K74" s="260">
        <v>7.1428571428571425E-2</v>
      </c>
      <c r="L74" s="260">
        <v>0</v>
      </c>
      <c r="M74" s="260">
        <v>0.13793103448275859</v>
      </c>
      <c r="N74" s="260">
        <v>0</v>
      </c>
      <c r="O74" s="260">
        <v>6.25E-2</v>
      </c>
      <c r="P74" s="260">
        <v>0</v>
      </c>
      <c r="Q74" s="260">
        <v>0</v>
      </c>
      <c r="R74" s="260">
        <v>8.1081081081081086E-2</v>
      </c>
      <c r="S74" s="260">
        <v>3.125E-2</v>
      </c>
      <c r="T74" s="260">
        <v>3.03030303030303E-2</v>
      </c>
      <c r="U74" s="260">
        <v>0</v>
      </c>
      <c r="V74" s="260">
        <v>0.02</v>
      </c>
      <c r="W74" s="260">
        <v>0</v>
      </c>
      <c r="X74" s="260">
        <v>2.3809523809523812E-2</v>
      </c>
      <c r="Y74" s="260">
        <v>2.1739130434782612E-2</v>
      </c>
      <c r="Z74" s="260">
        <v>4.0816326530612242E-2</v>
      </c>
      <c r="AA74" s="260">
        <v>8.9285714285714281E-3</v>
      </c>
      <c r="AB74" s="260">
        <v>5.9259259259259262E-2</v>
      </c>
      <c r="AC74" s="260">
        <v>4.3478260869565223E-2</v>
      </c>
      <c r="AD74" s="260">
        <v>7.9136690647482008E-2</v>
      </c>
      <c r="AE74" s="260">
        <v>1.6393442622950821E-2</v>
      </c>
      <c r="AF74" s="260">
        <v>0</v>
      </c>
      <c r="AG74" s="260">
        <v>8.5470085470085479E-3</v>
      </c>
      <c r="AH74" s="260">
        <v>1.8018018018018021E-2</v>
      </c>
    </row>
    <row r="75" spans="2:34">
      <c r="B75" s="427" t="s">
        <v>334</v>
      </c>
      <c r="C75" s="428">
        <v>7.6023391812865493E-2</v>
      </c>
      <c r="D75" s="263">
        <v>0</v>
      </c>
      <c r="E75" s="263">
        <v>0.2</v>
      </c>
      <c r="F75" s="263">
        <v>0</v>
      </c>
      <c r="G75" s="263">
        <v>0.25</v>
      </c>
      <c r="H75" s="263">
        <v>0.25</v>
      </c>
      <c r="I75" s="263">
        <v>0</v>
      </c>
      <c r="J75" s="263">
        <v>0</v>
      </c>
      <c r="K75" s="263">
        <v>0</v>
      </c>
      <c r="L75" s="263">
        <v>0.66666666666666663</v>
      </c>
      <c r="M75" s="263">
        <v>0</v>
      </c>
      <c r="N75" s="263">
        <v>0</v>
      </c>
      <c r="O75" s="263">
        <v>0</v>
      </c>
      <c r="P75" s="263">
        <v>0</v>
      </c>
      <c r="Q75" s="263">
        <v>0</v>
      </c>
      <c r="R75" s="263">
        <v>0</v>
      </c>
      <c r="S75" s="263">
        <v>0</v>
      </c>
      <c r="T75" s="263">
        <v>0</v>
      </c>
      <c r="U75" s="263">
        <v>0</v>
      </c>
      <c r="V75" s="263">
        <v>0</v>
      </c>
      <c r="W75" s="263">
        <v>0</v>
      </c>
      <c r="X75" s="263">
        <v>0.125</v>
      </c>
      <c r="Y75" s="263">
        <v>0</v>
      </c>
      <c r="Z75" s="263">
        <v>0.15384615384615391</v>
      </c>
      <c r="AA75" s="263">
        <v>0</v>
      </c>
      <c r="AB75" s="263">
        <v>0.16666666666666671</v>
      </c>
      <c r="AC75" s="263">
        <v>8.3333333333333329E-2</v>
      </c>
      <c r="AD75" s="263">
        <v>0.1818181818181818</v>
      </c>
      <c r="AE75" s="263">
        <v>0</v>
      </c>
      <c r="AF75" s="263">
        <v>0</v>
      </c>
      <c r="AG75" s="263">
        <v>0</v>
      </c>
      <c r="AH75" s="263">
        <v>0</v>
      </c>
    </row>
    <row r="76" spans="2:34">
      <c r="B76" s="429" t="s">
        <v>335</v>
      </c>
      <c r="C76" s="430">
        <v>7.8125E-2</v>
      </c>
      <c r="D76" s="260" t="s">
        <v>237</v>
      </c>
      <c r="E76" s="260" t="s">
        <v>237</v>
      </c>
      <c r="F76" s="260">
        <v>0.25</v>
      </c>
      <c r="G76" s="260">
        <v>0</v>
      </c>
      <c r="H76" s="260">
        <v>0</v>
      </c>
      <c r="I76" s="260">
        <v>0</v>
      </c>
      <c r="J76" s="260">
        <v>0</v>
      </c>
      <c r="K76" s="260">
        <v>0</v>
      </c>
      <c r="L76" s="260">
        <v>0</v>
      </c>
      <c r="M76" s="260">
        <v>0</v>
      </c>
      <c r="N76" s="260">
        <v>0</v>
      </c>
      <c r="O76" s="260">
        <v>0</v>
      </c>
      <c r="P76" s="260">
        <v>0</v>
      </c>
      <c r="Q76" s="260">
        <v>0</v>
      </c>
      <c r="R76" s="260">
        <v>2.3255813953488368E-2</v>
      </c>
      <c r="S76" s="260">
        <v>4.4444444444444453E-2</v>
      </c>
      <c r="T76" s="260">
        <v>9.6153846153846159E-2</v>
      </c>
      <c r="U76" s="260">
        <v>1.8181818181818181E-2</v>
      </c>
      <c r="V76" s="260">
        <v>0</v>
      </c>
      <c r="W76" s="260">
        <v>1.298701298701299E-2</v>
      </c>
      <c r="X76" s="260">
        <v>0.13580246913580249</v>
      </c>
      <c r="Y76" s="260">
        <v>0.1234567901234568</v>
      </c>
      <c r="Z76" s="260">
        <v>4.1666666666666657E-2</v>
      </c>
      <c r="AA76" s="260">
        <v>0</v>
      </c>
      <c r="AB76" s="260">
        <v>1.2658227848101271E-2</v>
      </c>
      <c r="AC76" s="260">
        <v>6.741573033707865E-2</v>
      </c>
      <c r="AD76" s="260">
        <v>0.2156862745098039</v>
      </c>
      <c r="AE76" s="260">
        <v>0</v>
      </c>
      <c r="AF76" s="260">
        <v>0.44705882352941179</v>
      </c>
      <c r="AG76" s="260">
        <v>4.878048780487805E-2</v>
      </c>
      <c r="AH76" s="260">
        <v>2.3255813953488368E-2</v>
      </c>
    </row>
    <row r="77" spans="2:34">
      <c r="B77" s="427" t="s">
        <v>336</v>
      </c>
      <c r="C77" s="428">
        <v>4.5751633986928102E-2</v>
      </c>
      <c r="D77" s="263">
        <v>0</v>
      </c>
      <c r="E77" s="263">
        <v>0</v>
      </c>
      <c r="F77" s="263">
        <v>0</v>
      </c>
      <c r="G77" s="263">
        <v>0</v>
      </c>
      <c r="H77" s="263">
        <v>0</v>
      </c>
      <c r="I77" s="263">
        <v>0.25</v>
      </c>
      <c r="J77" s="263">
        <v>0.2</v>
      </c>
      <c r="K77" s="263">
        <v>0</v>
      </c>
      <c r="L77" s="263">
        <v>0</v>
      </c>
      <c r="M77" s="263">
        <v>0</v>
      </c>
      <c r="N77" s="263">
        <v>0</v>
      </c>
      <c r="O77" s="263">
        <v>0</v>
      </c>
      <c r="P77" s="263">
        <v>0.33333333333333331</v>
      </c>
      <c r="Q77" s="263">
        <v>0</v>
      </c>
      <c r="R77" s="263">
        <v>0.14285714285714279</v>
      </c>
      <c r="S77" s="263">
        <v>0</v>
      </c>
      <c r="T77" s="263">
        <v>0.125</v>
      </c>
      <c r="U77" s="263">
        <v>0</v>
      </c>
      <c r="V77" s="263">
        <v>0.2</v>
      </c>
      <c r="W77" s="263">
        <v>0</v>
      </c>
      <c r="X77" s="263">
        <v>0</v>
      </c>
      <c r="Y77" s="263">
        <v>0</v>
      </c>
      <c r="Z77" s="263">
        <v>0</v>
      </c>
      <c r="AA77" s="263">
        <v>5.5555555555555552E-2</v>
      </c>
      <c r="AB77" s="263">
        <v>0</v>
      </c>
      <c r="AC77" s="263">
        <v>9.0909090909090912E-2</v>
      </c>
      <c r="AD77" s="263">
        <v>0</v>
      </c>
      <c r="AE77" s="263">
        <v>0.125</v>
      </c>
      <c r="AF77" s="263">
        <v>0</v>
      </c>
      <c r="AG77" s="263">
        <v>4.7619047619047623E-2</v>
      </c>
      <c r="AH77" s="263">
        <v>0</v>
      </c>
    </row>
    <row r="78" spans="2:34">
      <c r="B78" s="429" t="s">
        <v>337</v>
      </c>
      <c r="C78" s="430">
        <v>1.8518518518518521E-2</v>
      </c>
      <c r="D78" s="260">
        <v>0</v>
      </c>
      <c r="E78" s="260">
        <v>0.5</v>
      </c>
      <c r="F78" s="260">
        <v>0</v>
      </c>
      <c r="G78" s="260">
        <v>0</v>
      </c>
      <c r="H78" s="260">
        <v>0.33333333333333331</v>
      </c>
      <c r="I78" s="260">
        <v>0</v>
      </c>
      <c r="J78" s="260">
        <v>0</v>
      </c>
      <c r="K78" s="260">
        <v>0</v>
      </c>
      <c r="L78" s="260">
        <v>0.33333333333333331</v>
      </c>
      <c r="M78" s="260">
        <v>0.33333333333333331</v>
      </c>
      <c r="N78" s="260">
        <v>0</v>
      </c>
      <c r="O78" s="260">
        <v>0</v>
      </c>
      <c r="P78" s="260">
        <v>0.5</v>
      </c>
      <c r="Q78" s="260">
        <v>0</v>
      </c>
      <c r="R78" s="260">
        <v>0</v>
      </c>
      <c r="S78" s="260">
        <v>0</v>
      </c>
      <c r="T78" s="260">
        <v>0</v>
      </c>
      <c r="U78" s="260">
        <v>0</v>
      </c>
      <c r="V78" s="260">
        <v>0</v>
      </c>
      <c r="W78" s="260">
        <v>0</v>
      </c>
      <c r="X78" s="260">
        <v>0</v>
      </c>
      <c r="Y78" s="260">
        <v>0</v>
      </c>
      <c r="Z78" s="260">
        <v>0</v>
      </c>
      <c r="AA78" s="260">
        <v>0</v>
      </c>
      <c r="AB78" s="260">
        <v>0</v>
      </c>
      <c r="AC78" s="260">
        <v>0</v>
      </c>
      <c r="AD78" s="260">
        <v>0</v>
      </c>
      <c r="AE78" s="260">
        <v>0</v>
      </c>
      <c r="AF78" s="260">
        <v>0</v>
      </c>
      <c r="AG78" s="260">
        <v>0</v>
      </c>
      <c r="AH78" s="260">
        <v>0</v>
      </c>
    </row>
    <row r="79" spans="2:34">
      <c r="B79" s="427" t="s">
        <v>338</v>
      </c>
      <c r="C79" s="428">
        <v>7.3170731707317069E-2</v>
      </c>
      <c r="D79" s="263">
        <v>0</v>
      </c>
      <c r="E79" s="263">
        <v>0</v>
      </c>
      <c r="F79" s="263">
        <v>0</v>
      </c>
      <c r="G79" s="263">
        <v>0</v>
      </c>
      <c r="H79" s="263">
        <v>0</v>
      </c>
      <c r="I79" s="263">
        <v>0.5</v>
      </c>
      <c r="J79" s="263">
        <v>0</v>
      </c>
      <c r="K79" s="263">
        <v>0</v>
      </c>
      <c r="L79" s="263">
        <v>0</v>
      </c>
      <c r="M79" s="263">
        <v>0</v>
      </c>
      <c r="N79" s="263">
        <v>0</v>
      </c>
      <c r="O79" s="263">
        <v>0</v>
      </c>
      <c r="P79" s="263">
        <v>0.33333333333333331</v>
      </c>
      <c r="Q79" s="263">
        <v>0.2</v>
      </c>
      <c r="R79" s="263">
        <v>0.33333333333333331</v>
      </c>
      <c r="S79" s="263">
        <v>0.14285714285714279</v>
      </c>
      <c r="T79" s="263">
        <v>0.7142857142857143</v>
      </c>
      <c r="U79" s="263">
        <v>0</v>
      </c>
      <c r="V79" s="263">
        <v>0</v>
      </c>
      <c r="W79" s="263">
        <v>5.2631578947368418E-2</v>
      </c>
      <c r="X79" s="263">
        <v>0</v>
      </c>
      <c r="Y79" s="263">
        <v>0</v>
      </c>
      <c r="Z79" s="263">
        <v>0</v>
      </c>
      <c r="AA79" s="263">
        <v>0.2</v>
      </c>
      <c r="AB79" s="263">
        <v>0</v>
      </c>
      <c r="AC79" s="263">
        <v>0</v>
      </c>
      <c r="AD79" s="263">
        <v>0</v>
      </c>
      <c r="AE79" s="263">
        <v>7.1428571428571425E-2</v>
      </c>
      <c r="AF79" s="263">
        <v>8.6956521739130432E-2</v>
      </c>
      <c r="AG79" s="263">
        <v>3.2258064516129031E-2</v>
      </c>
      <c r="AH79" s="263">
        <v>0</v>
      </c>
    </row>
    <row r="80" spans="2:34">
      <c r="B80" s="429" t="s">
        <v>339</v>
      </c>
      <c r="C80" s="430">
        <v>6.25E-2</v>
      </c>
      <c r="D80" s="260">
        <v>0.1111111111111111</v>
      </c>
      <c r="E80" s="260">
        <v>0.33333333333333331</v>
      </c>
      <c r="F80" s="260">
        <v>0</v>
      </c>
      <c r="G80" s="260">
        <v>0</v>
      </c>
      <c r="H80" s="260">
        <v>0</v>
      </c>
      <c r="I80" s="260">
        <v>0</v>
      </c>
      <c r="J80" s="260">
        <v>0</v>
      </c>
      <c r="K80" s="260">
        <v>0</v>
      </c>
      <c r="L80" s="260">
        <v>0.2</v>
      </c>
      <c r="M80" s="260">
        <v>0</v>
      </c>
      <c r="N80" s="260">
        <v>0</v>
      </c>
      <c r="O80" s="260">
        <v>0</v>
      </c>
      <c r="P80" s="260">
        <v>0.16666666666666671</v>
      </c>
      <c r="Q80" s="260">
        <v>0</v>
      </c>
      <c r="R80" s="260">
        <v>0</v>
      </c>
      <c r="S80" s="260">
        <v>0</v>
      </c>
      <c r="T80" s="260">
        <v>0</v>
      </c>
      <c r="U80" s="260">
        <v>0</v>
      </c>
      <c r="V80" s="260">
        <v>0</v>
      </c>
      <c r="W80" s="260">
        <v>0</v>
      </c>
      <c r="X80" s="260">
        <v>0</v>
      </c>
      <c r="Y80" s="260">
        <v>0</v>
      </c>
      <c r="Z80" s="260">
        <v>0</v>
      </c>
      <c r="AA80" s="260">
        <v>0</v>
      </c>
      <c r="AB80" s="260">
        <v>0</v>
      </c>
      <c r="AC80" s="260">
        <v>1</v>
      </c>
      <c r="AD80" s="260" t="s">
        <v>237</v>
      </c>
      <c r="AE80" s="260" t="s">
        <v>237</v>
      </c>
      <c r="AF80" s="260" t="s">
        <v>237</v>
      </c>
      <c r="AG80" s="260" t="s">
        <v>237</v>
      </c>
      <c r="AH80" s="260" t="s">
        <v>237</v>
      </c>
    </row>
    <row r="81" spans="2:34">
      <c r="B81" s="427" t="s">
        <v>340</v>
      </c>
      <c r="C81" s="428">
        <v>4.2813455657492352E-2</v>
      </c>
      <c r="D81" s="263" t="s">
        <v>237</v>
      </c>
      <c r="E81" s="263">
        <v>0</v>
      </c>
      <c r="F81" s="263">
        <v>0</v>
      </c>
      <c r="G81" s="263">
        <v>0</v>
      </c>
      <c r="H81" s="263">
        <v>0.14285714285714279</v>
      </c>
      <c r="I81" s="263">
        <v>0</v>
      </c>
      <c r="J81" s="263">
        <v>0.125</v>
      </c>
      <c r="K81" s="263">
        <v>0.33333333333333331</v>
      </c>
      <c r="L81" s="263">
        <v>0</v>
      </c>
      <c r="M81" s="263">
        <v>0.25</v>
      </c>
      <c r="N81" s="263">
        <v>0</v>
      </c>
      <c r="O81" s="263">
        <v>0</v>
      </c>
      <c r="P81" s="263">
        <v>0</v>
      </c>
      <c r="Q81" s="263">
        <v>0</v>
      </c>
      <c r="R81" s="263">
        <v>0.16666666666666671</v>
      </c>
      <c r="S81" s="263">
        <v>0</v>
      </c>
      <c r="T81" s="263">
        <v>0</v>
      </c>
      <c r="U81" s="263">
        <v>0.2142857142857143</v>
      </c>
      <c r="V81" s="263">
        <v>0</v>
      </c>
      <c r="W81" s="263">
        <v>6.6666666666666666E-2</v>
      </c>
      <c r="X81" s="263">
        <v>0.1333333333333333</v>
      </c>
      <c r="Y81" s="263">
        <v>0</v>
      </c>
      <c r="Z81" s="263">
        <v>0</v>
      </c>
      <c r="AA81" s="263">
        <v>0</v>
      </c>
      <c r="AB81" s="263">
        <v>0</v>
      </c>
      <c r="AC81" s="263">
        <v>0</v>
      </c>
      <c r="AD81" s="263">
        <v>0</v>
      </c>
      <c r="AE81" s="263">
        <v>0</v>
      </c>
      <c r="AF81" s="263">
        <v>3.7037037037037028E-2</v>
      </c>
      <c r="AG81" s="263">
        <v>0</v>
      </c>
      <c r="AH81" s="263">
        <v>2.8571428571428571E-2</v>
      </c>
    </row>
    <row r="82" spans="2:34">
      <c r="B82" s="429" t="s">
        <v>342</v>
      </c>
      <c r="C82" s="430">
        <v>2.0408163265306121E-2</v>
      </c>
      <c r="D82" s="260" t="s">
        <v>237</v>
      </c>
      <c r="E82" s="260" t="s">
        <v>237</v>
      </c>
      <c r="F82" s="260" t="s">
        <v>237</v>
      </c>
      <c r="G82" s="260" t="s">
        <v>237</v>
      </c>
      <c r="H82" s="260" t="s">
        <v>237</v>
      </c>
      <c r="I82" s="260">
        <v>0</v>
      </c>
      <c r="J82" s="260">
        <v>0</v>
      </c>
      <c r="K82" s="260">
        <v>0</v>
      </c>
      <c r="L82" s="260">
        <v>0</v>
      </c>
      <c r="M82" s="260">
        <v>0.2</v>
      </c>
      <c r="N82" s="260">
        <v>0.2</v>
      </c>
      <c r="O82" s="260">
        <v>0.16666666666666671</v>
      </c>
      <c r="P82" s="260">
        <v>0</v>
      </c>
      <c r="Q82" s="260">
        <v>0</v>
      </c>
      <c r="R82" s="260">
        <v>0</v>
      </c>
      <c r="S82" s="260">
        <v>0</v>
      </c>
      <c r="T82" s="260">
        <v>0</v>
      </c>
      <c r="U82" s="260">
        <v>0</v>
      </c>
      <c r="V82" s="260">
        <v>7.6923076923076927E-2</v>
      </c>
      <c r="W82" s="260">
        <v>0.1</v>
      </c>
      <c r="X82" s="260">
        <v>0</v>
      </c>
      <c r="Y82" s="260">
        <v>0.05</v>
      </c>
      <c r="Z82" s="260">
        <v>4.3478260869565223E-2</v>
      </c>
      <c r="AA82" s="260">
        <v>5.1724137931034482E-2</v>
      </c>
      <c r="AB82" s="260">
        <v>1.6393442622950821E-2</v>
      </c>
      <c r="AC82" s="260">
        <v>0</v>
      </c>
      <c r="AD82" s="260">
        <v>0</v>
      </c>
      <c r="AE82" s="260">
        <v>1.298701298701299E-2</v>
      </c>
      <c r="AF82" s="260">
        <v>0</v>
      </c>
      <c r="AG82" s="260">
        <v>1.111111111111111E-2</v>
      </c>
      <c r="AH82" s="260">
        <v>1.9801980198019799E-2</v>
      </c>
    </row>
    <row r="83" spans="2:34">
      <c r="B83" s="427" t="s">
        <v>343</v>
      </c>
      <c r="C83" s="428">
        <v>6.8062827225130892E-2</v>
      </c>
      <c r="D83" s="263">
        <v>0</v>
      </c>
      <c r="E83" s="263">
        <v>0.4</v>
      </c>
      <c r="F83" s="263">
        <v>0</v>
      </c>
      <c r="G83" s="263">
        <v>0</v>
      </c>
      <c r="H83" s="263">
        <v>0</v>
      </c>
      <c r="I83" s="263">
        <v>0.33333333333333331</v>
      </c>
      <c r="J83" s="263">
        <v>0</v>
      </c>
      <c r="K83" s="263">
        <v>0.25</v>
      </c>
      <c r="L83" s="263">
        <v>0</v>
      </c>
      <c r="M83" s="263">
        <v>0.25</v>
      </c>
      <c r="N83" s="263">
        <v>0</v>
      </c>
      <c r="O83" s="263">
        <v>0</v>
      </c>
      <c r="P83" s="263">
        <v>0</v>
      </c>
      <c r="Q83" s="263">
        <v>0</v>
      </c>
      <c r="R83" s="263">
        <v>0</v>
      </c>
      <c r="S83" s="263">
        <v>0.16666666666666671</v>
      </c>
      <c r="T83" s="263">
        <v>0</v>
      </c>
      <c r="U83" s="263">
        <v>0</v>
      </c>
      <c r="V83" s="263">
        <v>0</v>
      </c>
      <c r="W83" s="263">
        <v>0</v>
      </c>
      <c r="X83" s="263">
        <v>0</v>
      </c>
      <c r="Y83" s="263">
        <v>0</v>
      </c>
      <c r="Z83" s="263">
        <v>0.22222222222222221</v>
      </c>
      <c r="AA83" s="263">
        <v>0</v>
      </c>
      <c r="AB83" s="263">
        <v>0</v>
      </c>
      <c r="AC83" s="263">
        <v>0</v>
      </c>
      <c r="AD83" s="263">
        <v>0.2142857142857143</v>
      </c>
      <c r="AE83" s="263">
        <v>8.3333333333333329E-2</v>
      </c>
      <c r="AF83" s="263">
        <v>0</v>
      </c>
      <c r="AG83" s="263">
        <v>7.6923076923076927E-2</v>
      </c>
      <c r="AH83" s="263">
        <v>0</v>
      </c>
    </row>
    <row r="84" spans="2:34">
      <c r="B84" s="429" t="s">
        <v>344</v>
      </c>
      <c r="C84" s="430">
        <v>6.6037735849056603E-2</v>
      </c>
      <c r="D84" s="260">
        <v>8.3333333333333329E-2</v>
      </c>
      <c r="E84" s="260">
        <v>7.1428571428571425E-2</v>
      </c>
      <c r="F84" s="260">
        <v>0</v>
      </c>
      <c r="G84" s="260">
        <v>7.6923076923076927E-2</v>
      </c>
      <c r="H84" s="260">
        <v>0</v>
      </c>
      <c r="I84" s="260">
        <v>0.125</v>
      </c>
      <c r="J84" s="260">
        <v>0</v>
      </c>
      <c r="K84" s="260">
        <v>0</v>
      </c>
      <c r="L84" s="260">
        <v>0</v>
      </c>
      <c r="M84" s="260">
        <v>0</v>
      </c>
      <c r="N84" s="260">
        <v>0</v>
      </c>
      <c r="O84" s="260">
        <v>0.5</v>
      </c>
      <c r="P84" s="260">
        <v>0</v>
      </c>
      <c r="Q84" s="260">
        <v>0</v>
      </c>
      <c r="R84" s="260">
        <v>0</v>
      </c>
      <c r="S84" s="260">
        <v>1</v>
      </c>
      <c r="T84" s="260" t="s">
        <v>237</v>
      </c>
      <c r="U84" s="260" t="s">
        <v>237</v>
      </c>
      <c r="V84" s="260">
        <v>0</v>
      </c>
      <c r="W84" s="260">
        <v>0</v>
      </c>
      <c r="X84" s="260">
        <v>0</v>
      </c>
      <c r="Y84" s="260">
        <v>0</v>
      </c>
      <c r="Z84" s="260">
        <v>0.5</v>
      </c>
      <c r="AA84" s="260">
        <v>0</v>
      </c>
      <c r="AB84" s="260">
        <v>0</v>
      </c>
      <c r="AC84" s="260">
        <v>0</v>
      </c>
      <c r="AD84" s="260" t="s">
        <v>237</v>
      </c>
      <c r="AE84" s="260" t="s">
        <v>237</v>
      </c>
      <c r="AF84" s="260" t="s">
        <v>237</v>
      </c>
      <c r="AG84" s="260">
        <v>0</v>
      </c>
      <c r="AH84" s="260">
        <v>0</v>
      </c>
    </row>
    <row r="85" spans="2:34" hidden="1" outlineLevel="1">
      <c r="B85" s="143">
        <v>0</v>
      </c>
      <c r="C85" s="255">
        <v>0</v>
      </c>
      <c r="D85" s="285" t="s">
        <v>237</v>
      </c>
      <c r="E85" s="286" t="s">
        <v>237</v>
      </c>
      <c r="F85" s="286" t="s">
        <v>237</v>
      </c>
      <c r="G85" s="286" t="s">
        <v>237</v>
      </c>
      <c r="H85" s="286" t="s">
        <v>237</v>
      </c>
      <c r="I85" s="286" t="s">
        <v>237</v>
      </c>
      <c r="J85" s="286" t="s">
        <v>237</v>
      </c>
      <c r="K85" s="286" t="s">
        <v>237</v>
      </c>
      <c r="L85" s="286" t="s">
        <v>237</v>
      </c>
      <c r="M85" s="286" t="s">
        <v>237</v>
      </c>
      <c r="N85" s="286" t="s">
        <v>237</v>
      </c>
      <c r="O85" s="286" t="s">
        <v>237</v>
      </c>
      <c r="P85" s="286" t="s">
        <v>237</v>
      </c>
      <c r="Q85" s="286" t="s">
        <v>237</v>
      </c>
      <c r="R85" s="286" t="s">
        <v>237</v>
      </c>
      <c r="S85" s="286" t="s">
        <v>237</v>
      </c>
      <c r="T85" s="286" t="s">
        <v>237</v>
      </c>
      <c r="U85" s="286" t="s">
        <v>237</v>
      </c>
      <c r="V85" s="286" t="s">
        <v>237</v>
      </c>
      <c r="W85" s="286" t="s">
        <v>237</v>
      </c>
      <c r="X85" s="286" t="s">
        <v>237</v>
      </c>
      <c r="Y85" s="286" t="s">
        <v>237</v>
      </c>
      <c r="Z85" s="286" t="s">
        <v>237</v>
      </c>
      <c r="AA85" s="286" t="s">
        <v>237</v>
      </c>
      <c r="AB85" s="286" t="s">
        <v>237</v>
      </c>
      <c r="AC85" s="286" t="s">
        <v>237</v>
      </c>
      <c r="AD85" s="286" t="s">
        <v>237</v>
      </c>
      <c r="AE85" s="286" t="s">
        <v>237</v>
      </c>
      <c r="AF85" s="286" t="s">
        <v>237</v>
      </c>
      <c r="AG85" s="286" t="s">
        <v>237</v>
      </c>
      <c r="AH85" s="333" t="s">
        <v>237</v>
      </c>
    </row>
    <row r="86" spans="2:34" hidden="1" outlineLevel="1">
      <c r="B86" s="196">
        <v>0</v>
      </c>
      <c r="C86" s="252">
        <v>0</v>
      </c>
      <c r="D86" s="259" t="s">
        <v>237</v>
      </c>
      <c r="E86" s="260" t="s">
        <v>237</v>
      </c>
      <c r="F86" s="260" t="s">
        <v>237</v>
      </c>
      <c r="G86" s="260" t="s">
        <v>237</v>
      </c>
      <c r="H86" s="260" t="s">
        <v>237</v>
      </c>
      <c r="I86" s="260" t="s">
        <v>237</v>
      </c>
      <c r="J86" s="260" t="s">
        <v>237</v>
      </c>
      <c r="K86" s="260" t="s">
        <v>237</v>
      </c>
      <c r="L86" s="260" t="s">
        <v>237</v>
      </c>
      <c r="M86" s="260" t="s">
        <v>237</v>
      </c>
      <c r="N86" s="260" t="s">
        <v>237</v>
      </c>
      <c r="O86" s="260" t="s">
        <v>237</v>
      </c>
      <c r="P86" s="260" t="s">
        <v>237</v>
      </c>
      <c r="Q86" s="260" t="s">
        <v>237</v>
      </c>
      <c r="R86" s="260" t="s">
        <v>237</v>
      </c>
      <c r="S86" s="260" t="s">
        <v>237</v>
      </c>
      <c r="T86" s="260" t="s">
        <v>237</v>
      </c>
      <c r="U86" s="260" t="s">
        <v>237</v>
      </c>
      <c r="V86" s="260" t="s">
        <v>237</v>
      </c>
      <c r="W86" s="260" t="s">
        <v>237</v>
      </c>
      <c r="X86" s="260" t="s">
        <v>237</v>
      </c>
      <c r="Y86" s="260" t="s">
        <v>237</v>
      </c>
      <c r="Z86" s="260" t="s">
        <v>237</v>
      </c>
      <c r="AA86" s="260" t="s">
        <v>237</v>
      </c>
      <c r="AB86" s="260" t="s">
        <v>237</v>
      </c>
      <c r="AC86" s="260" t="s">
        <v>237</v>
      </c>
      <c r="AD86" s="260" t="s">
        <v>237</v>
      </c>
      <c r="AE86" s="260" t="s">
        <v>237</v>
      </c>
      <c r="AF86" s="260" t="s">
        <v>237</v>
      </c>
      <c r="AG86" s="260" t="s">
        <v>237</v>
      </c>
      <c r="AH86" s="261" t="s">
        <v>237</v>
      </c>
    </row>
    <row r="87" spans="2:34" hidden="1" outlineLevel="1">
      <c r="B87" s="87">
        <v>0</v>
      </c>
      <c r="C87" s="253">
        <v>0</v>
      </c>
      <c r="D87" s="262" t="s">
        <v>237</v>
      </c>
      <c r="E87" s="263" t="s">
        <v>237</v>
      </c>
      <c r="F87" s="263" t="s">
        <v>237</v>
      </c>
      <c r="G87" s="263" t="s">
        <v>237</v>
      </c>
      <c r="H87" s="263" t="s">
        <v>237</v>
      </c>
      <c r="I87" s="263" t="s">
        <v>237</v>
      </c>
      <c r="J87" s="263" t="s">
        <v>237</v>
      </c>
      <c r="K87" s="263" t="s">
        <v>237</v>
      </c>
      <c r="L87" s="263" t="s">
        <v>237</v>
      </c>
      <c r="M87" s="263" t="s">
        <v>237</v>
      </c>
      <c r="N87" s="263" t="s">
        <v>237</v>
      </c>
      <c r="O87" s="263" t="s">
        <v>237</v>
      </c>
      <c r="P87" s="263" t="s">
        <v>237</v>
      </c>
      <c r="Q87" s="263" t="s">
        <v>237</v>
      </c>
      <c r="R87" s="263" t="s">
        <v>237</v>
      </c>
      <c r="S87" s="263" t="s">
        <v>237</v>
      </c>
      <c r="T87" s="263" t="s">
        <v>237</v>
      </c>
      <c r="U87" s="263" t="s">
        <v>237</v>
      </c>
      <c r="V87" s="263" t="s">
        <v>237</v>
      </c>
      <c r="W87" s="263" t="s">
        <v>237</v>
      </c>
      <c r="X87" s="263" t="s">
        <v>237</v>
      </c>
      <c r="Y87" s="263" t="s">
        <v>237</v>
      </c>
      <c r="Z87" s="263" t="s">
        <v>237</v>
      </c>
      <c r="AA87" s="263" t="s">
        <v>237</v>
      </c>
      <c r="AB87" s="263" t="s">
        <v>237</v>
      </c>
      <c r="AC87" s="263" t="s">
        <v>237</v>
      </c>
      <c r="AD87" s="263" t="s">
        <v>237</v>
      </c>
      <c r="AE87" s="263" t="s">
        <v>237</v>
      </c>
      <c r="AF87" s="263" t="s">
        <v>237</v>
      </c>
      <c r="AG87" s="263" t="s">
        <v>237</v>
      </c>
      <c r="AH87" s="264" t="s">
        <v>237</v>
      </c>
    </row>
    <row r="88" spans="2:34" hidden="1" outlineLevel="1">
      <c r="B88" s="196">
        <v>0</v>
      </c>
      <c r="C88" s="252">
        <v>0</v>
      </c>
      <c r="D88" s="259" t="s">
        <v>237</v>
      </c>
      <c r="E88" s="260" t="s">
        <v>237</v>
      </c>
      <c r="F88" s="260" t="s">
        <v>237</v>
      </c>
      <c r="G88" s="260" t="s">
        <v>237</v>
      </c>
      <c r="H88" s="260" t="s">
        <v>237</v>
      </c>
      <c r="I88" s="260" t="s">
        <v>237</v>
      </c>
      <c r="J88" s="260" t="s">
        <v>237</v>
      </c>
      <c r="K88" s="260" t="s">
        <v>237</v>
      </c>
      <c r="L88" s="260" t="s">
        <v>237</v>
      </c>
      <c r="M88" s="260" t="s">
        <v>237</v>
      </c>
      <c r="N88" s="260" t="s">
        <v>237</v>
      </c>
      <c r="O88" s="260" t="s">
        <v>237</v>
      </c>
      <c r="P88" s="260" t="s">
        <v>237</v>
      </c>
      <c r="Q88" s="260" t="s">
        <v>237</v>
      </c>
      <c r="R88" s="260" t="s">
        <v>237</v>
      </c>
      <c r="S88" s="260" t="s">
        <v>237</v>
      </c>
      <c r="T88" s="260" t="s">
        <v>237</v>
      </c>
      <c r="U88" s="260" t="s">
        <v>237</v>
      </c>
      <c r="V88" s="260" t="s">
        <v>237</v>
      </c>
      <c r="W88" s="260" t="s">
        <v>237</v>
      </c>
      <c r="X88" s="260" t="s">
        <v>237</v>
      </c>
      <c r="Y88" s="260" t="s">
        <v>237</v>
      </c>
      <c r="Z88" s="260" t="s">
        <v>237</v>
      </c>
      <c r="AA88" s="260" t="s">
        <v>237</v>
      </c>
      <c r="AB88" s="260" t="s">
        <v>237</v>
      </c>
      <c r="AC88" s="260" t="s">
        <v>237</v>
      </c>
      <c r="AD88" s="260" t="s">
        <v>237</v>
      </c>
      <c r="AE88" s="260" t="s">
        <v>237</v>
      </c>
      <c r="AF88" s="260" t="s">
        <v>237</v>
      </c>
      <c r="AG88" s="260" t="s">
        <v>237</v>
      </c>
      <c r="AH88" s="261" t="s">
        <v>237</v>
      </c>
    </row>
    <row r="89" spans="2:34" hidden="1" outlineLevel="1">
      <c r="B89" s="87">
        <v>0</v>
      </c>
      <c r="C89" s="253">
        <v>0</v>
      </c>
      <c r="D89" s="262" t="s">
        <v>237</v>
      </c>
      <c r="E89" s="263" t="s">
        <v>237</v>
      </c>
      <c r="F89" s="263" t="s">
        <v>237</v>
      </c>
      <c r="G89" s="263" t="s">
        <v>237</v>
      </c>
      <c r="H89" s="263" t="s">
        <v>237</v>
      </c>
      <c r="I89" s="263" t="s">
        <v>237</v>
      </c>
      <c r="J89" s="263" t="s">
        <v>237</v>
      </c>
      <c r="K89" s="263" t="s">
        <v>237</v>
      </c>
      <c r="L89" s="263" t="s">
        <v>237</v>
      </c>
      <c r="M89" s="263" t="s">
        <v>237</v>
      </c>
      <c r="N89" s="263" t="s">
        <v>237</v>
      </c>
      <c r="O89" s="263" t="s">
        <v>237</v>
      </c>
      <c r="P89" s="263" t="s">
        <v>237</v>
      </c>
      <c r="Q89" s="263" t="s">
        <v>237</v>
      </c>
      <c r="R89" s="263" t="s">
        <v>237</v>
      </c>
      <c r="S89" s="263" t="s">
        <v>237</v>
      </c>
      <c r="T89" s="263" t="s">
        <v>237</v>
      </c>
      <c r="U89" s="263" t="s">
        <v>237</v>
      </c>
      <c r="V89" s="263" t="s">
        <v>237</v>
      </c>
      <c r="W89" s="263" t="s">
        <v>237</v>
      </c>
      <c r="X89" s="263" t="s">
        <v>237</v>
      </c>
      <c r="Y89" s="263" t="s">
        <v>237</v>
      </c>
      <c r="Z89" s="263" t="s">
        <v>237</v>
      </c>
      <c r="AA89" s="263" t="s">
        <v>237</v>
      </c>
      <c r="AB89" s="263" t="s">
        <v>237</v>
      </c>
      <c r="AC89" s="263" t="s">
        <v>237</v>
      </c>
      <c r="AD89" s="263" t="s">
        <v>237</v>
      </c>
      <c r="AE89" s="263" t="s">
        <v>237</v>
      </c>
      <c r="AF89" s="263" t="s">
        <v>237</v>
      </c>
      <c r="AG89" s="263" t="s">
        <v>237</v>
      </c>
      <c r="AH89" s="264" t="s">
        <v>237</v>
      </c>
    </row>
    <row r="90" spans="2:34" hidden="1" outlineLevel="1">
      <c r="B90" s="196">
        <v>0</v>
      </c>
      <c r="C90" s="252">
        <v>0</v>
      </c>
      <c r="D90" s="259" t="s">
        <v>237</v>
      </c>
      <c r="E90" s="260" t="s">
        <v>237</v>
      </c>
      <c r="F90" s="260" t="s">
        <v>237</v>
      </c>
      <c r="G90" s="260" t="s">
        <v>237</v>
      </c>
      <c r="H90" s="260" t="s">
        <v>237</v>
      </c>
      <c r="I90" s="260" t="s">
        <v>237</v>
      </c>
      <c r="J90" s="260" t="s">
        <v>237</v>
      </c>
      <c r="K90" s="260" t="s">
        <v>237</v>
      </c>
      <c r="L90" s="260" t="s">
        <v>237</v>
      </c>
      <c r="M90" s="260" t="s">
        <v>237</v>
      </c>
      <c r="N90" s="260" t="s">
        <v>237</v>
      </c>
      <c r="O90" s="260" t="s">
        <v>237</v>
      </c>
      <c r="P90" s="260" t="s">
        <v>237</v>
      </c>
      <c r="Q90" s="260" t="s">
        <v>237</v>
      </c>
      <c r="R90" s="260" t="s">
        <v>237</v>
      </c>
      <c r="S90" s="260" t="s">
        <v>237</v>
      </c>
      <c r="T90" s="260" t="s">
        <v>237</v>
      </c>
      <c r="U90" s="260" t="s">
        <v>237</v>
      </c>
      <c r="V90" s="260" t="s">
        <v>237</v>
      </c>
      <c r="W90" s="260" t="s">
        <v>237</v>
      </c>
      <c r="X90" s="260" t="s">
        <v>237</v>
      </c>
      <c r="Y90" s="260" t="s">
        <v>237</v>
      </c>
      <c r="Z90" s="260" t="s">
        <v>237</v>
      </c>
      <c r="AA90" s="260" t="s">
        <v>237</v>
      </c>
      <c r="AB90" s="260" t="s">
        <v>237</v>
      </c>
      <c r="AC90" s="260" t="s">
        <v>237</v>
      </c>
      <c r="AD90" s="260" t="s">
        <v>237</v>
      </c>
      <c r="AE90" s="260" t="s">
        <v>237</v>
      </c>
      <c r="AF90" s="260" t="s">
        <v>237</v>
      </c>
      <c r="AG90" s="260" t="s">
        <v>237</v>
      </c>
      <c r="AH90" s="261" t="s">
        <v>237</v>
      </c>
    </row>
    <row r="91" spans="2:34" hidden="1" outlineLevel="1">
      <c r="B91" s="87">
        <v>0</v>
      </c>
      <c r="C91" s="253">
        <v>0</v>
      </c>
      <c r="D91" s="262" t="s">
        <v>237</v>
      </c>
      <c r="E91" s="263" t="s">
        <v>237</v>
      </c>
      <c r="F91" s="263" t="s">
        <v>237</v>
      </c>
      <c r="G91" s="263" t="s">
        <v>237</v>
      </c>
      <c r="H91" s="263" t="s">
        <v>237</v>
      </c>
      <c r="I91" s="263" t="s">
        <v>237</v>
      </c>
      <c r="J91" s="263" t="s">
        <v>237</v>
      </c>
      <c r="K91" s="263" t="s">
        <v>237</v>
      </c>
      <c r="L91" s="263" t="s">
        <v>237</v>
      </c>
      <c r="M91" s="263" t="s">
        <v>237</v>
      </c>
      <c r="N91" s="263" t="s">
        <v>237</v>
      </c>
      <c r="O91" s="263" t="s">
        <v>237</v>
      </c>
      <c r="P91" s="263" t="s">
        <v>237</v>
      </c>
      <c r="Q91" s="263" t="s">
        <v>237</v>
      </c>
      <c r="R91" s="263" t="s">
        <v>237</v>
      </c>
      <c r="S91" s="263" t="s">
        <v>237</v>
      </c>
      <c r="T91" s="263" t="s">
        <v>237</v>
      </c>
      <c r="U91" s="263" t="s">
        <v>237</v>
      </c>
      <c r="V91" s="263" t="s">
        <v>237</v>
      </c>
      <c r="W91" s="263" t="s">
        <v>237</v>
      </c>
      <c r="X91" s="263" t="s">
        <v>237</v>
      </c>
      <c r="Y91" s="263" t="s">
        <v>237</v>
      </c>
      <c r="Z91" s="263" t="s">
        <v>237</v>
      </c>
      <c r="AA91" s="263" t="s">
        <v>237</v>
      </c>
      <c r="AB91" s="263" t="s">
        <v>237</v>
      </c>
      <c r="AC91" s="263" t="s">
        <v>237</v>
      </c>
      <c r="AD91" s="263" t="s">
        <v>237</v>
      </c>
      <c r="AE91" s="263" t="s">
        <v>237</v>
      </c>
      <c r="AF91" s="263" t="s">
        <v>237</v>
      </c>
      <c r="AG91" s="263" t="s">
        <v>237</v>
      </c>
      <c r="AH91" s="264" t="s">
        <v>237</v>
      </c>
    </row>
    <row r="92" spans="2:34" hidden="1" outlineLevel="1">
      <c r="B92" s="196">
        <v>0</v>
      </c>
      <c r="C92" s="252">
        <v>0</v>
      </c>
      <c r="D92" s="259" t="s">
        <v>237</v>
      </c>
      <c r="E92" s="260" t="s">
        <v>237</v>
      </c>
      <c r="F92" s="260" t="s">
        <v>237</v>
      </c>
      <c r="G92" s="260" t="s">
        <v>237</v>
      </c>
      <c r="H92" s="260" t="s">
        <v>237</v>
      </c>
      <c r="I92" s="260" t="s">
        <v>237</v>
      </c>
      <c r="J92" s="260" t="s">
        <v>237</v>
      </c>
      <c r="K92" s="260" t="s">
        <v>237</v>
      </c>
      <c r="L92" s="260" t="s">
        <v>237</v>
      </c>
      <c r="M92" s="260" t="s">
        <v>237</v>
      </c>
      <c r="N92" s="260" t="s">
        <v>237</v>
      </c>
      <c r="O92" s="260" t="s">
        <v>237</v>
      </c>
      <c r="P92" s="260" t="s">
        <v>237</v>
      </c>
      <c r="Q92" s="260" t="s">
        <v>237</v>
      </c>
      <c r="R92" s="260" t="s">
        <v>237</v>
      </c>
      <c r="S92" s="260" t="s">
        <v>237</v>
      </c>
      <c r="T92" s="260" t="s">
        <v>237</v>
      </c>
      <c r="U92" s="260" t="s">
        <v>237</v>
      </c>
      <c r="V92" s="260" t="s">
        <v>237</v>
      </c>
      <c r="W92" s="260" t="s">
        <v>237</v>
      </c>
      <c r="X92" s="260" t="s">
        <v>237</v>
      </c>
      <c r="Y92" s="260" t="s">
        <v>237</v>
      </c>
      <c r="Z92" s="260" t="s">
        <v>237</v>
      </c>
      <c r="AA92" s="260" t="s">
        <v>237</v>
      </c>
      <c r="AB92" s="260" t="s">
        <v>237</v>
      </c>
      <c r="AC92" s="260" t="s">
        <v>237</v>
      </c>
      <c r="AD92" s="260" t="s">
        <v>237</v>
      </c>
      <c r="AE92" s="260" t="s">
        <v>237</v>
      </c>
      <c r="AF92" s="260" t="s">
        <v>237</v>
      </c>
      <c r="AG92" s="260" t="s">
        <v>237</v>
      </c>
      <c r="AH92" s="261" t="s">
        <v>237</v>
      </c>
    </row>
    <row r="93" spans="2:34" hidden="1" outlineLevel="1">
      <c r="B93" s="87">
        <v>0</v>
      </c>
      <c r="C93" s="253">
        <v>0</v>
      </c>
      <c r="D93" s="262" t="s">
        <v>237</v>
      </c>
      <c r="E93" s="263" t="s">
        <v>237</v>
      </c>
      <c r="F93" s="263" t="s">
        <v>237</v>
      </c>
      <c r="G93" s="263" t="s">
        <v>237</v>
      </c>
      <c r="H93" s="263" t="s">
        <v>237</v>
      </c>
      <c r="I93" s="263" t="s">
        <v>237</v>
      </c>
      <c r="J93" s="263" t="s">
        <v>237</v>
      </c>
      <c r="K93" s="263" t="s">
        <v>237</v>
      </c>
      <c r="L93" s="263" t="s">
        <v>237</v>
      </c>
      <c r="M93" s="263" t="s">
        <v>237</v>
      </c>
      <c r="N93" s="263" t="s">
        <v>237</v>
      </c>
      <c r="O93" s="263" t="s">
        <v>237</v>
      </c>
      <c r="P93" s="263" t="s">
        <v>237</v>
      </c>
      <c r="Q93" s="263" t="s">
        <v>237</v>
      </c>
      <c r="R93" s="263" t="s">
        <v>237</v>
      </c>
      <c r="S93" s="263" t="s">
        <v>237</v>
      </c>
      <c r="T93" s="263" t="s">
        <v>237</v>
      </c>
      <c r="U93" s="263" t="s">
        <v>237</v>
      </c>
      <c r="V93" s="263" t="s">
        <v>237</v>
      </c>
      <c r="W93" s="263" t="s">
        <v>237</v>
      </c>
      <c r="X93" s="263" t="s">
        <v>237</v>
      </c>
      <c r="Y93" s="263" t="s">
        <v>237</v>
      </c>
      <c r="Z93" s="263" t="s">
        <v>237</v>
      </c>
      <c r="AA93" s="263" t="s">
        <v>237</v>
      </c>
      <c r="AB93" s="263" t="s">
        <v>237</v>
      </c>
      <c r="AC93" s="263" t="s">
        <v>237</v>
      </c>
      <c r="AD93" s="263" t="s">
        <v>237</v>
      </c>
      <c r="AE93" s="263" t="s">
        <v>237</v>
      </c>
      <c r="AF93" s="263" t="s">
        <v>237</v>
      </c>
      <c r="AG93" s="263" t="s">
        <v>237</v>
      </c>
      <c r="AH93" s="264" t="s">
        <v>237</v>
      </c>
    </row>
    <row r="94" spans="2:34" hidden="1" outlineLevel="1">
      <c r="B94" s="196">
        <v>0</v>
      </c>
      <c r="C94" s="252">
        <v>0</v>
      </c>
      <c r="D94" s="259" t="s">
        <v>237</v>
      </c>
      <c r="E94" s="260" t="s">
        <v>237</v>
      </c>
      <c r="F94" s="260" t="s">
        <v>237</v>
      </c>
      <c r="G94" s="260" t="s">
        <v>237</v>
      </c>
      <c r="H94" s="260" t="s">
        <v>237</v>
      </c>
      <c r="I94" s="260" t="s">
        <v>237</v>
      </c>
      <c r="J94" s="260" t="s">
        <v>237</v>
      </c>
      <c r="K94" s="260" t="s">
        <v>237</v>
      </c>
      <c r="L94" s="260" t="s">
        <v>237</v>
      </c>
      <c r="M94" s="260" t="s">
        <v>237</v>
      </c>
      <c r="N94" s="260" t="s">
        <v>237</v>
      </c>
      <c r="O94" s="260" t="s">
        <v>237</v>
      </c>
      <c r="P94" s="260" t="s">
        <v>237</v>
      </c>
      <c r="Q94" s="260" t="s">
        <v>237</v>
      </c>
      <c r="R94" s="260" t="s">
        <v>237</v>
      </c>
      <c r="S94" s="260" t="s">
        <v>237</v>
      </c>
      <c r="T94" s="260" t="s">
        <v>237</v>
      </c>
      <c r="U94" s="260" t="s">
        <v>237</v>
      </c>
      <c r="V94" s="260" t="s">
        <v>237</v>
      </c>
      <c r="W94" s="260" t="s">
        <v>237</v>
      </c>
      <c r="X94" s="260" t="s">
        <v>237</v>
      </c>
      <c r="Y94" s="260" t="s">
        <v>237</v>
      </c>
      <c r="Z94" s="260" t="s">
        <v>237</v>
      </c>
      <c r="AA94" s="260" t="s">
        <v>237</v>
      </c>
      <c r="AB94" s="260" t="s">
        <v>237</v>
      </c>
      <c r="AC94" s="260" t="s">
        <v>237</v>
      </c>
      <c r="AD94" s="260" t="s">
        <v>237</v>
      </c>
      <c r="AE94" s="260" t="s">
        <v>237</v>
      </c>
      <c r="AF94" s="260" t="s">
        <v>237</v>
      </c>
      <c r="AG94" s="260" t="s">
        <v>237</v>
      </c>
      <c r="AH94" s="261" t="s">
        <v>237</v>
      </c>
    </row>
    <row r="95" spans="2:34" hidden="1" outlineLevel="1">
      <c r="B95" s="87">
        <v>0</v>
      </c>
      <c r="C95" s="253">
        <v>0</v>
      </c>
      <c r="D95" s="262" t="s">
        <v>237</v>
      </c>
      <c r="E95" s="263" t="s">
        <v>237</v>
      </c>
      <c r="F95" s="263" t="s">
        <v>237</v>
      </c>
      <c r="G95" s="263" t="s">
        <v>237</v>
      </c>
      <c r="H95" s="263" t="s">
        <v>237</v>
      </c>
      <c r="I95" s="263" t="s">
        <v>237</v>
      </c>
      <c r="J95" s="263" t="s">
        <v>237</v>
      </c>
      <c r="K95" s="263" t="s">
        <v>237</v>
      </c>
      <c r="L95" s="263" t="s">
        <v>237</v>
      </c>
      <c r="M95" s="263" t="s">
        <v>237</v>
      </c>
      <c r="N95" s="263" t="s">
        <v>237</v>
      </c>
      <c r="O95" s="263" t="s">
        <v>237</v>
      </c>
      <c r="P95" s="263" t="s">
        <v>237</v>
      </c>
      <c r="Q95" s="263" t="s">
        <v>237</v>
      </c>
      <c r="R95" s="263" t="s">
        <v>237</v>
      </c>
      <c r="S95" s="263" t="s">
        <v>237</v>
      </c>
      <c r="T95" s="263" t="s">
        <v>237</v>
      </c>
      <c r="U95" s="263" t="s">
        <v>237</v>
      </c>
      <c r="V95" s="263" t="s">
        <v>237</v>
      </c>
      <c r="W95" s="263" t="s">
        <v>237</v>
      </c>
      <c r="X95" s="263" t="s">
        <v>237</v>
      </c>
      <c r="Y95" s="263" t="s">
        <v>237</v>
      </c>
      <c r="Z95" s="263" t="s">
        <v>237</v>
      </c>
      <c r="AA95" s="263" t="s">
        <v>237</v>
      </c>
      <c r="AB95" s="263" t="s">
        <v>237</v>
      </c>
      <c r="AC95" s="263" t="s">
        <v>237</v>
      </c>
      <c r="AD95" s="263" t="s">
        <v>237</v>
      </c>
      <c r="AE95" s="263" t="s">
        <v>237</v>
      </c>
      <c r="AF95" s="263" t="s">
        <v>237</v>
      </c>
      <c r="AG95" s="263" t="s">
        <v>237</v>
      </c>
      <c r="AH95" s="264" t="s">
        <v>237</v>
      </c>
    </row>
    <row r="96" spans="2:34" hidden="1" outlineLevel="1">
      <c r="B96" s="196">
        <v>0</v>
      </c>
      <c r="C96" s="252">
        <v>0</v>
      </c>
      <c r="D96" s="259" t="s">
        <v>237</v>
      </c>
      <c r="E96" s="260" t="s">
        <v>237</v>
      </c>
      <c r="F96" s="260" t="s">
        <v>237</v>
      </c>
      <c r="G96" s="260" t="s">
        <v>237</v>
      </c>
      <c r="H96" s="260" t="s">
        <v>237</v>
      </c>
      <c r="I96" s="260" t="s">
        <v>237</v>
      </c>
      <c r="J96" s="260" t="s">
        <v>237</v>
      </c>
      <c r="K96" s="260" t="s">
        <v>237</v>
      </c>
      <c r="L96" s="260" t="s">
        <v>237</v>
      </c>
      <c r="M96" s="260" t="s">
        <v>237</v>
      </c>
      <c r="N96" s="260" t="s">
        <v>237</v>
      </c>
      <c r="O96" s="260" t="s">
        <v>237</v>
      </c>
      <c r="P96" s="260" t="s">
        <v>237</v>
      </c>
      <c r="Q96" s="260" t="s">
        <v>237</v>
      </c>
      <c r="R96" s="260" t="s">
        <v>237</v>
      </c>
      <c r="S96" s="260" t="s">
        <v>237</v>
      </c>
      <c r="T96" s="260" t="s">
        <v>237</v>
      </c>
      <c r="U96" s="260" t="s">
        <v>237</v>
      </c>
      <c r="V96" s="260" t="s">
        <v>237</v>
      </c>
      <c r="W96" s="260" t="s">
        <v>237</v>
      </c>
      <c r="X96" s="260" t="s">
        <v>237</v>
      </c>
      <c r="Y96" s="260" t="s">
        <v>237</v>
      </c>
      <c r="Z96" s="260" t="s">
        <v>237</v>
      </c>
      <c r="AA96" s="260" t="s">
        <v>237</v>
      </c>
      <c r="AB96" s="260" t="s">
        <v>237</v>
      </c>
      <c r="AC96" s="260" t="s">
        <v>237</v>
      </c>
      <c r="AD96" s="260" t="s">
        <v>237</v>
      </c>
      <c r="AE96" s="260" t="s">
        <v>237</v>
      </c>
      <c r="AF96" s="260" t="s">
        <v>237</v>
      </c>
      <c r="AG96" s="260" t="s">
        <v>237</v>
      </c>
      <c r="AH96" s="261" t="s">
        <v>237</v>
      </c>
    </row>
    <row r="97" spans="2:34" hidden="1" outlineLevel="1">
      <c r="B97" s="87">
        <v>0</v>
      </c>
      <c r="C97" s="253">
        <v>0</v>
      </c>
      <c r="D97" s="262" t="s">
        <v>237</v>
      </c>
      <c r="E97" s="263" t="s">
        <v>237</v>
      </c>
      <c r="F97" s="263" t="s">
        <v>237</v>
      </c>
      <c r="G97" s="263" t="s">
        <v>237</v>
      </c>
      <c r="H97" s="263" t="s">
        <v>237</v>
      </c>
      <c r="I97" s="263" t="s">
        <v>237</v>
      </c>
      <c r="J97" s="263" t="s">
        <v>237</v>
      </c>
      <c r="K97" s="263" t="s">
        <v>237</v>
      </c>
      <c r="L97" s="263" t="s">
        <v>237</v>
      </c>
      <c r="M97" s="263" t="s">
        <v>237</v>
      </c>
      <c r="N97" s="263" t="s">
        <v>237</v>
      </c>
      <c r="O97" s="263" t="s">
        <v>237</v>
      </c>
      <c r="P97" s="263" t="s">
        <v>237</v>
      </c>
      <c r="Q97" s="263" t="s">
        <v>237</v>
      </c>
      <c r="R97" s="263" t="s">
        <v>237</v>
      </c>
      <c r="S97" s="263" t="s">
        <v>237</v>
      </c>
      <c r="T97" s="263" t="s">
        <v>237</v>
      </c>
      <c r="U97" s="263" t="s">
        <v>237</v>
      </c>
      <c r="V97" s="263" t="s">
        <v>237</v>
      </c>
      <c r="W97" s="263" t="s">
        <v>237</v>
      </c>
      <c r="X97" s="263" t="s">
        <v>237</v>
      </c>
      <c r="Y97" s="263" t="s">
        <v>237</v>
      </c>
      <c r="Z97" s="263" t="s">
        <v>237</v>
      </c>
      <c r="AA97" s="263" t="s">
        <v>237</v>
      </c>
      <c r="AB97" s="263" t="s">
        <v>237</v>
      </c>
      <c r="AC97" s="263" t="s">
        <v>237</v>
      </c>
      <c r="AD97" s="263" t="s">
        <v>237</v>
      </c>
      <c r="AE97" s="263" t="s">
        <v>237</v>
      </c>
      <c r="AF97" s="263" t="s">
        <v>237</v>
      </c>
      <c r="AG97" s="263" t="s">
        <v>237</v>
      </c>
      <c r="AH97" s="264" t="s">
        <v>237</v>
      </c>
    </row>
    <row r="98" spans="2:34" hidden="1" outlineLevel="1">
      <c r="B98" s="196">
        <v>0</v>
      </c>
      <c r="C98" s="252">
        <v>0</v>
      </c>
      <c r="D98" s="259" t="s">
        <v>237</v>
      </c>
      <c r="E98" s="260" t="s">
        <v>237</v>
      </c>
      <c r="F98" s="260" t="s">
        <v>237</v>
      </c>
      <c r="G98" s="260" t="s">
        <v>237</v>
      </c>
      <c r="H98" s="260" t="s">
        <v>237</v>
      </c>
      <c r="I98" s="260" t="s">
        <v>237</v>
      </c>
      <c r="J98" s="260" t="s">
        <v>237</v>
      </c>
      <c r="K98" s="260" t="s">
        <v>237</v>
      </c>
      <c r="L98" s="260" t="s">
        <v>237</v>
      </c>
      <c r="M98" s="260" t="s">
        <v>237</v>
      </c>
      <c r="N98" s="260" t="s">
        <v>237</v>
      </c>
      <c r="O98" s="260" t="s">
        <v>237</v>
      </c>
      <c r="P98" s="260" t="s">
        <v>237</v>
      </c>
      <c r="Q98" s="260" t="s">
        <v>237</v>
      </c>
      <c r="R98" s="260" t="s">
        <v>237</v>
      </c>
      <c r="S98" s="260" t="s">
        <v>237</v>
      </c>
      <c r="T98" s="260" t="s">
        <v>237</v>
      </c>
      <c r="U98" s="260" t="s">
        <v>237</v>
      </c>
      <c r="V98" s="260" t="s">
        <v>237</v>
      </c>
      <c r="W98" s="260" t="s">
        <v>237</v>
      </c>
      <c r="X98" s="260" t="s">
        <v>237</v>
      </c>
      <c r="Y98" s="260" t="s">
        <v>237</v>
      </c>
      <c r="Z98" s="260" t="s">
        <v>237</v>
      </c>
      <c r="AA98" s="260" t="s">
        <v>237</v>
      </c>
      <c r="AB98" s="260" t="s">
        <v>237</v>
      </c>
      <c r="AC98" s="260" t="s">
        <v>237</v>
      </c>
      <c r="AD98" s="260" t="s">
        <v>237</v>
      </c>
      <c r="AE98" s="260" t="s">
        <v>237</v>
      </c>
      <c r="AF98" s="260" t="s">
        <v>237</v>
      </c>
      <c r="AG98" s="260" t="s">
        <v>237</v>
      </c>
      <c r="AH98" s="261" t="s">
        <v>237</v>
      </c>
    </row>
    <row r="99" spans="2:34" hidden="1" outlineLevel="1">
      <c r="B99" s="87">
        <v>0</v>
      </c>
      <c r="C99" s="253">
        <v>0</v>
      </c>
      <c r="D99" s="262" t="s">
        <v>237</v>
      </c>
      <c r="E99" s="263" t="s">
        <v>237</v>
      </c>
      <c r="F99" s="263" t="s">
        <v>237</v>
      </c>
      <c r="G99" s="263" t="s">
        <v>237</v>
      </c>
      <c r="H99" s="263" t="s">
        <v>237</v>
      </c>
      <c r="I99" s="263" t="s">
        <v>237</v>
      </c>
      <c r="J99" s="263" t="s">
        <v>237</v>
      </c>
      <c r="K99" s="263" t="s">
        <v>237</v>
      </c>
      <c r="L99" s="263" t="s">
        <v>237</v>
      </c>
      <c r="M99" s="263" t="s">
        <v>237</v>
      </c>
      <c r="N99" s="263" t="s">
        <v>237</v>
      </c>
      <c r="O99" s="263" t="s">
        <v>237</v>
      </c>
      <c r="P99" s="263" t="s">
        <v>237</v>
      </c>
      <c r="Q99" s="263" t="s">
        <v>237</v>
      </c>
      <c r="R99" s="263" t="s">
        <v>237</v>
      </c>
      <c r="S99" s="263" t="s">
        <v>237</v>
      </c>
      <c r="T99" s="263" t="s">
        <v>237</v>
      </c>
      <c r="U99" s="263" t="s">
        <v>237</v>
      </c>
      <c r="V99" s="263" t="s">
        <v>237</v>
      </c>
      <c r="W99" s="263" t="s">
        <v>237</v>
      </c>
      <c r="X99" s="263" t="s">
        <v>237</v>
      </c>
      <c r="Y99" s="263" t="s">
        <v>237</v>
      </c>
      <c r="Z99" s="263" t="s">
        <v>237</v>
      </c>
      <c r="AA99" s="263" t="s">
        <v>237</v>
      </c>
      <c r="AB99" s="263" t="s">
        <v>237</v>
      </c>
      <c r="AC99" s="263" t="s">
        <v>237</v>
      </c>
      <c r="AD99" s="263" t="s">
        <v>237</v>
      </c>
      <c r="AE99" s="263" t="s">
        <v>237</v>
      </c>
      <c r="AF99" s="263" t="s">
        <v>237</v>
      </c>
      <c r="AG99" s="263" t="s">
        <v>237</v>
      </c>
      <c r="AH99" s="264" t="s">
        <v>237</v>
      </c>
    </row>
    <row r="100" spans="2:34" hidden="1" outlineLevel="1">
      <c r="B100" s="196">
        <v>0</v>
      </c>
      <c r="C100" s="252">
        <v>0</v>
      </c>
      <c r="D100" s="259" t="s">
        <v>237</v>
      </c>
      <c r="E100" s="260" t="s">
        <v>237</v>
      </c>
      <c r="F100" s="260" t="s">
        <v>237</v>
      </c>
      <c r="G100" s="260" t="s">
        <v>237</v>
      </c>
      <c r="H100" s="260" t="s">
        <v>237</v>
      </c>
      <c r="I100" s="260" t="s">
        <v>237</v>
      </c>
      <c r="J100" s="260" t="s">
        <v>237</v>
      </c>
      <c r="K100" s="260" t="s">
        <v>237</v>
      </c>
      <c r="L100" s="260" t="s">
        <v>237</v>
      </c>
      <c r="M100" s="260" t="s">
        <v>237</v>
      </c>
      <c r="N100" s="260" t="s">
        <v>237</v>
      </c>
      <c r="O100" s="260" t="s">
        <v>237</v>
      </c>
      <c r="P100" s="260" t="s">
        <v>237</v>
      </c>
      <c r="Q100" s="260" t="s">
        <v>237</v>
      </c>
      <c r="R100" s="260" t="s">
        <v>237</v>
      </c>
      <c r="S100" s="260" t="s">
        <v>237</v>
      </c>
      <c r="T100" s="260" t="s">
        <v>237</v>
      </c>
      <c r="U100" s="260" t="s">
        <v>237</v>
      </c>
      <c r="V100" s="260" t="s">
        <v>237</v>
      </c>
      <c r="W100" s="260" t="s">
        <v>237</v>
      </c>
      <c r="X100" s="260" t="s">
        <v>237</v>
      </c>
      <c r="Y100" s="260" t="s">
        <v>237</v>
      </c>
      <c r="Z100" s="260" t="s">
        <v>237</v>
      </c>
      <c r="AA100" s="260" t="s">
        <v>237</v>
      </c>
      <c r="AB100" s="260" t="s">
        <v>237</v>
      </c>
      <c r="AC100" s="260" t="s">
        <v>237</v>
      </c>
      <c r="AD100" s="260" t="s">
        <v>237</v>
      </c>
      <c r="AE100" s="260" t="s">
        <v>237</v>
      </c>
      <c r="AF100" s="260" t="s">
        <v>237</v>
      </c>
      <c r="AG100" s="260" t="s">
        <v>237</v>
      </c>
      <c r="AH100" s="261" t="s">
        <v>237</v>
      </c>
    </row>
    <row r="101" spans="2:34" hidden="1" outlineLevel="1">
      <c r="B101" s="87">
        <v>0</v>
      </c>
      <c r="C101" s="253">
        <v>0</v>
      </c>
      <c r="D101" s="262" t="s">
        <v>237</v>
      </c>
      <c r="E101" s="263" t="s">
        <v>237</v>
      </c>
      <c r="F101" s="263" t="s">
        <v>237</v>
      </c>
      <c r="G101" s="263" t="s">
        <v>237</v>
      </c>
      <c r="H101" s="263" t="s">
        <v>237</v>
      </c>
      <c r="I101" s="263" t="s">
        <v>237</v>
      </c>
      <c r="J101" s="263" t="s">
        <v>237</v>
      </c>
      <c r="K101" s="263" t="s">
        <v>237</v>
      </c>
      <c r="L101" s="263" t="s">
        <v>237</v>
      </c>
      <c r="M101" s="263" t="s">
        <v>237</v>
      </c>
      <c r="N101" s="263" t="s">
        <v>237</v>
      </c>
      <c r="O101" s="263" t="s">
        <v>237</v>
      </c>
      <c r="P101" s="263" t="s">
        <v>237</v>
      </c>
      <c r="Q101" s="263" t="s">
        <v>237</v>
      </c>
      <c r="R101" s="263" t="s">
        <v>237</v>
      </c>
      <c r="S101" s="263" t="s">
        <v>237</v>
      </c>
      <c r="T101" s="263" t="s">
        <v>237</v>
      </c>
      <c r="U101" s="263" t="s">
        <v>237</v>
      </c>
      <c r="V101" s="263" t="s">
        <v>237</v>
      </c>
      <c r="W101" s="263" t="s">
        <v>237</v>
      </c>
      <c r="X101" s="263" t="s">
        <v>237</v>
      </c>
      <c r="Y101" s="263" t="s">
        <v>237</v>
      </c>
      <c r="Z101" s="263" t="s">
        <v>237</v>
      </c>
      <c r="AA101" s="263" t="s">
        <v>237</v>
      </c>
      <c r="AB101" s="263" t="s">
        <v>237</v>
      </c>
      <c r="AC101" s="263" t="s">
        <v>237</v>
      </c>
      <c r="AD101" s="263" t="s">
        <v>237</v>
      </c>
      <c r="AE101" s="263" t="s">
        <v>237</v>
      </c>
      <c r="AF101" s="263" t="s">
        <v>237</v>
      </c>
      <c r="AG101" s="263" t="s">
        <v>237</v>
      </c>
      <c r="AH101" s="264" t="s">
        <v>237</v>
      </c>
    </row>
    <row r="102" spans="2:34" hidden="1" outlineLevel="1">
      <c r="B102" s="196">
        <v>0</v>
      </c>
      <c r="C102" s="252">
        <v>0</v>
      </c>
      <c r="D102" s="259" t="s">
        <v>237</v>
      </c>
      <c r="E102" s="260" t="s">
        <v>237</v>
      </c>
      <c r="F102" s="260" t="s">
        <v>237</v>
      </c>
      <c r="G102" s="260" t="s">
        <v>237</v>
      </c>
      <c r="H102" s="260" t="s">
        <v>237</v>
      </c>
      <c r="I102" s="260" t="s">
        <v>237</v>
      </c>
      <c r="J102" s="260" t="s">
        <v>237</v>
      </c>
      <c r="K102" s="260" t="s">
        <v>237</v>
      </c>
      <c r="L102" s="260" t="s">
        <v>237</v>
      </c>
      <c r="M102" s="260" t="s">
        <v>237</v>
      </c>
      <c r="N102" s="260" t="s">
        <v>237</v>
      </c>
      <c r="O102" s="260" t="s">
        <v>237</v>
      </c>
      <c r="P102" s="260" t="s">
        <v>237</v>
      </c>
      <c r="Q102" s="260" t="s">
        <v>237</v>
      </c>
      <c r="R102" s="260" t="s">
        <v>237</v>
      </c>
      <c r="S102" s="260" t="s">
        <v>237</v>
      </c>
      <c r="T102" s="260" t="s">
        <v>237</v>
      </c>
      <c r="U102" s="260" t="s">
        <v>237</v>
      </c>
      <c r="V102" s="260" t="s">
        <v>237</v>
      </c>
      <c r="W102" s="260" t="s">
        <v>237</v>
      </c>
      <c r="X102" s="260" t="s">
        <v>237</v>
      </c>
      <c r="Y102" s="260" t="s">
        <v>237</v>
      </c>
      <c r="Z102" s="260" t="s">
        <v>237</v>
      </c>
      <c r="AA102" s="260" t="s">
        <v>237</v>
      </c>
      <c r="AB102" s="260" t="s">
        <v>237</v>
      </c>
      <c r="AC102" s="260" t="s">
        <v>237</v>
      </c>
      <c r="AD102" s="260" t="s">
        <v>237</v>
      </c>
      <c r="AE102" s="260" t="s">
        <v>237</v>
      </c>
      <c r="AF102" s="260" t="s">
        <v>237</v>
      </c>
      <c r="AG102" s="260" t="s">
        <v>237</v>
      </c>
      <c r="AH102" s="261" t="s">
        <v>237</v>
      </c>
    </row>
    <row r="103" spans="2:34" hidden="1" outlineLevel="1">
      <c r="B103" s="87">
        <v>0</v>
      </c>
      <c r="C103" s="253">
        <v>0</v>
      </c>
      <c r="D103" s="262" t="s">
        <v>237</v>
      </c>
      <c r="E103" s="263" t="s">
        <v>237</v>
      </c>
      <c r="F103" s="263" t="s">
        <v>237</v>
      </c>
      <c r="G103" s="263" t="s">
        <v>237</v>
      </c>
      <c r="H103" s="263" t="s">
        <v>237</v>
      </c>
      <c r="I103" s="263" t="s">
        <v>237</v>
      </c>
      <c r="J103" s="263" t="s">
        <v>237</v>
      </c>
      <c r="K103" s="263" t="s">
        <v>237</v>
      </c>
      <c r="L103" s="263" t="s">
        <v>237</v>
      </c>
      <c r="M103" s="263" t="s">
        <v>237</v>
      </c>
      <c r="N103" s="263" t="s">
        <v>237</v>
      </c>
      <c r="O103" s="263" t="s">
        <v>237</v>
      </c>
      <c r="P103" s="263" t="s">
        <v>237</v>
      </c>
      <c r="Q103" s="263" t="s">
        <v>237</v>
      </c>
      <c r="R103" s="263" t="s">
        <v>237</v>
      </c>
      <c r="S103" s="263" t="s">
        <v>237</v>
      </c>
      <c r="T103" s="263" t="s">
        <v>237</v>
      </c>
      <c r="U103" s="263" t="s">
        <v>237</v>
      </c>
      <c r="V103" s="263" t="s">
        <v>237</v>
      </c>
      <c r="W103" s="263" t="s">
        <v>237</v>
      </c>
      <c r="X103" s="263" t="s">
        <v>237</v>
      </c>
      <c r="Y103" s="263" t="s">
        <v>237</v>
      </c>
      <c r="Z103" s="263" t="s">
        <v>237</v>
      </c>
      <c r="AA103" s="263" t="s">
        <v>237</v>
      </c>
      <c r="AB103" s="263" t="s">
        <v>237</v>
      </c>
      <c r="AC103" s="263" t="s">
        <v>237</v>
      </c>
      <c r="AD103" s="263" t="s">
        <v>237</v>
      </c>
      <c r="AE103" s="263" t="s">
        <v>237</v>
      </c>
      <c r="AF103" s="263" t="s">
        <v>237</v>
      </c>
      <c r="AG103" s="263" t="s">
        <v>237</v>
      </c>
      <c r="AH103" s="264" t="s">
        <v>237</v>
      </c>
    </row>
    <row r="104" spans="2:34" hidden="1" outlineLevel="1">
      <c r="B104" s="196">
        <v>0</v>
      </c>
      <c r="C104" s="252">
        <v>0</v>
      </c>
      <c r="D104" s="259" t="s">
        <v>237</v>
      </c>
      <c r="E104" s="260" t="s">
        <v>237</v>
      </c>
      <c r="F104" s="260" t="s">
        <v>237</v>
      </c>
      <c r="G104" s="260" t="s">
        <v>237</v>
      </c>
      <c r="H104" s="260" t="s">
        <v>237</v>
      </c>
      <c r="I104" s="260" t="s">
        <v>237</v>
      </c>
      <c r="J104" s="260" t="s">
        <v>237</v>
      </c>
      <c r="K104" s="260" t="s">
        <v>237</v>
      </c>
      <c r="L104" s="260" t="s">
        <v>237</v>
      </c>
      <c r="M104" s="260" t="s">
        <v>237</v>
      </c>
      <c r="N104" s="260" t="s">
        <v>237</v>
      </c>
      <c r="O104" s="260" t="s">
        <v>237</v>
      </c>
      <c r="P104" s="260" t="s">
        <v>237</v>
      </c>
      <c r="Q104" s="260" t="s">
        <v>237</v>
      </c>
      <c r="R104" s="260" t="s">
        <v>237</v>
      </c>
      <c r="S104" s="260" t="s">
        <v>237</v>
      </c>
      <c r="T104" s="260" t="s">
        <v>237</v>
      </c>
      <c r="U104" s="260" t="s">
        <v>237</v>
      </c>
      <c r="V104" s="260" t="s">
        <v>237</v>
      </c>
      <c r="W104" s="260" t="s">
        <v>237</v>
      </c>
      <c r="X104" s="260" t="s">
        <v>237</v>
      </c>
      <c r="Y104" s="260" t="s">
        <v>237</v>
      </c>
      <c r="Z104" s="260" t="s">
        <v>237</v>
      </c>
      <c r="AA104" s="260" t="s">
        <v>237</v>
      </c>
      <c r="AB104" s="260" t="s">
        <v>237</v>
      </c>
      <c r="AC104" s="260" t="s">
        <v>237</v>
      </c>
      <c r="AD104" s="260" t="s">
        <v>237</v>
      </c>
      <c r="AE104" s="260" t="s">
        <v>237</v>
      </c>
      <c r="AF104" s="260" t="s">
        <v>237</v>
      </c>
      <c r="AG104" s="260" t="s">
        <v>237</v>
      </c>
      <c r="AH104" s="261" t="s">
        <v>237</v>
      </c>
    </row>
    <row r="105" spans="2:34" hidden="1" outlineLevel="1">
      <c r="B105" s="87">
        <v>0</v>
      </c>
      <c r="C105" s="253">
        <v>0</v>
      </c>
      <c r="D105" s="262" t="s">
        <v>237</v>
      </c>
      <c r="E105" s="263" t="s">
        <v>237</v>
      </c>
      <c r="F105" s="263" t="s">
        <v>237</v>
      </c>
      <c r="G105" s="263" t="s">
        <v>237</v>
      </c>
      <c r="H105" s="263" t="s">
        <v>237</v>
      </c>
      <c r="I105" s="263" t="s">
        <v>237</v>
      </c>
      <c r="J105" s="263" t="s">
        <v>237</v>
      </c>
      <c r="K105" s="263" t="s">
        <v>237</v>
      </c>
      <c r="L105" s="263" t="s">
        <v>237</v>
      </c>
      <c r="M105" s="263" t="s">
        <v>237</v>
      </c>
      <c r="N105" s="263" t="s">
        <v>237</v>
      </c>
      <c r="O105" s="263" t="s">
        <v>237</v>
      </c>
      <c r="P105" s="263" t="s">
        <v>237</v>
      </c>
      <c r="Q105" s="263" t="s">
        <v>237</v>
      </c>
      <c r="R105" s="263" t="s">
        <v>237</v>
      </c>
      <c r="S105" s="263" t="s">
        <v>237</v>
      </c>
      <c r="T105" s="263" t="s">
        <v>237</v>
      </c>
      <c r="U105" s="263" t="s">
        <v>237</v>
      </c>
      <c r="V105" s="263" t="s">
        <v>237</v>
      </c>
      <c r="W105" s="263" t="s">
        <v>237</v>
      </c>
      <c r="X105" s="263" t="s">
        <v>237</v>
      </c>
      <c r="Y105" s="263" t="s">
        <v>237</v>
      </c>
      <c r="Z105" s="263" t="s">
        <v>237</v>
      </c>
      <c r="AA105" s="263" t="s">
        <v>237</v>
      </c>
      <c r="AB105" s="263" t="s">
        <v>237</v>
      </c>
      <c r="AC105" s="263" t="s">
        <v>237</v>
      </c>
      <c r="AD105" s="263" t="s">
        <v>237</v>
      </c>
      <c r="AE105" s="263" t="s">
        <v>237</v>
      </c>
      <c r="AF105" s="263" t="s">
        <v>237</v>
      </c>
      <c r="AG105" s="263" t="s">
        <v>237</v>
      </c>
      <c r="AH105" s="264" t="s">
        <v>237</v>
      </c>
    </row>
    <row r="106" spans="2:34" hidden="1" outlineLevel="1">
      <c r="B106" s="196">
        <v>0</v>
      </c>
      <c r="C106" s="252">
        <v>0</v>
      </c>
      <c r="D106" s="259" t="s">
        <v>237</v>
      </c>
      <c r="E106" s="260" t="s">
        <v>237</v>
      </c>
      <c r="F106" s="260" t="s">
        <v>237</v>
      </c>
      <c r="G106" s="260" t="s">
        <v>237</v>
      </c>
      <c r="H106" s="260" t="s">
        <v>237</v>
      </c>
      <c r="I106" s="260" t="s">
        <v>237</v>
      </c>
      <c r="J106" s="260" t="s">
        <v>237</v>
      </c>
      <c r="K106" s="260" t="s">
        <v>237</v>
      </c>
      <c r="L106" s="260" t="s">
        <v>237</v>
      </c>
      <c r="M106" s="260" t="s">
        <v>237</v>
      </c>
      <c r="N106" s="260" t="s">
        <v>237</v>
      </c>
      <c r="O106" s="260" t="s">
        <v>237</v>
      </c>
      <c r="P106" s="260" t="s">
        <v>237</v>
      </c>
      <c r="Q106" s="260" t="s">
        <v>237</v>
      </c>
      <c r="R106" s="260" t="s">
        <v>237</v>
      </c>
      <c r="S106" s="260" t="s">
        <v>237</v>
      </c>
      <c r="T106" s="260" t="s">
        <v>237</v>
      </c>
      <c r="U106" s="260" t="s">
        <v>237</v>
      </c>
      <c r="V106" s="260" t="s">
        <v>237</v>
      </c>
      <c r="W106" s="260" t="s">
        <v>237</v>
      </c>
      <c r="X106" s="260" t="s">
        <v>237</v>
      </c>
      <c r="Y106" s="260" t="s">
        <v>237</v>
      </c>
      <c r="Z106" s="260" t="s">
        <v>237</v>
      </c>
      <c r="AA106" s="260" t="s">
        <v>237</v>
      </c>
      <c r="AB106" s="260" t="s">
        <v>237</v>
      </c>
      <c r="AC106" s="260" t="s">
        <v>237</v>
      </c>
      <c r="AD106" s="260" t="s">
        <v>237</v>
      </c>
      <c r="AE106" s="260" t="s">
        <v>237</v>
      </c>
      <c r="AF106" s="260" t="s">
        <v>237</v>
      </c>
      <c r="AG106" s="260" t="s">
        <v>237</v>
      </c>
      <c r="AH106" s="261" t="s">
        <v>237</v>
      </c>
    </row>
    <row r="107" spans="2:34" ht="15" hidden="1" outlineLevel="1" thickBot="1">
      <c r="B107" s="3"/>
      <c r="D107" s="262"/>
      <c r="E107" s="271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  <c r="AA107" s="271"/>
      <c r="AB107" s="271"/>
      <c r="AC107" s="271"/>
      <c r="AD107" s="271"/>
      <c r="AE107" s="271"/>
      <c r="AF107" s="271"/>
      <c r="AG107" s="271"/>
      <c r="AH107" s="271"/>
    </row>
    <row r="108" spans="2:34" ht="43.8" hidden="1" outlineLevel="1" thickBot="1">
      <c r="B108" s="127" t="str">
        <f t="shared" ref="B108:AH108" si="1">B56</f>
        <v>ISO country code</v>
      </c>
      <c r="C108" s="251" t="str">
        <f t="shared" si="1"/>
        <v>Average default rate</v>
      </c>
      <c r="D108" s="272">
        <f t="shared" si="1"/>
        <v>1994</v>
      </c>
      <c r="E108" s="273">
        <f t="shared" si="1"/>
        <v>1995</v>
      </c>
      <c r="F108" s="273">
        <f t="shared" si="1"/>
        <v>1996</v>
      </c>
      <c r="G108" s="273">
        <f t="shared" si="1"/>
        <v>1997</v>
      </c>
      <c r="H108" s="273">
        <f t="shared" si="1"/>
        <v>1998</v>
      </c>
      <c r="I108" s="273">
        <f t="shared" si="1"/>
        <v>1999</v>
      </c>
      <c r="J108" s="273">
        <f t="shared" si="1"/>
        <v>2000</v>
      </c>
      <c r="K108" s="273">
        <f t="shared" si="1"/>
        <v>2001</v>
      </c>
      <c r="L108" s="273">
        <f t="shared" si="1"/>
        <v>2002</v>
      </c>
      <c r="M108" s="273">
        <f t="shared" si="1"/>
        <v>2003</v>
      </c>
      <c r="N108" s="273">
        <f t="shared" si="1"/>
        <v>2004</v>
      </c>
      <c r="O108" s="273">
        <f t="shared" si="1"/>
        <v>2005</v>
      </c>
      <c r="P108" s="273">
        <f t="shared" si="1"/>
        <v>2006</v>
      </c>
      <c r="Q108" s="273">
        <f t="shared" si="1"/>
        <v>2007</v>
      </c>
      <c r="R108" s="273">
        <f t="shared" si="1"/>
        <v>2008</v>
      </c>
      <c r="S108" s="273">
        <f t="shared" si="1"/>
        <v>2009</v>
      </c>
      <c r="T108" s="273">
        <f t="shared" si="1"/>
        <v>2010</v>
      </c>
      <c r="U108" s="273">
        <f t="shared" si="1"/>
        <v>2011</v>
      </c>
      <c r="V108" s="273">
        <f t="shared" si="1"/>
        <v>2012</v>
      </c>
      <c r="W108" s="273">
        <f t="shared" si="1"/>
        <v>2013</v>
      </c>
      <c r="X108" s="273">
        <f t="shared" si="1"/>
        <v>2014</v>
      </c>
      <c r="Y108" s="273">
        <f t="shared" si="1"/>
        <v>2015</v>
      </c>
      <c r="Z108" s="273">
        <f t="shared" si="1"/>
        <v>2016</v>
      </c>
      <c r="AA108" s="273">
        <f t="shared" si="1"/>
        <v>2017</v>
      </c>
      <c r="AB108" s="273">
        <f t="shared" si="1"/>
        <v>2018</v>
      </c>
      <c r="AC108" s="273">
        <f t="shared" si="1"/>
        <v>2019</v>
      </c>
      <c r="AD108" s="273">
        <f t="shared" si="1"/>
        <v>2020</v>
      </c>
      <c r="AE108" s="273">
        <f t="shared" si="1"/>
        <v>2021</v>
      </c>
      <c r="AF108" s="273">
        <f t="shared" si="1"/>
        <v>2022</v>
      </c>
      <c r="AG108" s="273">
        <f t="shared" si="1"/>
        <v>2023</v>
      </c>
      <c r="AH108" s="274">
        <f t="shared" si="1"/>
        <v>2024</v>
      </c>
    </row>
    <row r="109" spans="2:34" hidden="1" outlineLevel="1">
      <c r="B109" s="87">
        <v>0</v>
      </c>
      <c r="C109" s="253">
        <v>0</v>
      </c>
      <c r="D109" s="262" t="s">
        <v>237</v>
      </c>
      <c r="E109" s="263" t="s">
        <v>237</v>
      </c>
      <c r="F109" s="263" t="s">
        <v>237</v>
      </c>
      <c r="G109" s="263" t="s">
        <v>237</v>
      </c>
      <c r="H109" s="263" t="s">
        <v>237</v>
      </c>
      <c r="I109" s="263" t="s">
        <v>237</v>
      </c>
      <c r="J109" s="263" t="s">
        <v>237</v>
      </c>
      <c r="K109" s="263" t="s">
        <v>237</v>
      </c>
      <c r="L109" s="263" t="s">
        <v>237</v>
      </c>
      <c r="M109" s="263" t="s">
        <v>237</v>
      </c>
      <c r="N109" s="263" t="s">
        <v>237</v>
      </c>
      <c r="O109" s="263" t="s">
        <v>237</v>
      </c>
      <c r="P109" s="263" t="s">
        <v>237</v>
      </c>
      <c r="Q109" s="263" t="s">
        <v>237</v>
      </c>
      <c r="R109" s="263" t="s">
        <v>237</v>
      </c>
      <c r="S109" s="263" t="s">
        <v>237</v>
      </c>
      <c r="T109" s="263" t="s">
        <v>237</v>
      </c>
      <c r="U109" s="263" t="s">
        <v>237</v>
      </c>
      <c r="V109" s="263" t="s">
        <v>237</v>
      </c>
      <c r="W109" s="263" t="s">
        <v>237</v>
      </c>
      <c r="X109" s="263" t="s">
        <v>237</v>
      </c>
      <c r="Y109" s="263" t="s">
        <v>237</v>
      </c>
      <c r="Z109" s="263" t="s">
        <v>237</v>
      </c>
      <c r="AA109" s="263" t="s">
        <v>237</v>
      </c>
      <c r="AB109" s="263" t="s">
        <v>237</v>
      </c>
      <c r="AC109" s="263" t="s">
        <v>237</v>
      </c>
      <c r="AD109" s="263" t="s">
        <v>237</v>
      </c>
      <c r="AE109" s="263" t="s">
        <v>237</v>
      </c>
      <c r="AF109" s="263" t="s">
        <v>237</v>
      </c>
      <c r="AG109" s="263" t="s">
        <v>237</v>
      </c>
      <c r="AH109" s="263" t="s">
        <v>237</v>
      </c>
    </row>
    <row r="110" spans="2:34" hidden="1" outlineLevel="1">
      <c r="B110" s="87">
        <v>0</v>
      </c>
      <c r="C110" s="253">
        <v>0</v>
      </c>
      <c r="D110" s="262" t="s">
        <v>237</v>
      </c>
      <c r="E110" s="263" t="s">
        <v>237</v>
      </c>
      <c r="F110" s="263" t="s">
        <v>237</v>
      </c>
      <c r="G110" s="263" t="s">
        <v>237</v>
      </c>
      <c r="H110" s="263" t="s">
        <v>237</v>
      </c>
      <c r="I110" s="263" t="s">
        <v>237</v>
      </c>
      <c r="J110" s="263" t="s">
        <v>237</v>
      </c>
      <c r="K110" s="263" t="s">
        <v>237</v>
      </c>
      <c r="L110" s="263" t="s">
        <v>237</v>
      </c>
      <c r="M110" s="263" t="s">
        <v>237</v>
      </c>
      <c r="N110" s="263" t="s">
        <v>237</v>
      </c>
      <c r="O110" s="263" t="s">
        <v>237</v>
      </c>
      <c r="P110" s="263" t="s">
        <v>237</v>
      </c>
      <c r="Q110" s="263" t="s">
        <v>237</v>
      </c>
      <c r="R110" s="263" t="s">
        <v>237</v>
      </c>
      <c r="S110" s="263" t="s">
        <v>237</v>
      </c>
      <c r="T110" s="263" t="s">
        <v>237</v>
      </c>
      <c r="U110" s="263" t="s">
        <v>237</v>
      </c>
      <c r="V110" s="263" t="s">
        <v>237</v>
      </c>
      <c r="W110" s="263" t="s">
        <v>237</v>
      </c>
      <c r="X110" s="263" t="s">
        <v>237</v>
      </c>
      <c r="Y110" s="263" t="s">
        <v>237</v>
      </c>
      <c r="Z110" s="263" t="s">
        <v>237</v>
      </c>
      <c r="AA110" s="263" t="s">
        <v>237</v>
      </c>
      <c r="AB110" s="263" t="s">
        <v>237</v>
      </c>
      <c r="AC110" s="263" t="s">
        <v>237</v>
      </c>
      <c r="AD110" s="263" t="s">
        <v>237</v>
      </c>
      <c r="AE110" s="263" t="s">
        <v>237</v>
      </c>
      <c r="AF110" s="263" t="s">
        <v>237</v>
      </c>
      <c r="AG110" s="263" t="s">
        <v>237</v>
      </c>
      <c r="AH110" s="263" t="s">
        <v>237</v>
      </c>
    </row>
    <row r="111" spans="2:34" hidden="1" outlineLevel="1">
      <c r="B111" s="87">
        <v>0</v>
      </c>
      <c r="C111" s="253">
        <v>0</v>
      </c>
      <c r="D111" s="262" t="s">
        <v>237</v>
      </c>
      <c r="E111" s="263" t="s">
        <v>237</v>
      </c>
      <c r="F111" s="263" t="s">
        <v>237</v>
      </c>
      <c r="G111" s="263" t="s">
        <v>237</v>
      </c>
      <c r="H111" s="263" t="s">
        <v>237</v>
      </c>
      <c r="I111" s="263" t="s">
        <v>237</v>
      </c>
      <c r="J111" s="263" t="s">
        <v>237</v>
      </c>
      <c r="K111" s="263" t="s">
        <v>237</v>
      </c>
      <c r="L111" s="263" t="s">
        <v>237</v>
      </c>
      <c r="M111" s="263" t="s">
        <v>237</v>
      </c>
      <c r="N111" s="263" t="s">
        <v>237</v>
      </c>
      <c r="O111" s="263" t="s">
        <v>237</v>
      </c>
      <c r="P111" s="263" t="s">
        <v>237</v>
      </c>
      <c r="Q111" s="263" t="s">
        <v>237</v>
      </c>
      <c r="R111" s="263" t="s">
        <v>237</v>
      </c>
      <c r="S111" s="263" t="s">
        <v>237</v>
      </c>
      <c r="T111" s="263" t="s">
        <v>237</v>
      </c>
      <c r="U111" s="263" t="s">
        <v>237</v>
      </c>
      <c r="V111" s="263" t="s">
        <v>237</v>
      </c>
      <c r="W111" s="263" t="s">
        <v>237</v>
      </c>
      <c r="X111" s="263" t="s">
        <v>237</v>
      </c>
      <c r="Y111" s="263" t="s">
        <v>237</v>
      </c>
      <c r="Z111" s="263" t="s">
        <v>237</v>
      </c>
      <c r="AA111" s="263" t="s">
        <v>237</v>
      </c>
      <c r="AB111" s="263" t="s">
        <v>237</v>
      </c>
      <c r="AC111" s="263" t="s">
        <v>237</v>
      </c>
      <c r="AD111" s="263" t="s">
        <v>237</v>
      </c>
      <c r="AE111" s="263" t="s">
        <v>237</v>
      </c>
      <c r="AF111" s="263" t="s">
        <v>237</v>
      </c>
      <c r="AG111" s="263" t="s">
        <v>237</v>
      </c>
      <c r="AH111" s="263" t="s">
        <v>237</v>
      </c>
    </row>
    <row r="112" spans="2:34" hidden="1" outlineLevel="1">
      <c r="B112" s="87">
        <v>0</v>
      </c>
      <c r="C112" s="253">
        <v>0</v>
      </c>
      <c r="D112" s="262" t="s">
        <v>237</v>
      </c>
      <c r="E112" s="263" t="s">
        <v>237</v>
      </c>
      <c r="F112" s="263" t="s">
        <v>237</v>
      </c>
      <c r="G112" s="263" t="s">
        <v>237</v>
      </c>
      <c r="H112" s="263" t="s">
        <v>237</v>
      </c>
      <c r="I112" s="263" t="s">
        <v>237</v>
      </c>
      <c r="J112" s="263" t="s">
        <v>237</v>
      </c>
      <c r="K112" s="263" t="s">
        <v>237</v>
      </c>
      <c r="L112" s="263" t="s">
        <v>237</v>
      </c>
      <c r="M112" s="263" t="s">
        <v>237</v>
      </c>
      <c r="N112" s="263" t="s">
        <v>237</v>
      </c>
      <c r="O112" s="263" t="s">
        <v>237</v>
      </c>
      <c r="P112" s="263" t="s">
        <v>237</v>
      </c>
      <c r="Q112" s="263" t="s">
        <v>237</v>
      </c>
      <c r="R112" s="263" t="s">
        <v>237</v>
      </c>
      <c r="S112" s="263" t="s">
        <v>237</v>
      </c>
      <c r="T112" s="263" t="s">
        <v>237</v>
      </c>
      <c r="U112" s="263" t="s">
        <v>237</v>
      </c>
      <c r="V112" s="263" t="s">
        <v>237</v>
      </c>
      <c r="W112" s="263" t="s">
        <v>237</v>
      </c>
      <c r="X112" s="263" t="s">
        <v>237</v>
      </c>
      <c r="Y112" s="263" t="s">
        <v>237</v>
      </c>
      <c r="Z112" s="263" t="s">
        <v>237</v>
      </c>
      <c r="AA112" s="263" t="s">
        <v>237</v>
      </c>
      <c r="AB112" s="263" t="s">
        <v>237</v>
      </c>
      <c r="AC112" s="263" t="s">
        <v>237</v>
      </c>
      <c r="AD112" s="263" t="s">
        <v>237</v>
      </c>
      <c r="AE112" s="263" t="s">
        <v>237</v>
      </c>
      <c r="AF112" s="263" t="s">
        <v>237</v>
      </c>
      <c r="AG112" s="263" t="s">
        <v>237</v>
      </c>
      <c r="AH112" s="263" t="s">
        <v>237</v>
      </c>
    </row>
    <row r="113" spans="2:34" hidden="1" outlineLevel="1">
      <c r="B113" s="87">
        <v>0</v>
      </c>
      <c r="C113" s="253">
        <v>0</v>
      </c>
      <c r="D113" s="262" t="s">
        <v>237</v>
      </c>
      <c r="E113" s="263" t="s">
        <v>237</v>
      </c>
      <c r="F113" s="263" t="s">
        <v>237</v>
      </c>
      <c r="G113" s="263" t="s">
        <v>237</v>
      </c>
      <c r="H113" s="263" t="s">
        <v>237</v>
      </c>
      <c r="I113" s="263" t="s">
        <v>237</v>
      </c>
      <c r="J113" s="263" t="s">
        <v>237</v>
      </c>
      <c r="K113" s="263" t="s">
        <v>237</v>
      </c>
      <c r="L113" s="263" t="s">
        <v>237</v>
      </c>
      <c r="M113" s="263" t="s">
        <v>237</v>
      </c>
      <c r="N113" s="263" t="s">
        <v>237</v>
      </c>
      <c r="O113" s="263" t="s">
        <v>237</v>
      </c>
      <c r="P113" s="263" t="s">
        <v>237</v>
      </c>
      <c r="Q113" s="263" t="s">
        <v>237</v>
      </c>
      <c r="R113" s="263" t="s">
        <v>237</v>
      </c>
      <c r="S113" s="263" t="s">
        <v>237</v>
      </c>
      <c r="T113" s="263" t="s">
        <v>237</v>
      </c>
      <c r="U113" s="263" t="s">
        <v>237</v>
      </c>
      <c r="V113" s="263" t="s">
        <v>237</v>
      </c>
      <c r="W113" s="263" t="s">
        <v>237</v>
      </c>
      <c r="X113" s="263" t="s">
        <v>237</v>
      </c>
      <c r="Y113" s="263" t="s">
        <v>237</v>
      </c>
      <c r="Z113" s="263" t="s">
        <v>237</v>
      </c>
      <c r="AA113" s="263" t="s">
        <v>237</v>
      </c>
      <c r="AB113" s="263" t="s">
        <v>237</v>
      </c>
      <c r="AC113" s="263" t="s">
        <v>237</v>
      </c>
      <c r="AD113" s="263" t="s">
        <v>237</v>
      </c>
      <c r="AE113" s="263" t="s">
        <v>237</v>
      </c>
      <c r="AF113" s="263" t="s">
        <v>237</v>
      </c>
      <c r="AG113" s="263" t="s">
        <v>237</v>
      </c>
      <c r="AH113" s="263" t="s">
        <v>237</v>
      </c>
    </row>
    <row r="114" spans="2:34" hidden="1" outlineLevel="1">
      <c r="B114" s="87">
        <v>0</v>
      </c>
      <c r="C114" s="253">
        <v>0</v>
      </c>
      <c r="D114" s="262" t="s">
        <v>237</v>
      </c>
      <c r="E114" s="263" t="s">
        <v>237</v>
      </c>
      <c r="F114" s="263" t="s">
        <v>237</v>
      </c>
      <c r="G114" s="263" t="s">
        <v>237</v>
      </c>
      <c r="H114" s="263" t="s">
        <v>237</v>
      </c>
      <c r="I114" s="263" t="s">
        <v>237</v>
      </c>
      <c r="J114" s="263" t="s">
        <v>237</v>
      </c>
      <c r="K114" s="263" t="s">
        <v>237</v>
      </c>
      <c r="L114" s="263" t="s">
        <v>237</v>
      </c>
      <c r="M114" s="263" t="s">
        <v>237</v>
      </c>
      <c r="N114" s="263" t="s">
        <v>237</v>
      </c>
      <c r="O114" s="263" t="s">
        <v>237</v>
      </c>
      <c r="P114" s="263" t="s">
        <v>237</v>
      </c>
      <c r="Q114" s="263" t="s">
        <v>237</v>
      </c>
      <c r="R114" s="263" t="s">
        <v>237</v>
      </c>
      <c r="S114" s="263" t="s">
        <v>237</v>
      </c>
      <c r="T114" s="263" t="s">
        <v>237</v>
      </c>
      <c r="U114" s="263" t="s">
        <v>237</v>
      </c>
      <c r="V114" s="263" t="s">
        <v>237</v>
      </c>
      <c r="W114" s="263" t="s">
        <v>237</v>
      </c>
      <c r="X114" s="263" t="s">
        <v>237</v>
      </c>
      <c r="Y114" s="263" t="s">
        <v>237</v>
      </c>
      <c r="Z114" s="263" t="s">
        <v>237</v>
      </c>
      <c r="AA114" s="263" t="s">
        <v>237</v>
      </c>
      <c r="AB114" s="263" t="s">
        <v>237</v>
      </c>
      <c r="AC114" s="263" t="s">
        <v>237</v>
      </c>
      <c r="AD114" s="263" t="s">
        <v>237</v>
      </c>
      <c r="AE114" s="263" t="s">
        <v>237</v>
      </c>
      <c r="AF114" s="263" t="s">
        <v>237</v>
      </c>
      <c r="AG114" s="263" t="s">
        <v>237</v>
      </c>
      <c r="AH114" s="263" t="s">
        <v>237</v>
      </c>
    </row>
    <row r="115" spans="2:34" hidden="1" outlineLevel="1">
      <c r="B115" s="87">
        <v>0</v>
      </c>
      <c r="C115" s="253">
        <v>0</v>
      </c>
      <c r="D115" s="262" t="s">
        <v>237</v>
      </c>
      <c r="E115" s="263" t="s">
        <v>237</v>
      </c>
      <c r="F115" s="263" t="s">
        <v>237</v>
      </c>
      <c r="G115" s="263" t="s">
        <v>237</v>
      </c>
      <c r="H115" s="263" t="s">
        <v>237</v>
      </c>
      <c r="I115" s="263" t="s">
        <v>237</v>
      </c>
      <c r="J115" s="263" t="s">
        <v>237</v>
      </c>
      <c r="K115" s="263" t="s">
        <v>237</v>
      </c>
      <c r="L115" s="263" t="s">
        <v>237</v>
      </c>
      <c r="M115" s="263" t="s">
        <v>237</v>
      </c>
      <c r="N115" s="263" t="s">
        <v>237</v>
      </c>
      <c r="O115" s="263" t="s">
        <v>237</v>
      </c>
      <c r="P115" s="263" t="s">
        <v>237</v>
      </c>
      <c r="Q115" s="263" t="s">
        <v>237</v>
      </c>
      <c r="R115" s="263" t="s">
        <v>237</v>
      </c>
      <c r="S115" s="263" t="s">
        <v>237</v>
      </c>
      <c r="T115" s="263" t="s">
        <v>237</v>
      </c>
      <c r="U115" s="263" t="s">
        <v>237</v>
      </c>
      <c r="V115" s="263" t="s">
        <v>237</v>
      </c>
      <c r="W115" s="263" t="s">
        <v>237</v>
      </c>
      <c r="X115" s="263" t="s">
        <v>237</v>
      </c>
      <c r="Y115" s="263" t="s">
        <v>237</v>
      </c>
      <c r="Z115" s="263" t="s">
        <v>237</v>
      </c>
      <c r="AA115" s="263" t="s">
        <v>237</v>
      </c>
      <c r="AB115" s="263" t="s">
        <v>237</v>
      </c>
      <c r="AC115" s="263" t="s">
        <v>237</v>
      </c>
      <c r="AD115" s="263" t="s">
        <v>237</v>
      </c>
      <c r="AE115" s="263" t="s">
        <v>237</v>
      </c>
      <c r="AF115" s="263" t="s">
        <v>237</v>
      </c>
      <c r="AG115" s="263" t="s">
        <v>237</v>
      </c>
      <c r="AH115" s="263" t="s">
        <v>237</v>
      </c>
    </row>
    <row r="116" spans="2:34" hidden="1" outlineLevel="1">
      <c r="B116" s="87">
        <v>0</v>
      </c>
      <c r="C116" s="253">
        <v>0</v>
      </c>
      <c r="D116" s="262" t="s">
        <v>237</v>
      </c>
      <c r="E116" s="263" t="s">
        <v>237</v>
      </c>
      <c r="F116" s="263" t="s">
        <v>237</v>
      </c>
      <c r="G116" s="263" t="s">
        <v>237</v>
      </c>
      <c r="H116" s="263" t="s">
        <v>237</v>
      </c>
      <c r="I116" s="263" t="s">
        <v>237</v>
      </c>
      <c r="J116" s="263" t="s">
        <v>237</v>
      </c>
      <c r="K116" s="263" t="s">
        <v>237</v>
      </c>
      <c r="L116" s="263" t="s">
        <v>237</v>
      </c>
      <c r="M116" s="263" t="s">
        <v>237</v>
      </c>
      <c r="N116" s="263" t="s">
        <v>237</v>
      </c>
      <c r="O116" s="263" t="s">
        <v>237</v>
      </c>
      <c r="P116" s="263" t="s">
        <v>237</v>
      </c>
      <c r="Q116" s="263" t="s">
        <v>237</v>
      </c>
      <c r="R116" s="263" t="s">
        <v>237</v>
      </c>
      <c r="S116" s="263" t="s">
        <v>237</v>
      </c>
      <c r="T116" s="263" t="s">
        <v>237</v>
      </c>
      <c r="U116" s="263" t="s">
        <v>237</v>
      </c>
      <c r="V116" s="263" t="s">
        <v>237</v>
      </c>
      <c r="W116" s="263" t="s">
        <v>237</v>
      </c>
      <c r="X116" s="263" t="s">
        <v>237</v>
      </c>
      <c r="Y116" s="263" t="s">
        <v>237</v>
      </c>
      <c r="Z116" s="263" t="s">
        <v>237</v>
      </c>
      <c r="AA116" s="263" t="s">
        <v>237</v>
      </c>
      <c r="AB116" s="263" t="s">
        <v>237</v>
      </c>
      <c r="AC116" s="263" t="s">
        <v>237</v>
      </c>
      <c r="AD116" s="263" t="s">
        <v>237</v>
      </c>
      <c r="AE116" s="263" t="s">
        <v>237</v>
      </c>
      <c r="AF116" s="263" t="s">
        <v>237</v>
      </c>
      <c r="AG116" s="263" t="s">
        <v>237</v>
      </c>
      <c r="AH116" s="263" t="s">
        <v>237</v>
      </c>
    </row>
    <row r="117" spans="2:34" hidden="1" outlineLevel="1">
      <c r="B117" s="87">
        <v>0</v>
      </c>
      <c r="C117" s="253">
        <v>0</v>
      </c>
      <c r="D117" s="262" t="s">
        <v>237</v>
      </c>
      <c r="E117" s="263" t="s">
        <v>237</v>
      </c>
      <c r="F117" s="263" t="s">
        <v>237</v>
      </c>
      <c r="G117" s="263" t="s">
        <v>237</v>
      </c>
      <c r="H117" s="263" t="s">
        <v>237</v>
      </c>
      <c r="I117" s="263" t="s">
        <v>237</v>
      </c>
      <c r="J117" s="263" t="s">
        <v>237</v>
      </c>
      <c r="K117" s="263" t="s">
        <v>237</v>
      </c>
      <c r="L117" s="263" t="s">
        <v>237</v>
      </c>
      <c r="M117" s="263" t="s">
        <v>237</v>
      </c>
      <c r="N117" s="263" t="s">
        <v>237</v>
      </c>
      <c r="O117" s="263" t="s">
        <v>237</v>
      </c>
      <c r="P117" s="263" t="s">
        <v>237</v>
      </c>
      <c r="Q117" s="263" t="s">
        <v>237</v>
      </c>
      <c r="R117" s="263" t="s">
        <v>237</v>
      </c>
      <c r="S117" s="263" t="s">
        <v>237</v>
      </c>
      <c r="T117" s="263" t="s">
        <v>237</v>
      </c>
      <c r="U117" s="263" t="s">
        <v>237</v>
      </c>
      <c r="V117" s="263" t="s">
        <v>237</v>
      </c>
      <c r="W117" s="263" t="s">
        <v>237</v>
      </c>
      <c r="X117" s="263" t="s">
        <v>237</v>
      </c>
      <c r="Y117" s="263" t="s">
        <v>237</v>
      </c>
      <c r="Z117" s="263" t="s">
        <v>237</v>
      </c>
      <c r="AA117" s="263" t="s">
        <v>237</v>
      </c>
      <c r="AB117" s="263" t="s">
        <v>237</v>
      </c>
      <c r="AC117" s="263" t="s">
        <v>237</v>
      </c>
      <c r="AD117" s="263" t="s">
        <v>237</v>
      </c>
      <c r="AE117" s="263" t="s">
        <v>237</v>
      </c>
      <c r="AF117" s="263" t="s">
        <v>237</v>
      </c>
      <c r="AG117" s="263" t="s">
        <v>237</v>
      </c>
      <c r="AH117" s="263" t="s">
        <v>237</v>
      </c>
    </row>
    <row r="118" spans="2:34" hidden="1" outlineLevel="1">
      <c r="B118" s="87">
        <v>0</v>
      </c>
      <c r="C118" s="253">
        <v>0</v>
      </c>
      <c r="D118" s="262" t="s">
        <v>237</v>
      </c>
      <c r="E118" s="263" t="s">
        <v>237</v>
      </c>
      <c r="F118" s="263" t="s">
        <v>237</v>
      </c>
      <c r="G118" s="263" t="s">
        <v>237</v>
      </c>
      <c r="H118" s="263" t="s">
        <v>237</v>
      </c>
      <c r="I118" s="263" t="s">
        <v>237</v>
      </c>
      <c r="J118" s="263" t="s">
        <v>237</v>
      </c>
      <c r="K118" s="263" t="s">
        <v>237</v>
      </c>
      <c r="L118" s="263" t="s">
        <v>237</v>
      </c>
      <c r="M118" s="263" t="s">
        <v>237</v>
      </c>
      <c r="N118" s="263" t="s">
        <v>237</v>
      </c>
      <c r="O118" s="263" t="s">
        <v>237</v>
      </c>
      <c r="P118" s="263" t="s">
        <v>237</v>
      </c>
      <c r="Q118" s="263" t="s">
        <v>237</v>
      </c>
      <c r="R118" s="263" t="s">
        <v>237</v>
      </c>
      <c r="S118" s="263" t="s">
        <v>237</v>
      </c>
      <c r="T118" s="263" t="s">
        <v>237</v>
      </c>
      <c r="U118" s="263" t="s">
        <v>237</v>
      </c>
      <c r="V118" s="263" t="s">
        <v>237</v>
      </c>
      <c r="W118" s="263" t="s">
        <v>237</v>
      </c>
      <c r="X118" s="263" t="s">
        <v>237</v>
      </c>
      <c r="Y118" s="263" t="s">
        <v>237</v>
      </c>
      <c r="Z118" s="263" t="s">
        <v>237</v>
      </c>
      <c r="AA118" s="263" t="s">
        <v>237</v>
      </c>
      <c r="AB118" s="263" t="s">
        <v>237</v>
      </c>
      <c r="AC118" s="263" t="s">
        <v>237</v>
      </c>
      <c r="AD118" s="263" t="s">
        <v>237</v>
      </c>
      <c r="AE118" s="263" t="s">
        <v>237</v>
      </c>
      <c r="AF118" s="263" t="s">
        <v>237</v>
      </c>
      <c r="AG118" s="263" t="s">
        <v>237</v>
      </c>
      <c r="AH118" s="263" t="s">
        <v>237</v>
      </c>
    </row>
    <row r="119" spans="2:34" hidden="1" outlineLevel="1">
      <c r="B119" s="87">
        <v>0</v>
      </c>
      <c r="C119" s="253">
        <v>0</v>
      </c>
      <c r="D119" s="262" t="s">
        <v>237</v>
      </c>
      <c r="E119" s="263" t="s">
        <v>237</v>
      </c>
      <c r="F119" s="263" t="s">
        <v>237</v>
      </c>
      <c r="G119" s="263" t="s">
        <v>237</v>
      </c>
      <c r="H119" s="263" t="s">
        <v>237</v>
      </c>
      <c r="I119" s="263" t="s">
        <v>237</v>
      </c>
      <c r="J119" s="263" t="s">
        <v>237</v>
      </c>
      <c r="K119" s="263" t="s">
        <v>237</v>
      </c>
      <c r="L119" s="263" t="s">
        <v>237</v>
      </c>
      <c r="M119" s="263" t="s">
        <v>237</v>
      </c>
      <c r="N119" s="263" t="s">
        <v>237</v>
      </c>
      <c r="O119" s="263" t="s">
        <v>237</v>
      </c>
      <c r="P119" s="263" t="s">
        <v>237</v>
      </c>
      <c r="Q119" s="263" t="s">
        <v>237</v>
      </c>
      <c r="R119" s="263" t="s">
        <v>237</v>
      </c>
      <c r="S119" s="263" t="s">
        <v>237</v>
      </c>
      <c r="T119" s="263" t="s">
        <v>237</v>
      </c>
      <c r="U119" s="263" t="s">
        <v>237</v>
      </c>
      <c r="V119" s="263" t="s">
        <v>237</v>
      </c>
      <c r="W119" s="263" t="s">
        <v>237</v>
      </c>
      <c r="X119" s="263" t="s">
        <v>237</v>
      </c>
      <c r="Y119" s="263" t="s">
        <v>237</v>
      </c>
      <c r="Z119" s="263" t="s">
        <v>237</v>
      </c>
      <c r="AA119" s="263" t="s">
        <v>237</v>
      </c>
      <c r="AB119" s="263" t="s">
        <v>237</v>
      </c>
      <c r="AC119" s="263" t="s">
        <v>237</v>
      </c>
      <c r="AD119" s="263" t="s">
        <v>237</v>
      </c>
      <c r="AE119" s="263" t="s">
        <v>237</v>
      </c>
      <c r="AF119" s="263" t="s">
        <v>237</v>
      </c>
      <c r="AG119" s="263" t="s">
        <v>237</v>
      </c>
      <c r="AH119" s="263" t="s">
        <v>237</v>
      </c>
    </row>
    <row r="120" spans="2:34" collapsed="1">
      <c r="D120" s="271"/>
      <c r="E120" s="271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1D90-ADE8-45F3-A3E1-2AEFB7E0C800}">
  <dimension ref="A2:AH144"/>
  <sheetViews>
    <sheetView workbookViewId="0"/>
  </sheetViews>
  <sheetFormatPr defaultColWidth="9" defaultRowHeight="14.4" outlineLevelRow="1"/>
  <cols>
    <col min="1" max="1" width="19.296875" style="534" bestFit="1" customWidth="1"/>
    <col min="2" max="2" width="9" style="6"/>
    <col min="3" max="3" width="9" style="53"/>
    <col min="4" max="34" width="6.59765625" style="3" customWidth="1"/>
    <col min="35" max="16384" width="9" style="3"/>
  </cols>
  <sheetData>
    <row r="2" spans="1:34">
      <c r="B2" s="236" t="s">
        <v>386</v>
      </c>
    </row>
    <row r="4" spans="1:34" ht="43.2">
      <c r="B4" s="424" t="s">
        <v>124</v>
      </c>
      <c r="C4" s="425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1:34">
      <c r="A5" s="535"/>
      <c r="B5" s="427" t="s">
        <v>252</v>
      </c>
      <c r="C5" s="428">
        <v>0</v>
      </c>
      <c r="D5" s="263" t="s">
        <v>237</v>
      </c>
      <c r="E5" s="263" t="s">
        <v>237</v>
      </c>
      <c r="F5" s="263" t="s">
        <v>237</v>
      </c>
      <c r="G5" s="263" t="s">
        <v>237</v>
      </c>
      <c r="H5" s="263" t="s">
        <v>237</v>
      </c>
      <c r="I5" s="263" t="s">
        <v>237</v>
      </c>
      <c r="J5" s="263" t="s">
        <v>237</v>
      </c>
      <c r="K5" s="263">
        <v>0</v>
      </c>
      <c r="L5" s="263">
        <v>0</v>
      </c>
      <c r="M5" s="263">
        <v>0</v>
      </c>
      <c r="N5" s="263">
        <v>0</v>
      </c>
      <c r="O5" s="263">
        <v>0</v>
      </c>
      <c r="P5" s="263">
        <v>0</v>
      </c>
      <c r="Q5" s="263">
        <v>0</v>
      </c>
      <c r="R5" s="263">
        <v>0</v>
      </c>
      <c r="S5" s="263">
        <v>0</v>
      </c>
      <c r="T5" s="263">
        <v>0</v>
      </c>
      <c r="U5" s="263">
        <v>0</v>
      </c>
      <c r="V5" s="263">
        <v>0</v>
      </c>
      <c r="W5" s="263">
        <v>0</v>
      </c>
      <c r="X5" s="263">
        <v>0</v>
      </c>
      <c r="Y5" s="263">
        <v>0</v>
      </c>
      <c r="Z5" s="263">
        <v>0</v>
      </c>
      <c r="AA5" s="263">
        <v>0</v>
      </c>
      <c r="AB5" s="263">
        <v>0</v>
      </c>
      <c r="AC5" s="263">
        <v>0</v>
      </c>
      <c r="AD5" s="263">
        <v>0</v>
      </c>
      <c r="AE5" s="263">
        <v>0</v>
      </c>
      <c r="AF5" s="263">
        <v>0</v>
      </c>
      <c r="AG5" s="263">
        <v>0</v>
      </c>
      <c r="AH5" s="263">
        <v>0</v>
      </c>
    </row>
    <row r="6" spans="1:34">
      <c r="A6" s="535"/>
      <c r="B6" s="429" t="s">
        <v>253</v>
      </c>
      <c r="C6" s="430">
        <v>4.1916167664670663E-2</v>
      </c>
      <c r="D6" s="260">
        <v>0</v>
      </c>
      <c r="E6" s="260">
        <v>0</v>
      </c>
      <c r="F6" s="260">
        <v>0</v>
      </c>
      <c r="G6" s="260">
        <v>0</v>
      </c>
      <c r="H6" s="260">
        <v>0</v>
      </c>
      <c r="I6" s="260">
        <v>0</v>
      </c>
      <c r="J6" s="260">
        <v>0</v>
      </c>
      <c r="K6" s="260">
        <v>0</v>
      </c>
      <c r="L6" s="260">
        <v>0.625</v>
      </c>
      <c r="M6" s="260">
        <v>0</v>
      </c>
      <c r="N6" s="260">
        <v>0</v>
      </c>
      <c r="O6" s="260">
        <v>0</v>
      </c>
      <c r="P6" s="260">
        <v>0</v>
      </c>
      <c r="Q6" s="260">
        <v>0</v>
      </c>
      <c r="R6" s="260">
        <v>0.2</v>
      </c>
      <c r="S6" s="260">
        <v>0</v>
      </c>
      <c r="T6" s="260">
        <v>0</v>
      </c>
      <c r="U6" s="260">
        <v>0</v>
      </c>
      <c r="V6" s="260">
        <v>0</v>
      </c>
      <c r="W6" s="260">
        <v>0</v>
      </c>
      <c r="X6" s="260">
        <v>0</v>
      </c>
      <c r="Y6" s="260">
        <v>0</v>
      </c>
      <c r="Z6" s="260">
        <v>0</v>
      </c>
      <c r="AA6" s="260">
        <v>0</v>
      </c>
      <c r="AB6" s="260">
        <v>0</v>
      </c>
      <c r="AC6" s="260">
        <v>0</v>
      </c>
      <c r="AD6" s="260">
        <v>8.3333333333333329E-2</v>
      </c>
      <c r="AE6" s="260">
        <v>0</v>
      </c>
      <c r="AF6" s="260">
        <v>0</v>
      </c>
      <c r="AG6" s="260">
        <v>0</v>
      </c>
      <c r="AH6" s="260">
        <v>0</v>
      </c>
    </row>
    <row r="7" spans="1:34">
      <c r="A7" s="535"/>
      <c r="B7" s="427" t="s">
        <v>254</v>
      </c>
      <c r="C7" s="428">
        <v>3.2258064516129031E-2</v>
      </c>
      <c r="D7" s="263" t="s">
        <v>237</v>
      </c>
      <c r="E7" s="263" t="s">
        <v>237</v>
      </c>
      <c r="F7" s="263" t="s">
        <v>237</v>
      </c>
      <c r="G7" s="263" t="s">
        <v>237</v>
      </c>
      <c r="H7" s="263" t="s">
        <v>237</v>
      </c>
      <c r="I7" s="263" t="s">
        <v>237</v>
      </c>
      <c r="J7" s="263">
        <v>0</v>
      </c>
      <c r="K7" s="263">
        <v>0</v>
      </c>
      <c r="L7" s="263">
        <v>0</v>
      </c>
      <c r="M7" s="263">
        <v>0</v>
      </c>
      <c r="N7" s="263">
        <v>0</v>
      </c>
      <c r="O7" s="263">
        <v>0</v>
      </c>
      <c r="P7" s="263">
        <v>0</v>
      </c>
      <c r="Q7" s="263">
        <v>0</v>
      </c>
      <c r="R7" s="263">
        <v>0.04</v>
      </c>
      <c r="S7" s="263">
        <v>0</v>
      </c>
      <c r="T7" s="263">
        <v>0</v>
      </c>
      <c r="U7" s="263">
        <v>0</v>
      </c>
      <c r="V7" s="263">
        <v>0</v>
      </c>
      <c r="W7" s="263">
        <v>0</v>
      </c>
      <c r="X7" s="263">
        <v>0</v>
      </c>
      <c r="Y7" s="263">
        <v>6.0606060606060608E-2</v>
      </c>
      <c r="Z7" s="263">
        <v>0.1333333333333333</v>
      </c>
      <c r="AA7" s="263">
        <v>0.1818181818181818</v>
      </c>
      <c r="AB7" s="263">
        <v>9.0909090909090912E-2</v>
      </c>
      <c r="AC7" s="263">
        <v>0.1</v>
      </c>
      <c r="AD7" s="263">
        <v>0</v>
      </c>
      <c r="AE7" s="263">
        <v>0</v>
      </c>
      <c r="AF7" s="263">
        <v>0</v>
      </c>
      <c r="AG7" s="263">
        <v>0</v>
      </c>
      <c r="AH7" s="263">
        <v>0</v>
      </c>
    </row>
    <row r="8" spans="1:34">
      <c r="A8" s="535"/>
      <c r="B8" s="429" t="s">
        <v>255</v>
      </c>
      <c r="C8" s="430">
        <v>7.2992700729926996E-3</v>
      </c>
      <c r="D8" s="260" t="s">
        <v>237</v>
      </c>
      <c r="E8" s="260" t="s">
        <v>237</v>
      </c>
      <c r="F8" s="260" t="s">
        <v>237</v>
      </c>
      <c r="G8" s="260" t="s">
        <v>237</v>
      </c>
      <c r="H8" s="260" t="s">
        <v>237</v>
      </c>
      <c r="I8" s="260" t="s">
        <v>237</v>
      </c>
      <c r="J8" s="260">
        <v>0</v>
      </c>
      <c r="K8" s="260">
        <v>0</v>
      </c>
      <c r="L8" s="260">
        <v>0.2</v>
      </c>
      <c r="M8" s="260">
        <v>0</v>
      </c>
      <c r="N8" s="260">
        <v>0</v>
      </c>
      <c r="O8" s="260">
        <v>0</v>
      </c>
      <c r="P8" s="260">
        <v>0</v>
      </c>
      <c r="Q8" s="260">
        <v>6.25E-2</v>
      </c>
      <c r="R8" s="260">
        <v>0</v>
      </c>
      <c r="S8" s="260">
        <v>0</v>
      </c>
      <c r="T8" s="260">
        <v>0</v>
      </c>
      <c r="U8" s="260">
        <v>0</v>
      </c>
      <c r="V8" s="260">
        <v>0</v>
      </c>
      <c r="W8" s="260">
        <v>0</v>
      </c>
      <c r="X8" s="260">
        <v>4.3478260869565223E-2</v>
      </c>
      <c r="Y8" s="260">
        <v>0</v>
      </c>
      <c r="Z8" s="260">
        <v>0</v>
      </c>
      <c r="AA8" s="260">
        <v>0</v>
      </c>
      <c r="AB8" s="260">
        <v>0</v>
      </c>
      <c r="AC8" s="260">
        <v>0</v>
      </c>
      <c r="AD8" s="260">
        <v>0</v>
      </c>
      <c r="AE8" s="260">
        <v>0</v>
      </c>
      <c r="AF8" s="260">
        <v>0</v>
      </c>
      <c r="AG8" s="260">
        <v>0</v>
      </c>
      <c r="AH8" s="260">
        <v>0</v>
      </c>
    </row>
    <row r="9" spans="1:34">
      <c r="A9" s="535"/>
      <c r="B9" s="427" t="s">
        <v>256</v>
      </c>
      <c r="C9" s="428">
        <v>0</v>
      </c>
      <c r="D9" s="263">
        <v>0</v>
      </c>
      <c r="E9" s="263">
        <v>0</v>
      </c>
      <c r="F9" s="263">
        <v>0</v>
      </c>
      <c r="G9" s="263" t="s">
        <v>237</v>
      </c>
      <c r="H9" s="263" t="s">
        <v>237</v>
      </c>
      <c r="I9" s="263" t="s">
        <v>237</v>
      </c>
      <c r="J9" s="263" t="s">
        <v>237</v>
      </c>
      <c r="K9" s="263" t="s">
        <v>237</v>
      </c>
      <c r="L9" s="263">
        <v>0</v>
      </c>
      <c r="M9" s="263">
        <v>0</v>
      </c>
      <c r="N9" s="263">
        <v>0</v>
      </c>
      <c r="O9" s="263">
        <v>0</v>
      </c>
      <c r="P9" s="263">
        <v>0</v>
      </c>
      <c r="Q9" s="263">
        <v>0</v>
      </c>
      <c r="R9" s="263">
        <v>0</v>
      </c>
      <c r="S9" s="263">
        <v>0</v>
      </c>
      <c r="T9" s="263">
        <v>0</v>
      </c>
      <c r="U9" s="263">
        <v>0</v>
      </c>
      <c r="V9" s="263">
        <v>0</v>
      </c>
      <c r="W9" s="263">
        <v>0</v>
      </c>
      <c r="X9" s="263">
        <v>0</v>
      </c>
      <c r="Y9" s="263">
        <v>0</v>
      </c>
      <c r="Z9" s="263">
        <v>0</v>
      </c>
      <c r="AA9" s="263">
        <v>0</v>
      </c>
      <c r="AB9" s="263">
        <v>0</v>
      </c>
      <c r="AC9" s="263">
        <v>0</v>
      </c>
      <c r="AD9" s="263">
        <v>0</v>
      </c>
      <c r="AE9" s="263">
        <v>0</v>
      </c>
      <c r="AF9" s="263">
        <v>0</v>
      </c>
      <c r="AG9" s="263">
        <v>0</v>
      </c>
      <c r="AH9" s="263">
        <v>0</v>
      </c>
    </row>
    <row r="10" spans="1:34">
      <c r="A10" s="535"/>
      <c r="B10" s="429" t="s">
        <v>258</v>
      </c>
      <c r="C10" s="430">
        <v>0</v>
      </c>
      <c r="D10" s="260" t="s">
        <v>237</v>
      </c>
      <c r="E10" s="260" t="s">
        <v>237</v>
      </c>
      <c r="F10" s="260" t="s">
        <v>237</v>
      </c>
      <c r="G10" s="260">
        <v>0</v>
      </c>
      <c r="H10" s="260">
        <v>0</v>
      </c>
      <c r="I10" s="260">
        <v>0</v>
      </c>
      <c r="J10" s="260">
        <v>0</v>
      </c>
      <c r="K10" s="260">
        <v>0</v>
      </c>
      <c r="L10" s="260">
        <v>0</v>
      </c>
      <c r="M10" s="260">
        <v>0</v>
      </c>
      <c r="N10" s="260">
        <v>0</v>
      </c>
      <c r="O10" s="260">
        <v>0</v>
      </c>
      <c r="P10" s="260">
        <v>0</v>
      </c>
      <c r="Q10" s="260">
        <v>0</v>
      </c>
      <c r="R10" s="260">
        <v>0</v>
      </c>
      <c r="S10" s="260">
        <v>0</v>
      </c>
      <c r="T10" s="260">
        <v>0</v>
      </c>
      <c r="U10" s="260">
        <v>0</v>
      </c>
      <c r="V10" s="260">
        <v>0</v>
      </c>
      <c r="W10" s="260">
        <v>0</v>
      </c>
      <c r="X10" s="260">
        <v>0</v>
      </c>
      <c r="Y10" s="260">
        <v>0</v>
      </c>
      <c r="Z10" s="260">
        <v>0</v>
      </c>
      <c r="AA10" s="260">
        <v>0</v>
      </c>
      <c r="AB10" s="260">
        <v>0</v>
      </c>
      <c r="AC10" s="260">
        <v>0</v>
      </c>
      <c r="AD10" s="260">
        <v>0</v>
      </c>
      <c r="AE10" s="260">
        <v>0</v>
      </c>
      <c r="AF10" s="260">
        <v>0</v>
      </c>
      <c r="AG10" s="260">
        <v>0</v>
      </c>
      <c r="AH10" s="260">
        <v>0</v>
      </c>
    </row>
    <row r="11" spans="1:34">
      <c r="A11" s="535"/>
      <c r="B11" s="427" t="s">
        <v>261</v>
      </c>
      <c r="C11" s="428">
        <v>0</v>
      </c>
      <c r="D11" s="263">
        <v>0</v>
      </c>
      <c r="E11" s="263">
        <v>0</v>
      </c>
      <c r="F11" s="263">
        <v>0</v>
      </c>
      <c r="G11" s="263" t="s">
        <v>237</v>
      </c>
      <c r="H11" s="263" t="s">
        <v>237</v>
      </c>
      <c r="I11" s="263">
        <v>0</v>
      </c>
      <c r="J11" s="263">
        <v>0</v>
      </c>
      <c r="K11" s="263">
        <v>0</v>
      </c>
      <c r="L11" s="263">
        <v>0</v>
      </c>
      <c r="M11" s="263">
        <v>0</v>
      </c>
      <c r="N11" s="263">
        <v>0</v>
      </c>
      <c r="O11" s="263">
        <v>0</v>
      </c>
      <c r="P11" s="263">
        <v>0</v>
      </c>
      <c r="Q11" s="263">
        <v>0</v>
      </c>
      <c r="R11" s="263">
        <v>0</v>
      </c>
      <c r="S11" s="263">
        <v>0</v>
      </c>
      <c r="T11" s="263">
        <v>0</v>
      </c>
      <c r="U11" s="263">
        <v>0</v>
      </c>
      <c r="V11" s="263">
        <v>0</v>
      </c>
      <c r="W11" s="263">
        <v>0</v>
      </c>
      <c r="X11" s="263">
        <v>0</v>
      </c>
      <c r="Y11" s="263">
        <v>0</v>
      </c>
      <c r="Z11" s="263">
        <v>0</v>
      </c>
      <c r="AA11" s="263">
        <v>0</v>
      </c>
      <c r="AB11" s="263">
        <v>0</v>
      </c>
      <c r="AC11" s="263">
        <v>0</v>
      </c>
      <c r="AD11" s="263">
        <v>0</v>
      </c>
      <c r="AE11" s="263">
        <v>0</v>
      </c>
      <c r="AF11" s="263">
        <v>0</v>
      </c>
      <c r="AG11" s="263">
        <v>0</v>
      </c>
      <c r="AH11" s="263">
        <v>0</v>
      </c>
    </row>
    <row r="12" spans="1:34">
      <c r="A12" s="535"/>
      <c r="B12" s="429" t="s">
        <v>265</v>
      </c>
      <c r="C12" s="430">
        <v>5.2238805970149252E-2</v>
      </c>
      <c r="D12" s="260">
        <v>0</v>
      </c>
      <c r="E12" s="260">
        <v>0</v>
      </c>
      <c r="F12" s="260">
        <v>0</v>
      </c>
      <c r="G12" s="260">
        <v>0</v>
      </c>
      <c r="H12" s="260">
        <v>0</v>
      </c>
      <c r="I12" s="260">
        <v>0</v>
      </c>
      <c r="J12" s="260">
        <v>0</v>
      </c>
      <c r="K12" s="260">
        <v>0</v>
      </c>
      <c r="L12" s="260">
        <v>0</v>
      </c>
      <c r="M12" s="260">
        <v>0</v>
      </c>
      <c r="N12" s="260">
        <v>0</v>
      </c>
      <c r="O12" s="260">
        <v>0</v>
      </c>
      <c r="P12" s="260">
        <v>0</v>
      </c>
      <c r="Q12" s="260">
        <v>0</v>
      </c>
      <c r="R12" s="260">
        <v>0</v>
      </c>
      <c r="S12" s="260">
        <v>0</v>
      </c>
      <c r="T12" s="260">
        <v>0</v>
      </c>
      <c r="U12" s="260">
        <v>0</v>
      </c>
      <c r="V12" s="260">
        <v>0</v>
      </c>
      <c r="W12" s="260">
        <v>0</v>
      </c>
      <c r="X12" s="260">
        <v>0</v>
      </c>
      <c r="Y12" s="260">
        <v>0.25</v>
      </c>
      <c r="Z12" s="260">
        <v>0</v>
      </c>
      <c r="AA12" s="260">
        <v>0.25</v>
      </c>
      <c r="AB12" s="260">
        <v>0</v>
      </c>
      <c r="AC12" s="260">
        <v>0</v>
      </c>
      <c r="AD12" s="260">
        <v>0.125</v>
      </c>
      <c r="AE12" s="260">
        <v>0</v>
      </c>
      <c r="AF12" s="260">
        <v>6.6666666666666666E-2</v>
      </c>
      <c r="AG12" s="260">
        <v>0</v>
      </c>
      <c r="AH12" s="260">
        <v>0.15789473684210531</v>
      </c>
    </row>
    <row r="13" spans="1:34">
      <c r="A13" s="535"/>
      <c r="B13" s="427" t="s">
        <v>266</v>
      </c>
      <c r="C13" s="428">
        <v>0</v>
      </c>
      <c r="D13" s="263">
        <v>0</v>
      </c>
      <c r="E13" s="263">
        <v>0</v>
      </c>
      <c r="F13" s="263">
        <v>0</v>
      </c>
      <c r="G13" s="263">
        <v>0</v>
      </c>
      <c r="H13" s="263">
        <v>0</v>
      </c>
      <c r="I13" s="263">
        <v>0</v>
      </c>
      <c r="J13" s="263" t="s">
        <v>237</v>
      </c>
      <c r="K13" s="263" t="s">
        <v>237</v>
      </c>
      <c r="L13" s="263" t="s">
        <v>237</v>
      </c>
      <c r="M13" s="263" t="s">
        <v>237</v>
      </c>
      <c r="N13" s="263" t="s">
        <v>237</v>
      </c>
      <c r="O13" s="263" t="s">
        <v>237</v>
      </c>
      <c r="P13" s="263">
        <v>0</v>
      </c>
      <c r="Q13" s="263">
        <v>0</v>
      </c>
      <c r="R13" s="263">
        <v>0</v>
      </c>
      <c r="S13" s="263">
        <v>0</v>
      </c>
      <c r="T13" s="263">
        <v>0</v>
      </c>
      <c r="U13" s="263">
        <v>0</v>
      </c>
      <c r="V13" s="263" t="s">
        <v>237</v>
      </c>
      <c r="W13" s="263" t="s">
        <v>237</v>
      </c>
      <c r="X13" s="263">
        <v>0</v>
      </c>
      <c r="Y13" s="263">
        <v>0</v>
      </c>
      <c r="Z13" s="263">
        <v>0</v>
      </c>
      <c r="AA13" s="263">
        <v>0</v>
      </c>
      <c r="AB13" s="263">
        <v>0</v>
      </c>
      <c r="AC13" s="263">
        <v>0</v>
      </c>
      <c r="AD13" s="263">
        <v>0</v>
      </c>
      <c r="AE13" s="263">
        <v>0</v>
      </c>
      <c r="AF13" s="263">
        <v>0</v>
      </c>
      <c r="AG13" s="263">
        <v>0</v>
      </c>
      <c r="AH13" s="263">
        <v>0</v>
      </c>
    </row>
    <row r="14" spans="1:34">
      <c r="A14" s="535"/>
      <c r="B14" s="429" t="s">
        <v>269</v>
      </c>
      <c r="C14" s="430">
        <v>6.4935064935064939E-3</v>
      </c>
      <c r="D14" s="260" t="s">
        <v>237</v>
      </c>
      <c r="E14" s="260">
        <v>0</v>
      </c>
      <c r="F14" s="260">
        <v>0</v>
      </c>
      <c r="G14" s="260">
        <v>0</v>
      </c>
      <c r="H14" s="260">
        <v>0</v>
      </c>
      <c r="I14" s="260">
        <v>0</v>
      </c>
      <c r="J14" s="260">
        <v>0</v>
      </c>
      <c r="K14" s="260">
        <v>0</v>
      </c>
      <c r="L14" s="260">
        <v>0</v>
      </c>
      <c r="M14" s="260">
        <v>0</v>
      </c>
      <c r="N14" s="260">
        <v>0</v>
      </c>
      <c r="O14" s="260" t="s">
        <v>237</v>
      </c>
      <c r="P14" s="260" t="s">
        <v>237</v>
      </c>
      <c r="Q14" s="260">
        <v>0</v>
      </c>
      <c r="R14" s="260">
        <v>0</v>
      </c>
      <c r="S14" s="260">
        <v>0</v>
      </c>
      <c r="T14" s="260">
        <v>0</v>
      </c>
      <c r="U14" s="260">
        <v>0</v>
      </c>
      <c r="V14" s="260">
        <v>0</v>
      </c>
      <c r="W14" s="260">
        <v>0</v>
      </c>
      <c r="X14" s="260">
        <v>0</v>
      </c>
      <c r="Y14" s="260">
        <v>0</v>
      </c>
      <c r="Z14" s="260">
        <v>0</v>
      </c>
      <c r="AA14" s="260">
        <v>0</v>
      </c>
      <c r="AB14" s="260">
        <v>0</v>
      </c>
      <c r="AC14" s="260">
        <v>0</v>
      </c>
      <c r="AD14" s="260">
        <v>0</v>
      </c>
      <c r="AE14" s="260">
        <v>6.6666666666666666E-2</v>
      </c>
      <c r="AF14" s="260">
        <v>0</v>
      </c>
      <c r="AG14" s="260">
        <v>0</v>
      </c>
      <c r="AH14" s="260">
        <v>0</v>
      </c>
    </row>
    <row r="15" spans="1:34">
      <c r="A15" s="535"/>
      <c r="B15" s="427" t="s">
        <v>270</v>
      </c>
      <c r="C15" s="428">
        <v>3.333333333333334E-3</v>
      </c>
      <c r="D15" s="263">
        <v>0</v>
      </c>
      <c r="E15" s="263">
        <v>0</v>
      </c>
      <c r="F15" s="263">
        <v>0</v>
      </c>
      <c r="G15" s="263">
        <v>0</v>
      </c>
      <c r="H15" s="263">
        <v>0</v>
      </c>
      <c r="I15" s="263">
        <v>0</v>
      </c>
      <c r="J15" s="263">
        <v>0</v>
      </c>
      <c r="K15" s="263">
        <v>0</v>
      </c>
      <c r="L15" s="263">
        <v>0</v>
      </c>
      <c r="M15" s="263">
        <v>0</v>
      </c>
      <c r="N15" s="263">
        <v>0</v>
      </c>
      <c r="O15" s="263">
        <v>0</v>
      </c>
      <c r="P15" s="263">
        <v>0</v>
      </c>
      <c r="Q15" s="263">
        <v>0</v>
      </c>
      <c r="R15" s="263">
        <v>0</v>
      </c>
      <c r="S15" s="263">
        <v>0</v>
      </c>
      <c r="T15" s="263">
        <v>0</v>
      </c>
      <c r="U15" s="263">
        <v>0</v>
      </c>
      <c r="V15" s="263">
        <v>0</v>
      </c>
      <c r="W15" s="263">
        <v>0</v>
      </c>
      <c r="X15" s="263">
        <v>0</v>
      </c>
      <c r="Y15" s="263">
        <v>0</v>
      </c>
      <c r="Z15" s="263">
        <v>0</v>
      </c>
      <c r="AA15" s="263">
        <v>0</v>
      </c>
      <c r="AB15" s="263">
        <v>0</v>
      </c>
      <c r="AC15" s="263">
        <v>0</v>
      </c>
      <c r="AD15" s="263">
        <v>0</v>
      </c>
      <c r="AE15" s="263">
        <v>0</v>
      </c>
      <c r="AF15" s="263">
        <v>0</v>
      </c>
      <c r="AG15" s="263">
        <v>0</v>
      </c>
      <c r="AH15" s="263">
        <v>9.0909090909090912E-2</v>
      </c>
    </row>
    <row r="16" spans="1:34">
      <c r="A16" s="535"/>
      <c r="B16" s="429" t="s">
        <v>273</v>
      </c>
      <c r="C16" s="430">
        <v>0</v>
      </c>
      <c r="D16" s="260" t="s">
        <v>237</v>
      </c>
      <c r="E16" s="260" t="s">
        <v>237</v>
      </c>
      <c r="F16" s="260" t="s">
        <v>237</v>
      </c>
      <c r="G16" s="260" t="s">
        <v>237</v>
      </c>
      <c r="H16" s="260" t="s">
        <v>237</v>
      </c>
      <c r="I16" s="260" t="s">
        <v>237</v>
      </c>
      <c r="J16" s="260" t="s">
        <v>237</v>
      </c>
      <c r="K16" s="260" t="s">
        <v>237</v>
      </c>
      <c r="L16" s="260" t="s">
        <v>237</v>
      </c>
      <c r="M16" s="260" t="s">
        <v>237</v>
      </c>
      <c r="N16" s="260">
        <v>0</v>
      </c>
      <c r="O16" s="260">
        <v>0</v>
      </c>
      <c r="P16" s="260">
        <v>0</v>
      </c>
      <c r="Q16" s="260">
        <v>0</v>
      </c>
      <c r="R16" s="260">
        <v>0</v>
      </c>
      <c r="S16" s="260" t="s">
        <v>237</v>
      </c>
      <c r="T16" s="260" t="s">
        <v>237</v>
      </c>
      <c r="U16" s="260" t="s">
        <v>237</v>
      </c>
      <c r="V16" s="260">
        <v>0</v>
      </c>
      <c r="W16" s="260">
        <v>0</v>
      </c>
      <c r="X16" s="260">
        <v>0</v>
      </c>
      <c r="Y16" s="260">
        <v>0</v>
      </c>
      <c r="Z16" s="260">
        <v>0</v>
      </c>
      <c r="AA16" s="260">
        <v>0</v>
      </c>
      <c r="AB16" s="260">
        <v>0</v>
      </c>
      <c r="AC16" s="260">
        <v>0</v>
      </c>
      <c r="AD16" s="260">
        <v>0</v>
      </c>
      <c r="AE16" s="260">
        <v>0</v>
      </c>
      <c r="AF16" s="260">
        <v>0</v>
      </c>
      <c r="AG16" s="260">
        <v>0</v>
      </c>
      <c r="AH16" s="260">
        <v>0</v>
      </c>
    </row>
    <row r="17" spans="1:34">
      <c r="A17" s="535"/>
      <c r="B17" s="427" t="s">
        <v>276</v>
      </c>
      <c r="C17" s="428">
        <v>6.4655172413793103E-3</v>
      </c>
      <c r="D17" s="263" t="s">
        <v>237</v>
      </c>
      <c r="E17" s="263" t="s">
        <v>237</v>
      </c>
      <c r="F17" s="263" t="s">
        <v>237</v>
      </c>
      <c r="G17" s="263" t="s">
        <v>237</v>
      </c>
      <c r="H17" s="263" t="s">
        <v>237</v>
      </c>
      <c r="I17" s="263">
        <v>0</v>
      </c>
      <c r="J17" s="263">
        <v>0</v>
      </c>
      <c r="K17" s="263">
        <v>0.25</v>
      </c>
      <c r="L17" s="263">
        <v>0</v>
      </c>
      <c r="M17" s="263">
        <v>0</v>
      </c>
      <c r="N17" s="263">
        <v>0</v>
      </c>
      <c r="O17" s="263">
        <v>0</v>
      </c>
      <c r="P17" s="263">
        <v>0</v>
      </c>
      <c r="Q17" s="263">
        <v>0</v>
      </c>
      <c r="R17" s="263">
        <v>0.14285714285714279</v>
      </c>
      <c r="S17" s="263">
        <v>0</v>
      </c>
      <c r="T17" s="263">
        <v>0</v>
      </c>
      <c r="U17" s="263">
        <v>0</v>
      </c>
      <c r="V17" s="263">
        <v>0</v>
      </c>
      <c r="W17" s="263">
        <v>0</v>
      </c>
      <c r="X17" s="263">
        <v>0</v>
      </c>
      <c r="Y17" s="263">
        <v>0</v>
      </c>
      <c r="Z17" s="263">
        <v>0</v>
      </c>
      <c r="AA17" s="263">
        <v>0</v>
      </c>
      <c r="AB17" s="263">
        <v>0</v>
      </c>
      <c r="AC17" s="263">
        <v>0</v>
      </c>
      <c r="AD17" s="263">
        <v>0</v>
      </c>
      <c r="AE17" s="263">
        <v>0</v>
      </c>
      <c r="AF17" s="263">
        <v>0</v>
      </c>
      <c r="AG17" s="263">
        <v>0</v>
      </c>
      <c r="AH17" s="263">
        <v>0</v>
      </c>
    </row>
    <row r="18" spans="1:34">
      <c r="A18" s="535"/>
      <c r="B18" s="429" t="s">
        <v>277</v>
      </c>
      <c r="C18" s="430">
        <v>4.3859649122807022E-2</v>
      </c>
      <c r="D18" s="260">
        <v>0</v>
      </c>
      <c r="E18" s="260">
        <v>0</v>
      </c>
      <c r="F18" s="260">
        <v>0</v>
      </c>
      <c r="G18" s="260">
        <v>0</v>
      </c>
      <c r="H18" s="260">
        <v>0</v>
      </c>
      <c r="I18" s="260">
        <v>0</v>
      </c>
      <c r="J18" s="260">
        <v>0</v>
      </c>
      <c r="K18" s="260">
        <v>0</v>
      </c>
      <c r="L18" s="260">
        <v>0</v>
      </c>
      <c r="M18" s="260">
        <v>0</v>
      </c>
      <c r="N18" s="260">
        <v>0</v>
      </c>
      <c r="O18" s="260">
        <v>0.25</v>
      </c>
      <c r="P18" s="260">
        <v>0</v>
      </c>
      <c r="Q18" s="260">
        <v>0</v>
      </c>
      <c r="R18" s="260">
        <v>0.125</v>
      </c>
      <c r="S18" s="260">
        <v>0.125</v>
      </c>
      <c r="T18" s="260">
        <v>0.1111111111111111</v>
      </c>
      <c r="U18" s="260">
        <v>0</v>
      </c>
      <c r="V18" s="260">
        <v>0</v>
      </c>
      <c r="W18" s="260">
        <v>0.1</v>
      </c>
      <c r="X18" s="260">
        <v>0</v>
      </c>
      <c r="Y18" s="260">
        <v>0</v>
      </c>
      <c r="Z18" s="260">
        <v>8.3333333333333329E-2</v>
      </c>
      <c r="AA18" s="260">
        <v>7.6923076923076927E-2</v>
      </c>
      <c r="AB18" s="260">
        <v>0.15384615384615391</v>
      </c>
      <c r="AC18" s="260">
        <v>0</v>
      </c>
      <c r="AD18" s="260">
        <v>0</v>
      </c>
      <c r="AE18" s="260">
        <v>0</v>
      </c>
      <c r="AF18" s="260">
        <v>0</v>
      </c>
      <c r="AG18" s="260">
        <v>0</v>
      </c>
      <c r="AH18" s="260">
        <v>0.14285714285714279</v>
      </c>
    </row>
    <row r="19" spans="1:34">
      <c r="A19" s="535"/>
      <c r="B19" s="427" t="s">
        <v>279</v>
      </c>
      <c r="C19" s="428">
        <v>0</v>
      </c>
      <c r="D19" s="263" t="s">
        <v>237</v>
      </c>
      <c r="E19" s="263" t="s">
        <v>237</v>
      </c>
      <c r="F19" s="263" t="s">
        <v>237</v>
      </c>
      <c r="G19" s="263" t="s">
        <v>237</v>
      </c>
      <c r="H19" s="263" t="s">
        <v>237</v>
      </c>
      <c r="I19" s="263" t="s">
        <v>237</v>
      </c>
      <c r="J19" s="263" t="s">
        <v>237</v>
      </c>
      <c r="K19" s="263" t="s">
        <v>237</v>
      </c>
      <c r="L19" s="263" t="s">
        <v>237</v>
      </c>
      <c r="M19" s="263" t="s">
        <v>237</v>
      </c>
      <c r="N19" s="263">
        <v>0</v>
      </c>
      <c r="O19" s="263">
        <v>0</v>
      </c>
      <c r="P19" s="263">
        <v>0</v>
      </c>
      <c r="Q19" s="263">
        <v>0</v>
      </c>
      <c r="R19" s="263">
        <v>0</v>
      </c>
      <c r="S19" s="263">
        <v>0</v>
      </c>
      <c r="T19" s="263">
        <v>0</v>
      </c>
      <c r="U19" s="263">
        <v>0</v>
      </c>
      <c r="V19" s="263">
        <v>0</v>
      </c>
      <c r="W19" s="263">
        <v>0</v>
      </c>
      <c r="X19" s="263">
        <v>0</v>
      </c>
      <c r="Y19" s="263">
        <v>0</v>
      </c>
      <c r="Z19" s="263">
        <v>0</v>
      </c>
      <c r="AA19" s="263">
        <v>0</v>
      </c>
      <c r="AB19" s="263">
        <v>0</v>
      </c>
      <c r="AC19" s="263">
        <v>0</v>
      </c>
      <c r="AD19" s="263">
        <v>0</v>
      </c>
      <c r="AE19" s="263">
        <v>0</v>
      </c>
      <c r="AF19" s="263">
        <v>0</v>
      </c>
      <c r="AG19" s="263">
        <v>0</v>
      </c>
      <c r="AH19" s="263">
        <v>0</v>
      </c>
    </row>
    <row r="20" spans="1:34">
      <c r="A20" s="535"/>
      <c r="B20" s="429" t="s">
        <v>284</v>
      </c>
      <c r="C20" s="430">
        <v>3.5714285714285712E-2</v>
      </c>
      <c r="D20" s="260">
        <v>0</v>
      </c>
      <c r="E20" s="260">
        <v>0</v>
      </c>
      <c r="F20" s="260">
        <v>0</v>
      </c>
      <c r="G20" s="260">
        <v>0</v>
      </c>
      <c r="H20" s="260">
        <v>0.8</v>
      </c>
      <c r="I20" s="260">
        <v>0</v>
      </c>
      <c r="J20" s="260">
        <v>0</v>
      </c>
      <c r="K20" s="260">
        <v>0</v>
      </c>
      <c r="L20" s="260">
        <v>0</v>
      </c>
      <c r="M20" s="260">
        <v>0</v>
      </c>
      <c r="N20" s="260">
        <v>0</v>
      </c>
      <c r="O20" s="260">
        <v>0</v>
      </c>
      <c r="P20" s="260">
        <v>0</v>
      </c>
      <c r="Q20" s="260">
        <v>0</v>
      </c>
      <c r="R20" s="260">
        <v>0</v>
      </c>
      <c r="S20" s="260">
        <v>0</v>
      </c>
      <c r="T20" s="260">
        <v>0</v>
      </c>
      <c r="U20" s="260">
        <v>0</v>
      </c>
      <c r="V20" s="260">
        <v>0</v>
      </c>
      <c r="W20" s="260">
        <v>0</v>
      </c>
      <c r="X20" s="260">
        <v>0</v>
      </c>
      <c r="Y20" s="260">
        <v>0</v>
      </c>
      <c r="Z20" s="260">
        <v>0</v>
      </c>
      <c r="AA20" s="260">
        <v>0</v>
      </c>
      <c r="AB20" s="260">
        <v>0</v>
      </c>
      <c r="AC20" s="260">
        <v>0</v>
      </c>
      <c r="AD20" s="260">
        <v>0</v>
      </c>
      <c r="AE20" s="260">
        <v>0</v>
      </c>
      <c r="AF20" s="260">
        <v>0</v>
      </c>
      <c r="AG20" s="260">
        <v>0</v>
      </c>
      <c r="AH20" s="260">
        <v>0.14285714285714279</v>
      </c>
    </row>
    <row r="21" spans="1:34">
      <c r="A21" s="535"/>
      <c r="B21" s="427" t="s">
        <v>285</v>
      </c>
      <c r="C21" s="428">
        <v>2.0671834625322998E-2</v>
      </c>
      <c r="D21" s="263">
        <v>0</v>
      </c>
      <c r="E21" s="263">
        <v>0</v>
      </c>
      <c r="F21" s="263">
        <v>0</v>
      </c>
      <c r="G21" s="263">
        <v>0</v>
      </c>
      <c r="H21" s="263">
        <v>0</v>
      </c>
      <c r="I21" s="263">
        <v>0</v>
      </c>
      <c r="J21" s="263">
        <v>0</v>
      </c>
      <c r="K21" s="263">
        <v>0.125</v>
      </c>
      <c r="L21" s="263">
        <v>0</v>
      </c>
      <c r="M21" s="263">
        <v>0.2</v>
      </c>
      <c r="N21" s="263">
        <v>0.66666666666666663</v>
      </c>
      <c r="O21" s="263">
        <v>0</v>
      </c>
      <c r="P21" s="263">
        <v>0</v>
      </c>
      <c r="Q21" s="263">
        <v>0</v>
      </c>
      <c r="R21" s="263">
        <v>0</v>
      </c>
      <c r="S21" s="263">
        <v>0</v>
      </c>
      <c r="T21" s="263">
        <v>0</v>
      </c>
      <c r="U21" s="263">
        <v>0</v>
      </c>
      <c r="V21" s="263">
        <v>0</v>
      </c>
      <c r="W21" s="263">
        <v>0</v>
      </c>
      <c r="X21" s="263">
        <v>0</v>
      </c>
      <c r="Y21" s="263">
        <v>0</v>
      </c>
      <c r="Z21" s="263">
        <v>0</v>
      </c>
      <c r="AA21" s="263">
        <v>0</v>
      </c>
      <c r="AB21" s="263">
        <v>0</v>
      </c>
      <c r="AC21" s="263">
        <v>0</v>
      </c>
      <c r="AD21" s="263">
        <v>6.8965517241379309E-2</v>
      </c>
      <c r="AE21" s="263">
        <v>0</v>
      </c>
      <c r="AF21" s="263">
        <v>0</v>
      </c>
      <c r="AG21" s="263">
        <v>3.125E-2</v>
      </c>
      <c r="AH21" s="263">
        <v>3.3333333333333333E-2</v>
      </c>
    </row>
    <row r="22" spans="1:34">
      <c r="A22" s="535"/>
      <c r="B22" s="429" t="s">
        <v>288</v>
      </c>
      <c r="C22" s="430">
        <v>1.6339869281045749E-2</v>
      </c>
      <c r="D22" s="260" t="s">
        <v>237</v>
      </c>
      <c r="E22" s="260" t="s">
        <v>237</v>
      </c>
      <c r="F22" s="260" t="s">
        <v>237</v>
      </c>
      <c r="G22" s="260" t="s">
        <v>237</v>
      </c>
      <c r="H22" s="260">
        <v>0</v>
      </c>
      <c r="I22" s="260">
        <v>0</v>
      </c>
      <c r="J22" s="260">
        <v>0</v>
      </c>
      <c r="K22" s="260">
        <v>0</v>
      </c>
      <c r="L22" s="260">
        <v>0</v>
      </c>
      <c r="M22" s="260">
        <v>0</v>
      </c>
      <c r="N22" s="260">
        <v>0</v>
      </c>
      <c r="O22" s="260">
        <v>0</v>
      </c>
      <c r="P22" s="260">
        <v>0</v>
      </c>
      <c r="Q22" s="260">
        <v>0.5</v>
      </c>
      <c r="R22" s="260">
        <v>0</v>
      </c>
      <c r="S22" s="260">
        <v>0</v>
      </c>
      <c r="T22" s="260">
        <v>0</v>
      </c>
      <c r="U22" s="260">
        <v>0</v>
      </c>
      <c r="V22" s="260">
        <v>0</v>
      </c>
      <c r="W22" s="260">
        <v>0</v>
      </c>
      <c r="X22" s="260">
        <v>0</v>
      </c>
      <c r="Y22" s="260">
        <v>0</v>
      </c>
      <c r="Z22" s="260">
        <v>0.08</v>
      </c>
      <c r="AA22" s="260">
        <v>0</v>
      </c>
      <c r="AB22" s="260">
        <v>4.5454545454545463E-2</v>
      </c>
      <c r="AC22" s="260">
        <v>0</v>
      </c>
      <c r="AD22" s="260">
        <v>0</v>
      </c>
      <c r="AE22" s="260">
        <v>4.3478260869565223E-2</v>
      </c>
      <c r="AF22" s="260">
        <v>0</v>
      </c>
      <c r="AG22" s="260">
        <v>0</v>
      </c>
      <c r="AH22" s="260">
        <v>0</v>
      </c>
    </row>
    <row r="23" spans="1:34">
      <c r="A23" s="535"/>
      <c r="B23" s="427" t="s">
        <v>289</v>
      </c>
      <c r="C23" s="428">
        <v>0</v>
      </c>
      <c r="D23" s="263" t="s">
        <v>237</v>
      </c>
      <c r="E23" s="263" t="s">
        <v>237</v>
      </c>
      <c r="F23" s="263" t="s">
        <v>237</v>
      </c>
      <c r="G23" s="263" t="s">
        <v>237</v>
      </c>
      <c r="H23" s="263" t="s">
        <v>237</v>
      </c>
      <c r="I23" s="263" t="s">
        <v>237</v>
      </c>
      <c r="J23" s="263" t="s">
        <v>237</v>
      </c>
      <c r="K23" s="263" t="s">
        <v>237</v>
      </c>
      <c r="L23" s="263" t="s">
        <v>237</v>
      </c>
      <c r="M23" s="263">
        <v>0</v>
      </c>
      <c r="N23" s="263">
        <v>0</v>
      </c>
      <c r="O23" s="263">
        <v>0</v>
      </c>
      <c r="P23" s="263">
        <v>0</v>
      </c>
      <c r="Q23" s="263">
        <v>0</v>
      </c>
      <c r="R23" s="263">
        <v>0</v>
      </c>
      <c r="S23" s="263">
        <v>0</v>
      </c>
      <c r="T23" s="263">
        <v>0</v>
      </c>
      <c r="U23" s="263">
        <v>0</v>
      </c>
      <c r="V23" s="263">
        <v>0</v>
      </c>
      <c r="W23" s="263">
        <v>0</v>
      </c>
      <c r="X23" s="263">
        <v>0</v>
      </c>
      <c r="Y23" s="263">
        <v>0</v>
      </c>
      <c r="Z23" s="263">
        <v>0</v>
      </c>
      <c r="AA23" s="263">
        <v>0</v>
      </c>
      <c r="AB23" s="263">
        <v>0</v>
      </c>
      <c r="AC23" s="263">
        <v>0</v>
      </c>
      <c r="AD23" s="263">
        <v>0</v>
      </c>
      <c r="AE23" s="263">
        <v>0</v>
      </c>
      <c r="AF23" s="263">
        <v>0</v>
      </c>
      <c r="AG23" s="263">
        <v>0</v>
      </c>
      <c r="AH23" s="263">
        <v>0</v>
      </c>
    </row>
    <row r="24" spans="1:34">
      <c r="A24" s="535"/>
      <c r="B24" s="429" t="s">
        <v>291</v>
      </c>
      <c r="C24" s="430">
        <v>2.777777777777778E-2</v>
      </c>
      <c r="D24" s="260" t="s">
        <v>237</v>
      </c>
      <c r="E24" s="260" t="s">
        <v>237</v>
      </c>
      <c r="F24" s="260" t="s">
        <v>237</v>
      </c>
      <c r="G24" s="260">
        <v>0</v>
      </c>
      <c r="H24" s="260">
        <v>0</v>
      </c>
      <c r="I24" s="260">
        <v>0</v>
      </c>
      <c r="J24" s="260">
        <v>0</v>
      </c>
      <c r="K24" s="260">
        <v>0</v>
      </c>
      <c r="L24" s="260">
        <v>0</v>
      </c>
      <c r="M24" s="260">
        <v>0</v>
      </c>
      <c r="N24" s="260">
        <v>0</v>
      </c>
      <c r="O24" s="260">
        <v>0</v>
      </c>
      <c r="P24" s="260">
        <v>0</v>
      </c>
      <c r="Q24" s="260">
        <v>0</v>
      </c>
      <c r="R24" s="260">
        <v>0</v>
      </c>
      <c r="S24" s="260">
        <v>0.14285714285714279</v>
      </c>
      <c r="T24" s="260">
        <v>0</v>
      </c>
      <c r="U24" s="260">
        <v>0</v>
      </c>
      <c r="V24" s="260">
        <v>9.0909090909090912E-2</v>
      </c>
      <c r="W24" s="260">
        <v>0</v>
      </c>
      <c r="X24" s="260">
        <v>0.16666666666666671</v>
      </c>
      <c r="Y24" s="260">
        <v>0</v>
      </c>
      <c r="Z24" s="260">
        <v>0</v>
      </c>
      <c r="AA24" s="260">
        <v>0</v>
      </c>
      <c r="AB24" s="260">
        <v>0</v>
      </c>
      <c r="AC24" s="260">
        <v>0</v>
      </c>
      <c r="AD24" s="260">
        <v>0.16666666666666671</v>
      </c>
      <c r="AE24" s="260">
        <v>0</v>
      </c>
      <c r="AF24" s="260">
        <v>0</v>
      </c>
      <c r="AG24" s="260">
        <v>0</v>
      </c>
      <c r="AH24" s="260">
        <v>0</v>
      </c>
    </row>
    <row r="25" spans="1:34">
      <c r="A25" s="535"/>
      <c r="B25" s="427" t="s">
        <v>292</v>
      </c>
      <c r="C25" s="428">
        <v>0.1010452961672474</v>
      </c>
      <c r="D25" s="263">
        <v>0</v>
      </c>
      <c r="E25" s="263">
        <v>0</v>
      </c>
      <c r="F25" s="263">
        <v>0</v>
      </c>
      <c r="G25" s="263">
        <v>0</v>
      </c>
      <c r="H25" s="263">
        <v>0.1111111111111111</v>
      </c>
      <c r="I25" s="263">
        <v>0</v>
      </c>
      <c r="J25" s="263">
        <v>0</v>
      </c>
      <c r="K25" s="263">
        <v>0</v>
      </c>
      <c r="L25" s="263">
        <v>0.2</v>
      </c>
      <c r="M25" s="263">
        <v>0</v>
      </c>
      <c r="N25" s="263">
        <v>0.125</v>
      </c>
      <c r="O25" s="263">
        <v>0</v>
      </c>
      <c r="P25" s="263">
        <v>0</v>
      </c>
      <c r="Q25" s="263">
        <v>0</v>
      </c>
      <c r="R25" s="263">
        <v>0</v>
      </c>
      <c r="S25" s="263">
        <v>8.3333333333333329E-2</v>
      </c>
      <c r="T25" s="263">
        <v>0</v>
      </c>
      <c r="U25" s="263">
        <v>0</v>
      </c>
      <c r="V25" s="263">
        <v>0</v>
      </c>
      <c r="W25" s="263">
        <v>0</v>
      </c>
      <c r="X25" s="263">
        <v>0</v>
      </c>
      <c r="Y25" s="263">
        <v>0</v>
      </c>
      <c r="Z25" s="263">
        <v>0</v>
      </c>
      <c r="AA25" s="263">
        <v>0</v>
      </c>
      <c r="AB25" s="263">
        <v>0</v>
      </c>
      <c r="AC25" s="263">
        <v>0.16666666666666671</v>
      </c>
      <c r="AD25" s="263">
        <v>0.80952380952380953</v>
      </c>
      <c r="AE25" s="263">
        <v>0.75</v>
      </c>
      <c r="AF25" s="263">
        <v>0</v>
      </c>
      <c r="AG25" s="263" t="s">
        <v>237</v>
      </c>
      <c r="AH25" s="263" t="s">
        <v>237</v>
      </c>
    </row>
    <row r="26" spans="1:34">
      <c r="A26" s="535"/>
      <c r="B26" s="429" t="s">
        <v>293</v>
      </c>
      <c r="C26" s="430">
        <v>6.8965517241379309E-2</v>
      </c>
      <c r="D26" s="260" t="s">
        <v>237</v>
      </c>
      <c r="E26" s="260" t="s">
        <v>237</v>
      </c>
      <c r="F26" s="260" t="s">
        <v>237</v>
      </c>
      <c r="G26" s="260">
        <v>0</v>
      </c>
      <c r="H26" s="260">
        <v>0</v>
      </c>
      <c r="I26" s="260">
        <v>0</v>
      </c>
      <c r="J26" s="260">
        <v>0</v>
      </c>
      <c r="K26" s="260">
        <v>0</v>
      </c>
      <c r="L26" s="260">
        <v>0</v>
      </c>
      <c r="M26" s="260">
        <v>0</v>
      </c>
      <c r="N26" s="260" t="s">
        <v>237</v>
      </c>
      <c r="O26" s="260">
        <v>0</v>
      </c>
      <c r="P26" s="260">
        <v>0</v>
      </c>
      <c r="Q26" s="260">
        <v>0</v>
      </c>
      <c r="R26" s="260">
        <v>0</v>
      </c>
      <c r="S26" s="260">
        <v>0</v>
      </c>
      <c r="T26" s="260">
        <v>0</v>
      </c>
      <c r="U26" s="260">
        <v>0</v>
      </c>
      <c r="V26" s="260">
        <v>0</v>
      </c>
      <c r="W26" s="260">
        <v>0</v>
      </c>
      <c r="X26" s="260">
        <v>9.0909090909090912E-2</v>
      </c>
      <c r="Y26" s="260">
        <v>0</v>
      </c>
      <c r="Z26" s="260">
        <v>0</v>
      </c>
      <c r="AA26" s="260">
        <v>0</v>
      </c>
      <c r="AB26" s="260">
        <v>0</v>
      </c>
      <c r="AC26" s="260">
        <v>0</v>
      </c>
      <c r="AD26" s="260">
        <v>0</v>
      </c>
      <c r="AE26" s="260">
        <v>0.14285714285714279</v>
      </c>
      <c r="AF26" s="260">
        <v>0.6428571428571429</v>
      </c>
      <c r="AG26" s="260">
        <v>0</v>
      </c>
      <c r="AH26" s="260">
        <v>0</v>
      </c>
    </row>
    <row r="27" spans="1:34">
      <c r="A27" s="535"/>
      <c r="B27" s="427" t="s">
        <v>295</v>
      </c>
      <c r="C27" s="428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X27" s="263">
        <v>0</v>
      </c>
      <c r="Y27" s="263">
        <v>0</v>
      </c>
      <c r="Z27" s="263">
        <v>0</v>
      </c>
      <c r="AA27" s="263">
        <v>0</v>
      </c>
      <c r="AB27" s="263">
        <v>0</v>
      </c>
      <c r="AC27" s="263">
        <v>0</v>
      </c>
      <c r="AD27" s="263">
        <v>0</v>
      </c>
      <c r="AE27" s="263">
        <v>0</v>
      </c>
      <c r="AF27" s="263">
        <v>0</v>
      </c>
      <c r="AG27" s="263">
        <v>0</v>
      </c>
      <c r="AH27" s="263">
        <v>0</v>
      </c>
    </row>
    <row r="28" spans="1:34">
      <c r="A28" s="535"/>
      <c r="B28" s="429" t="s">
        <v>296</v>
      </c>
      <c r="C28" s="430">
        <v>6.8259385665529011E-3</v>
      </c>
      <c r="D28" s="260" t="s">
        <v>237</v>
      </c>
      <c r="E28" s="260" t="s">
        <v>237</v>
      </c>
      <c r="F28" s="260">
        <v>0</v>
      </c>
      <c r="G28" s="260">
        <v>0</v>
      </c>
      <c r="H28" s="260">
        <v>0</v>
      </c>
      <c r="I28" s="260">
        <v>0</v>
      </c>
      <c r="J28" s="260">
        <v>0</v>
      </c>
      <c r="K28" s="260">
        <v>0</v>
      </c>
      <c r="L28" s="260">
        <v>0</v>
      </c>
      <c r="M28" s="260">
        <v>0</v>
      </c>
      <c r="N28" s="260">
        <v>0</v>
      </c>
      <c r="O28" s="260">
        <v>0</v>
      </c>
      <c r="P28" s="260">
        <v>0</v>
      </c>
      <c r="Q28" s="260">
        <v>0</v>
      </c>
      <c r="R28" s="260">
        <v>0</v>
      </c>
      <c r="S28" s="260">
        <v>0</v>
      </c>
      <c r="T28" s="260">
        <v>7.1428571428571425E-2</v>
      </c>
      <c r="U28" s="260">
        <v>0</v>
      </c>
      <c r="V28" s="260">
        <v>0</v>
      </c>
      <c r="W28" s="260">
        <v>0</v>
      </c>
      <c r="X28" s="260">
        <v>5.8823529411764712E-2</v>
      </c>
      <c r="Y28" s="260">
        <v>0</v>
      </c>
      <c r="Z28" s="260">
        <v>0</v>
      </c>
      <c r="AA28" s="260">
        <v>0</v>
      </c>
      <c r="AB28" s="260">
        <v>0</v>
      </c>
      <c r="AC28" s="260">
        <v>0</v>
      </c>
      <c r="AD28" s="260">
        <v>0</v>
      </c>
      <c r="AE28" s="260">
        <v>0</v>
      </c>
      <c r="AF28" s="260">
        <v>0</v>
      </c>
      <c r="AG28" s="260">
        <v>0</v>
      </c>
      <c r="AH28" s="260">
        <v>0</v>
      </c>
    </row>
    <row r="29" spans="1:34">
      <c r="A29" s="535"/>
      <c r="B29" s="427" t="s">
        <v>305</v>
      </c>
      <c r="C29" s="428">
        <v>4.2857142857142858E-2</v>
      </c>
      <c r="D29" s="263">
        <v>0</v>
      </c>
      <c r="E29" s="263">
        <v>0</v>
      </c>
      <c r="F29" s="263">
        <v>0</v>
      </c>
      <c r="G29" s="263">
        <v>0</v>
      </c>
      <c r="H29" s="263">
        <v>0</v>
      </c>
      <c r="I29" s="263">
        <v>0</v>
      </c>
      <c r="J29" s="263">
        <v>0</v>
      </c>
      <c r="K29" s="263">
        <v>0</v>
      </c>
      <c r="L29" s="263">
        <v>0</v>
      </c>
      <c r="M29" s="263">
        <v>0</v>
      </c>
      <c r="N29" s="263">
        <v>0</v>
      </c>
      <c r="O29" s="263">
        <v>0</v>
      </c>
      <c r="P29" s="263">
        <v>0</v>
      </c>
      <c r="Q29" s="263">
        <v>0</v>
      </c>
      <c r="R29" s="263">
        <v>0</v>
      </c>
      <c r="S29" s="263">
        <v>0</v>
      </c>
      <c r="T29" s="263" t="s">
        <v>237</v>
      </c>
      <c r="U29" s="263">
        <v>0</v>
      </c>
      <c r="V29" s="263">
        <v>0</v>
      </c>
      <c r="W29" s="263">
        <v>0</v>
      </c>
      <c r="X29" s="263">
        <v>0.5</v>
      </c>
      <c r="Y29" s="263">
        <v>0</v>
      </c>
      <c r="Z29" s="263">
        <v>0</v>
      </c>
      <c r="AA29" s="263">
        <v>0</v>
      </c>
      <c r="AB29" s="263">
        <v>6.6666666666666666E-2</v>
      </c>
      <c r="AC29" s="263">
        <v>6.6666666666666666E-2</v>
      </c>
      <c r="AD29" s="263">
        <v>0.1333333333333333</v>
      </c>
      <c r="AE29" s="263">
        <v>5.5555555555555552E-2</v>
      </c>
      <c r="AF29" s="263">
        <v>0.1111111111111111</v>
      </c>
      <c r="AG29" s="263">
        <v>0</v>
      </c>
      <c r="AH29" s="263">
        <v>4.7619047619047623E-2</v>
      </c>
    </row>
    <row r="30" spans="1:34">
      <c r="A30" s="535"/>
      <c r="B30" s="429" t="s">
        <v>307</v>
      </c>
      <c r="C30" s="430">
        <v>1.973684210526316E-2</v>
      </c>
      <c r="D30" s="260">
        <v>0</v>
      </c>
      <c r="E30" s="260">
        <v>0</v>
      </c>
      <c r="F30" s="260">
        <v>0</v>
      </c>
      <c r="G30" s="260">
        <v>0</v>
      </c>
      <c r="H30" s="260" t="s">
        <v>237</v>
      </c>
      <c r="I30" s="260" t="s">
        <v>237</v>
      </c>
      <c r="J30" s="260" t="s">
        <v>237</v>
      </c>
      <c r="K30" s="260">
        <v>0</v>
      </c>
      <c r="L30" s="260">
        <v>0</v>
      </c>
      <c r="M30" s="260">
        <v>0.16666666666666671</v>
      </c>
      <c r="N30" s="260">
        <v>0.2</v>
      </c>
      <c r="O30" s="260">
        <v>0</v>
      </c>
      <c r="P30" s="260">
        <v>0</v>
      </c>
      <c r="Q30" s="260">
        <v>0</v>
      </c>
      <c r="R30" s="260">
        <v>0</v>
      </c>
      <c r="S30" s="260">
        <v>5.2631578947368418E-2</v>
      </c>
      <c r="T30" s="260">
        <v>0</v>
      </c>
      <c r="U30" s="260">
        <v>0</v>
      </c>
      <c r="V30" s="260">
        <v>0</v>
      </c>
      <c r="W30" s="260">
        <v>0</v>
      </c>
      <c r="X30" s="260">
        <v>0</v>
      </c>
      <c r="Y30" s="260">
        <v>0</v>
      </c>
      <c r="Z30" s="260">
        <v>3.2258064516129031E-2</v>
      </c>
      <c r="AA30" s="260">
        <v>5.8823529411764712E-2</v>
      </c>
      <c r="AB30" s="260">
        <v>6.0606060606060608E-2</v>
      </c>
      <c r="AC30" s="260">
        <v>0</v>
      </c>
      <c r="AD30" s="260">
        <v>0</v>
      </c>
      <c r="AE30" s="260">
        <v>0</v>
      </c>
      <c r="AF30" s="260">
        <v>0</v>
      </c>
      <c r="AG30" s="260">
        <v>0.05</v>
      </c>
      <c r="AH30" s="260">
        <v>0</v>
      </c>
    </row>
    <row r="31" spans="1:34">
      <c r="A31" s="535"/>
      <c r="B31" s="427" t="s">
        <v>308</v>
      </c>
      <c r="C31" s="428">
        <v>0.01</v>
      </c>
      <c r="D31" s="263" t="s">
        <v>237</v>
      </c>
      <c r="E31" s="263" t="s">
        <v>237</v>
      </c>
      <c r="F31" s="263" t="s">
        <v>237</v>
      </c>
      <c r="G31" s="263" t="s">
        <v>237</v>
      </c>
      <c r="H31" s="263" t="s">
        <v>237</v>
      </c>
      <c r="I31" s="263" t="s">
        <v>237</v>
      </c>
      <c r="J31" s="263">
        <v>0</v>
      </c>
      <c r="K31" s="263">
        <v>0</v>
      </c>
      <c r="L31" s="263">
        <v>0</v>
      </c>
      <c r="M31" s="263">
        <v>0</v>
      </c>
      <c r="N31" s="263">
        <v>0</v>
      </c>
      <c r="O31" s="263">
        <v>0</v>
      </c>
      <c r="P31" s="263">
        <v>0</v>
      </c>
      <c r="Q31" s="263">
        <v>0</v>
      </c>
      <c r="R31" s="263">
        <v>0</v>
      </c>
      <c r="S31" s="263">
        <v>0.16666666666666671</v>
      </c>
      <c r="T31" s="263">
        <v>0</v>
      </c>
      <c r="U31" s="263">
        <v>0</v>
      </c>
      <c r="V31" s="263">
        <v>0</v>
      </c>
      <c r="W31" s="263">
        <v>0</v>
      </c>
      <c r="X31" s="263">
        <v>0</v>
      </c>
      <c r="Y31" s="263">
        <v>0</v>
      </c>
      <c r="Z31" s="263">
        <v>0</v>
      </c>
      <c r="AA31" s="263">
        <v>0</v>
      </c>
      <c r="AB31" s="263">
        <v>0</v>
      </c>
      <c r="AC31" s="263">
        <v>0</v>
      </c>
      <c r="AD31" s="263">
        <v>0</v>
      </c>
      <c r="AE31" s="263">
        <v>0</v>
      </c>
      <c r="AF31" s="263">
        <v>0</v>
      </c>
      <c r="AG31" s="263">
        <v>6.6666666666666666E-2</v>
      </c>
      <c r="AH31" s="263">
        <v>0</v>
      </c>
    </row>
    <row r="32" spans="1:34">
      <c r="A32" s="535"/>
      <c r="B32" s="429" t="s">
        <v>310</v>
      </c>
      <c r="C32" s="430">
        <v>1.8404907975460121E-2</v>
      </c>
      <c r="D32" s="260" t="s">
        <v>237</v>
      </c>
      <c r="E32" s="260" t="s">
        <v>237</v>
      </c>
      <c r="F32" s="260" t="s">
        <v>237</v>
      </c>
      <c r="G32" s="260" t="s">
        <v>237</v>
      </c>
      <c r="H32" s="260" t="s">
        <v>237</v>
      </c>
      <c r="I32" s="260" t="s">
        <v>237</v>
      </c>
      <c r="J32" s="260" t="s">
        <v>237</v>
      </c>
      <c r="K32" s="260" t="s">
        <v>237</v>
      </c>
      <c r="L32" s="260" t="s">
        <v>237</v>
      </c>
      <c r="M32" s="260" t="s">
        <v>237</v>
      </c>
      <c r="N32" s="260" t="s">
        <v>237</v>
      </c>
      <c r="O32" s="260">
        <v>0</v>
      </c>
      <c r="P32" s="260">
        <v>0</v>
      </c>
      <c r="Q32" s="260">
        <v>0</v>
      </c>
      <c r="R32" s="260">
        <v>0.125</v>
      </c>
      <c r="S32" s="260">
        <v>0</v>
      </c>
      <c r="T32" s="260">
        <v>0</v>
      </c>
      <c r="U32" s="260">
        <v>0</v>
      </c>
      <c r="V32" s="260">
        <v>0</v>
      </c>
      <c r="W32" s="260">
        <v>0</v>
      </c>
      <c r="X32" s="260">
        <v>0</v>
      </c>
      <c r="Y32" s="260">
        <v>0</v>
      </c>
      <c r="Z32" s="260">
        <v>0</v>
      </c>
      <c r="AA32" s="260">
        <v>0.08</v>
      </c>
      <c r="AB32" s="260">
        <v>4.7619047619047623E-2</v>
      </c>
      <c r="AC32" s="260">
        <v>0</v>
      </c>
      <c r="AD32" s="260">
        <v>0.1111111111111111</v>
      </c>
      <c r="AE32" s="260">
        <v>0</v>
      </c>
      <c r="AF32" s="260">
        <v>0</v>
      </c>
      <c r="AG32" s="260">
        <v>0</v>
      </c>
      <c r="AH32" s="260">
        <v>0</v>
      </c>
    </row>
    <row r="33" spans="1:34">
      <c r="A33" s="535"/>
      <c r="B33" s="427" t="s">
        <v>311</v>
      </c>
      <c r="C33" s="428">
        <v>0</v>
      </c>
      <c r="D33" s="263">
        <v>0</v>
      </c>
      <c r="E33" s="263">
        <v>0</v>
      </c>
      <c r="F33" s="263">
        <v>0</v>
      </c>
      <c r="G33" s="263">
        <v>0</v>
      </c>
      <c r="H33" s="263" t="s">
        <v>237</v>
      </c>
      <c r="I33" s="263">
        <v>0</v>
      </c>
      <c r="J33" s="263">
        <v>0</v>
      </c>
      <c r="K33" s="263">
        <v>0</v>
      </c>
      <c r="L33" s="263">
        <v>0</v>
      </c>
      <c r="M33" s="263">
        <v>0</v>
      </c>
      <c r="N33" s="263">
        <v>0</v>
      </c>
      <c r="O33" s="263">
        <v>0</v>
      </c>
      <c r="P33" s="263">
        <v>0</v>
      </c>
      <c r="Q33" s="263">
        <v>0</v>
      </c>
      <c r="R33" s="263">
        <v>0</v>
      </c>
      <c r="S33" s="263">
        <v>0</v>
      </c>
      <c r="T33" s="263">
        <v>0</v>
      </c>
      <c r="U33" s="263">
        <v>0</v>
      </c>
      <c r="V33" s="263">
        <v>0</v>
      </c>
      <c r="W33" s="263">
        <v>0</v>
      </c>
      <c r="X33" s="263">
        <v>0</v>
      </c>
      <c r="Y33" s="263">
        <v>0</v>
      </c>
      <c r="Z33" s="263">
        <v>0</v>
      </c>
      <c r="AA33" s="263">
        <v>0</v>
      </c>
      <c r="AB33" s="263">
        <v>0</v>
      </c>
      <c r="AC33" s="263">
        <v>0</v>
      </c>
      <c r="AD33" s="263">
        <v>0</v>
      </c>
      <c r="AE33" s="263">
        <v>0</v>
      </c>
      <c r="AF33" s="263">
        <v>0</v>
      </c>
      <c r="AG33" s="263">
        <v>0</v>
      </c>
      <c r="AH33" s="263">
        <v>0</v>
      </c>
    </row>
    <row r="34" spans="1:34">
      <c r="A34" s="535"/>
      <c r="B34" s="429" t="s">
        <v>312</v>
      </c>
      <c r="C34" s="430">
        <v>5.1282051282051282E-3</v>
      </c>
      <c r="D34" s="260">
        <v>0</v>
      </c>
      <c r="E34" s="260">
        <v>0</v>
      </c>
      <c r="F34" s="260">
        <v>0</v>
      </c>
      <c r="G34" s="260">
        <v>0</v>
      </c>
      <c r="H34" s="260">
        <v>0</v>
      </c>
      <c r="I34" s="260">
        <v>0</v>
      </c>
      <c r="J34" s="260">
        <v>0</v>
      </c>
      <c r="K34" s="260">
        <v>0.33333333333333331</v>
      </c>
      <c r="L34" s="260">
        <v>0</v>
      </c>
      <c r="M34" s="260">
        <v>0</v>
      </c>
      <c r="N34" s="260" t="s">
        <v>237</v>
      </c>
      <c r="O34" s="260">
        <v>0</v>
      </c>
      <c r="P34" s="260">
        <v>0</v>
      </c>
      <c r="Q34" s="260">
        <v>0</v>
      </c>
      <c r="R34" s="260">
        <v>0</v>
      </c>
      <c r="S34" s="260">
        <v>0</v>
      </c>
      <c r="T34" s="260">
        <v>0</v>
      </c>
      <c r="U34" s="260">
        <v>0</v>
      </c>
      <c r="V34" s="260">
        <v>0</v>
      </c>
      <c r="W34" s="260">
        <v>0</v>
      </c>
      <c r="X34" s="260">
        <v>0</v>
      </c>
      <c r="Y34" s="260">
        <v>0</v>
      </c>
      <c r="Z34" s="260">
        <v>0</v>
      </c>
      <c r="AA34" s="260">
        <v>0</v>
      </c>
      <c r="AB34" s="260">
        <v>0</v>
      </c>
      <c r="AC34" s="260">
        <v>0</v>
      </c>
      <c r="AD34" s="260">
        <v>0</v>
      </c>
      <c r="AE34" s="260">
        <v>0</v>
      </c>
      <c r="AF34" s="260">
        <v>0</v>
      </c>
      <c r="AG34" s="260">
        <v>0</v>
      </c>
      <c r="AH34" s="260">
        <v>0</v>
      </c>
    </row>
    <row r="35" spans="1:34">
      <c r="A35" s="535"/>
      <c r="B35" s="427" t="s">
        <v>314</v>
      </c>
      <c r="C35" s="428">
        <v>6.25E-2</v>
      </c>
      <c r="D35" s="263">
        <v>0</v>
      </c>
      <c r="E35" s="263">
        <v>0</v>
      </c>
      <c r="F35" s="263">
        <v>0</v>
      </c>
      <c r="G35" s="263">
        <v>0</v>
      </c>
      <c r="H35" s="263">
        <v>0.14285714285714279</v>
      </c>
      <c r="I35" s="263">
        <v>0</v>
      </c>
      <c r="J35" s="263">
        <v>0</v>
      </c>
      <c r="K35" s="263">
        <v>0</v>
      </c>
      <c r="L35" s="263">
        <v>8.3333333333333329E-2</v>
      </c>
      <c r="M35" s="263">
        <v>0.125</v>
      </c>
      <c r="N35" s="263">
        <v>0.66666666666666663</v>
      </c>
      <c r="O35" s="263" t="s">
        <v>237</v>
      </c>
      <c r="P35" s="263">
        <v>0</v>
      </c>
      <c r="Q35" s="263">
        <v>0</v>
      </c>
      <c r="R35" s="263">
        <v>0.33333333333333331</v>
      </c>
      <c r="S35" s="263">
        <v>0.5</v>
      </c>
      <c r="T35" s="263">
        <v>0</v>
      </c>
      <c r="U35" s="263">
        <v>0</v>
      </c>
      <c r="V35" s="263">
        <v>0</v>
      </c>
      <c r="W35" s="263">
        <v>0</v>
      </c>
      <c r="X35" s="263">
        <v>0</v>
      </c>
      <c r="Y35" s="263" t="s">
        <v>237</v>
      </c>
      <c r="Z35" s="263">
        <v>0</v>
      </c>
      <c r="AA35" s="263">
        <v>0</v>
      </c>
      <c r="AB35" s="263">
        <v>0</v>
      </c>
      <c r="AC35" s="263">
        <v>0.25</v>
      </c>
      <c r="AD35" s="263">
        <v>0</v>
      </c>
      <c r="AE35" s="263">
        <v>0</v>
      </c>
      <c r="AF35" s="263">
        <v>0</v>
      </c>
      <c r="AG35" s="263">
        <v>0</v>
      </c>
      <c r="AH35" s="263">
        <v>0</v>
      </c>
    </row>
    <row r="36" spans="1:34">
      <c r="A36" s="535"/>
      <c r="B36" s="429" t="s">
        <v>315</v>
      </c>
      <c r="C36" s="430">
        <v>0</v>
      </c>
      <c r="D36" s="260">
        <v>0</v>
      </c>
      <c r="E36" s="260">
        <v>0</v>
      </c>
      <c r="F36" s="260">
        <v>0</v>
      </c>
      <c r="G36" s="260">
        <v>0</v>
      </c>
      <c r="H36" s="260" t="s">
        <v>237</v>
      </c>
      <c r="I36" s="260">
        <v>0</v>
      </c>
      <c r="J36" s="260">
        <v>0</v>
      </c>
      <c r="K36" s="260">
        <v>0</v>
      </c>
      <c r="L36" s="260">
        <v>0</v>
      </c>
      <c r="M36" s="260">
        <v>0</v>
      </c>
      <c r="N36" s="260">
        <v>0</v>
      </c>
      <c r="O36" s="260">
        <v>0</v>
      </c>
      <c r="P36" s="260">
        <v>0</v>
      </c>
      <c r="Q36" s="260">
        <v>0</v>
      </c>
      <c r="R36" s="260">
        <v>0</v>
      </c>
      <c r="S36" s="260">
        <v>0</v>
      </c>
      <c r="T36" s="260">
        <v>0</v>
      </c>
      <c r="U36" s="260">
        <v>0</v>
      </c>
      <c r="V36" s="260">
        <v>0</v>
      </c>
      <c r="W36" s="260">
        <v>0</v>
      </c>
      <c r="X36" s="260">
        <v>0</v>
      </c>
      <c r="Y36" s="260">
        <v>0</v>
      </c>
      <c r="Z36" s="260">
        <v>0</v>
      </c>
      <c r="AA36" s="260">
        <v>0</v>
      </c>
      <c r="AB36" s="260">
        <v>0</v>
      </c>
      <c r="AC36" s="260">
        <v>0</v>
      </c>
      <c r="AD36" s="260">
        <v>0</v>
      </c>
      <c r="AE36" s="260">
        <v>0</v>
      </c>
      <c r="AF36" s="260">
        <v>0</v>
      </c>
      <c r="AG36" s="260">
        <v>0</v>
      </c>
      <c r="AH36" s="260">
        <v>0</v>
      </c>
    </row>
    <row r="37" spans="1:34">
      <c r="A37" s="535"/>
      <c r="B37" s="427" t="s">
        <v>317</v>
      </c>
      <c r="C37" s="428">
        <v>0</v>
      </c>
      <c r="D37" s="263" t="s">
        <v>237</v>
      </c>
      <c r="E37" s="263" t="s">
        <v>237</v>
      </c>
      <c r="F37" s="263" t="s">
        <v>237</v>
      </c>
      <c r="G37" s="263" t="s">
        <v>237</v>
      </c>
      <c r="H37" s="263" t="s">
        <v>237</v>
      </c>
      <c r="I37" s="263" t="s">
        <v>237</v>
      </c>
      <c r="J37" s="263" t="s">
        <v>237</v>
      </c>
      <c r="K37" s="263" t="s">
        <v>237</v>
      </c>
      <c r="L37" s="263" t="s">
        <v>237</v>
      </c>
      <c r="M37" s="263" t="s">
        <v>237</v>
      </c>
      <c r="N37" s="263" t="s">
        <v>237</v>
      </c>
      <c r="O37" s="263" t="s">
        <v>237</v>
      </c>
      <c r="P37" s="263" t="s">
        <v>237</v>
      </c>
      <c r="Q37" s="263" t="s">
        <v>237</v>
      </c>
      <c r="R37" s="263" t="s">
        <v>237</v>
      </c>
      <c r="S37" s="263" t="s">
        <v>237</v>
      </c>
      <c r="T37" s="263" t="s">
        <v>237</v>
      </c>
      <c r="U37" s="263">
        <v>0</v>
      </c>
      <c r="V37" s="263">
        <v>0</v>
      </c>
      <c r="W37" s="263">
        <v>0</v>
      </c>
      <c r="X37" s="263">
        <v>0</v>
      </c>
      <c r="Y37" s="263">
        <v>0</v>
      </c>
      <c r="Z37" s="263">
        <v>0</v>
      </c>
      <c r="AA37" s="263">
        <v>0</v>
      </c>
      <c r="AB37" s="263">
        <v>0</v>
      </c>
      <c r="AC37" s="263">
        <v>0</v>
      </c>
      <c r="AD37" s="263">
        <v>0</v>
      </c>
      <c r="AE37" s="263">
        <v>0</v>
      </c>
      <c r="AF37" s="263">
        <v>0</v>
      </c>
      <c r="AG37" s="263">
        <v>0</v>
      </c>
      <c r="AH37" s="263">
        <v>0</v>
      </c>
    </row>
    <row r="38" spans="1:34">
      <c r="A38" s="535"/>
      <c r="B38" s="429" t="s">
        <v>318</v>
      </c>
      <c r="C38" s="430">
        <v>7.8431372549019607E-3</v>
      </c>
      <c r="D38" s="260" t="s">
        <v>237</v>
      </c>
      <c r="E38" s="260" t="s">
        <v>237</v>
      </c>
      <c r="F38" s="260">
        <v>0</v>
      </c>
      <c r="G38" s="260">
        <v>0</v>
      </c>
      <c r="H38" s="260">
        <v>0</v>
      </c>
      <c r="I38" s="260">
        <v>0</v>
      </c>
      <c r="J38" s="260">
        <v>0</v>
      </c>
      <c r="K38" s="260">
        <v>0</v>
      </c>
      <c r="L38" s="260">
        <v>0</v>
      </c>
      <c r="M38" s="260">
        <v>0</v>
      </c>
      <c r="N38" s="260">
        <v>0.1111111111111111</v>
      </c>
      <c r="O38" s="260">
        <v>0</v>
      </c>
      <c r="P38" s="260">
        <v>0</v>
      </c>
      <c r="Q38" s="260">
        <v>0</v>
      </c>
      <c r="R38" s="260">
        <v>0</v>
      </c>
      <c r="S38" s="260">
        <v>0</v>
      </c>
      <c r="T38" s="260">
        <v>0</v>
      </c>
      <c r="U38" s="260">
        <v>0</v>
      </c>
      <c r="V38" s="260">
        <v>0</v>
      </c>
      <c r="W38" s="260">
        <v>0</v>
      </c>
      <c r="X38" s="260">
        <v>0</v>
      </c>
      <c r="Y38" s="260">
        <v>0</v>
      </c>
      <c r="Z38" s="260">
        <v>0</v>
      </c>
      <c r="AA38" s="260">
        <v>0</v>
      </c>
      <c r="AB38" s="260">
        <v>0</v>
      </c>
      <c r="AC38" s="260">
        <v>0</v>
      </c>
      <c r="AD38" s="260">
        <v>0</v>
      </c>
      <c r="AE38" s="260">
        <v>0</v>
      </c>
      <c r="AF38" s="260">
        <v>0</v>
      </c>
      <c r="AG38" s="260">
        <v>7.6923076923076927E-2</v>
      </c>
      <c r="AH38" s="260">
        <v>0</v>
      </c>
    </row>
    <row r="39" spans="1:34">
      <c r="A39" s="535"/>
      <c r="B39" s="427" t="s">
        <v>319</v>
      </c>
      <c r="C39" s="428">
        <v>4.608294930875576E-3</v>
      </c>
      <c r="D39" s="263" t="s">
        <v>237</v>
      </c>
      <c r="E39" s="263">
        <v>0</v>
      </c>
      <c r="F39" s="263">
        <v>0</v>
      </c>
      <c r="G39" s="263">
        <v>0</v>
      </c>
      <c r="H39" s="263">
        <v>0</v>
      </c>
      <c r="I39" s="263">
        <v>0.2</v>
      </c>
      <c r="J39" s="263">
        <v>0</v>
      </c>
      <c r="K39" s="263">
        <v>0</v>
      </c>
      <c r="L39" s="263">
        <v>0</v>
      </c>
      <c r="M39" s="263">
        <v>0</v>
      </c>
      <c r="N39" s="263">
        <v>0</v>
      </c>
      <c r="O39" s="263">
        <v>0</v>
      </c>
      <c r="P39" s="263">
        <v>0</v>
      </c>
      <c r="Q39" s="263">
        <v>0</v>
      </c>
      <c r="R39" s="263">
        <v>0</v>
      </c>
      <c r="S39" s="263">
        <v>0</v>
      </c>
      <c r="T39" s="263">
        <v>0</v>
      </c>
      <c r="U39" s="263">
        <v>0</v>
      </c>
      <c r="V39" s="263">
        <v>4.5454545454545463E-2</v>
      </c>
      <c r="W39" s="263">
        <v>0</v>
      </c>
      <c r="X39" s="263">
        <v>0</v>
      </c>
      <c r="Y39" s="263">
        <v>0</v>
      </c>
      <c r="Z39" s="263">
        <v>0</v>
      </c>
      <c r="AA39" s="263">
        <v>0</v>
      </c>
      <c r="AB39" s="263">
        <v>0</v>
      </c>
      <c r="AC39" s="263">
        <v>0</v>
      </c>
      <c r="AD39" s="263">
        <v>0</v>
      </c>
      <c r="AE39" s="263">
        <v>0</v>
      </c>
      <c r="AF39" s="263">
        <v>0</v>
      </c>
      <c r="AG39" s="263">
        <v>0</v>
      </c>
      <c r="AH39" s="263">
        <v>0</v>
      </c>
    </row>
    <row r="40" spans="1:34">
      <c r="A40" s="535"/>
      <c r="B40" s="429" t="s">
        <v>320</v>
      </c>
      <c r="C40" s="430">
        <v>2.049180327868853E-3</v>
      </c>
      <c r="D40" s="260" t="s">
        <v>237</v>
      </c>
      <c r="E40" s="260" t="s">
        <v>237</v>
      </c>
      <c r="F40" s="260" t="s">
        <v>237</v>
      </c>
      <c r="G40" s="260" t="s">
        <v>237</v>
      </c>
      <c r="H40" s="260" t="s">
        <v>237</v>
      </c>
      <c r="I40" s="260" t="s">
        <v>237</v>
      </c>
      <c r="J40" s="260" t="s">
        <v>237</v>
      </c>
      <c r="K40" s="260" t="s">
        <v>237</v>
      </c>
      <c r="L40" s="260">
        <v>0</v>
      </c>
      <c r="M40" s="260">
        <v>0</v>
      </c>
      <c r="N40" s="260">
        <v>0</v>
      </c>
      <c r="O40" s="260">
        <v>0</v>
      </c>
      <c r="P40" s="260">
        <v>0</v>
      </c>
      <c r="Q40" s="260">
        <v>0</v>
      </c>
      <c r="R40" s="260">
        <v>0</v>
      </c>
      <c r="S40" s="260">
        <v>0</v>
      </c>
      <c r="T40" s="260">
        <v>0</v>
      </c>
      <c r="U40" s="260">
        <v>0</v>
      </c>
      <c r="V40" s="260">
        <v>0</v>
      </c>
      <c r="W40" s="260">
        <v>0</v>
      </c>
      <c r="X40" s="260">
        <v>0</v>
      </c>
      <c r="Y40" s="260">
        <v>3.2258064516129031E-2</v>
      </c>
      <c r="Z40" s="260">
        <v>0</v>
      </c>
      <c r="AA40" s="260">
        <v>0</v>
      </c>
      <c r="AB40" s="260">
        <v>0</v>
      </c>
      <c r="AC40" s="260">
        <v>0</v>
      </c>
      <c r="AD40" s="260">
        <v>0</v>
      </c>
      <c r="AE40" s="260">
        <v>0</v>
      </c>
      <c r="AF40" s="260">
        <v>0</v>
      </c>
      <c r="AG40" s="260">
        <v>0</v>
      </c>
      <c r="AH40" s="260">
        <v>0</v>
      </c>
    </row>
    <row r="41" spans="1:34">
      <c r="A41" s="535"/>
      <c r="B41" s="427" t="s">
        <v>321</v>
      </c>
      <c r="C41" s="428">
        <v>2.0665901262916189E-2</v>
      </c>
      <c r="D41" s="263" t="s">
        <v>237</v>
      </c>
      <c r="E41" s="263">
        <v>0</v>
      </c>
      <c r="F41" s="263">
        <v>0</v>
      </c>
      <c r="G41" s="263">
        <v>0</v>
      </c>
      <c r="H41" s="263">
        <v>0.16666666666666671</v>
      </c>
      <c r="I41" s="263">
        <v>0.23076923076923081</v>
      </c>
      <c r="J41" s="263">
        <v>0</v>
      </c>
      <c r="K41" s="263">
        <v>0</v>
      </c>
      <c r="L41" s="263">
        <v>0</v>
      </c>
      <c r="M41" s="263">
        <v>0</v>
      </c>
      <c r="N41" s="263">
        <v>0</v>
      </c>
      <c r="O41" s="263">
        <v>0</v>
      </c>
      <c r="P41" s="263">
        <v>0</v>
      </c>
      <c r="Q41" s="263">
        <v>0</v>
      </c>
      <c r="R41" s="263">
        <v>0</v>
      </c>
      <c r="S41" s="263">
        <v>1.492537313432836E-2</v>
      </c>
      <c r="T41" s="263">
        <v>1.6949152542372881E-2</v>
      </c>
      <c r="U41" s="263">
        <v>3.5087719298245612E-2</v>
      </c>
      <c r="V41" s="263">
        <v>1.6949152542372881E-2</v>
      </c>
      <c r="W41" s="263">
        <v>0</v>
      </c>
      <c r="X41" s="263">
        <v>7.407407407407407E-2</v>
      </c>
      <c r="Y41" s="263">
        <v>2.0833333333333329E-2</v>
      </c>
      <c r="Z41" s="263">
        <v>2.9411764705882349E-2</v>
      </c>
      <c r="AA41" s="263">
        <v>4.1666666666666657E-2</v>
      </c>
      <c r="AB41" s="263">
        <v>0</v>
      </c>
      <c r="AC41" s="263">
        <v>0</v>
      </c>
      <c r="AD41" s="263">
        <v>0</v>
      </c>
      <c r="AE41" s="263">
        <v>0</v>
      </c>
      <c r="AF41" s="263">
        <v>0</v>
      </c>
      <c r="AG41" s="263">
        <v>0</v>
      </c>
      <c r="AH41" s="263">
        <v>0.5</v>
      </c>
    </row>
    <row r="42" spans="1:34">
      <c r="A42" s="535"/>
      <c r="B42" s="429" t="s">
        <v>325</v>
      </c>
      <c r="C42" s="430">
        <v>8.0246913580246909E-2</v>
      </c>
      <c r="D42" s="260">
        <v>0</v>
      </c>
      <c r="E42" s="260">
        <v>0</v>
      </c>
      <c r="F42" s="260">
        <v>0</v>
      </c>
      <c r="G42" s="260">
        <v>0</v>
      </c>
      <c r="H42" s="260">
        <v>0.5</v>
      </c>
      <c r="I42" s="260">
        <v>0</v>
      </c>
      <c r="J42" s="260">
        <v>0</v>
      </c>
      <c r="K42" s="260">
        <v>0</v>
      </c>
      <c r="L42" s="260">
        <v>0</v>
      </c>
      <c r="M42" s="260">
        <v>0</v>
      </c>
      <c r="N42" s="260">
        <v>0</v>
      </c>
      <c r="O42" s="260">
        <v>0</v>
      </c>
      <c r="P42" s="260">
        <v>0.2</v>
      </c>
      <c r="Q42" s="260">
        <v>0</v>
      </c>
      <c r="R42" s="260">
        <v>0.42857142857142849</v>
      </c>
      <c r="S42" s="260">
        <v>0.25</v>
      </c>
      <c r="T42" s="260">
        <v>0</v>
      </c>
      <c r="U42" s="260">
        <v>0.16666666666666671</v>
      </c>
      <c r="V42" s="260">
        <v>0</v>
      </c>
      <c r="W42" s="260">
        <v>0</v>
      </c>
      <c r="X42" s="260">
        <v>0.2</v>
      </c>
      <c r="Y42" s="260">
        <v>0</v>
      </c>
      <c r="Z42" s="260">
        <v>0</v>
      </c>
      <c r="AA42" s="260">
        <v>0</v>
      </c>
      <c r="AB42" s="260">
        <v>0</v>
      </c>
      <c r="AC42" s="260">
        <v>0</v>
      </c>
      <c r="AD42" s="260">
        <v>0.1</v>
      </c>
      <c r="AE42" s="260">
        <v>0.125</v>
      </c>
      <c r="AF42" s="260">
        <v>0</v>
      </c>
      <c r="AG42" s="260">
        <v>0.2</v>
      </c>
      <c r="AH42" s="260">
        <v>0.1</v>
      </c>
    </row>
    <row r="43" spans="1:34">
      <c r="A43" s="535"/>
      <c r="B43" s="427" t="s">
        <v>326</v>
      </c>
      <c r="C43" s="428">
        <v>0</v>
      </c>
      <c r="D43" s="263" t="s">
        <v>237</v>
      </c>
      <c r="E43" s="263" t="s">
        <v>237</v>
      </c>
      <c r="F43" s="263" t="s">
        <v>237</v>
      </c>
      <c r="G43" s="263" t="s">
        <v>237</v>
      </c>
      <c r="H43" s="263" t="s">
        <v>237</v>
      </c>
      <c r="I43" s="263" t="s">
        <v>237</v>
      </c>
      <c r="J43" s="263">
        <v>0</v>
      </c>
      <c r="K43" s="263">
        <v>0</v>
      </c>
      <c r="L43" s="263">
        <v>0</v>
      </c>
      <c r="M43" s="263">
        <v>0</v>
      </c>
      <c r="N43" s="263">
        <v>0</v>
      </c>
      <c r="O43" s="263">
        <v>0</v>
      </c>
      <c r="P43" s="263">
        <v>0</v>
      </c>
      <c r="Q43" s="263">
        <v>0</v>
      </c>
      <c r="R43" s="263">
        <v>0</v>
      </c>
      <c r="S43" s="263">
        <v>0</v>
      </c>
      <c r="T43" s="263">
        <v>0</v>
      </c>
      <c r="U43" s="263">
        <v>0</v>
      </c>
      <c r="V43" s="263">
        <v>0</v>
      </c>
      <c r="W43" s="263">
        <v>0</v>
      </c>
      <c r="X43" s="263">
        <v>0</v>
      </c>
      <c r="Y43" s="263">
        <v>0</v>
      </c>
      <c r="Z43" s="263">
        <v>0</v>
      </c>
      <c r="AA43" s="263">
        <v>0</v>
      </c>
      <c r="AB43" s="263">
        <v>0</v>
      </c>
      <c r="AC43" s="263">
        <v>0</v>
      </c>
      <c r="AD43" s="263">
        <v>0</v>
      </c>
      <c r="AE43" s="263">
        <v>0</v>
      </c>
      <c r="AF43" s="263">
        <v>0</v>
      </c>
      <c r="AG43" s="263">
        <v>0</v>
      </c>
      <c r="AH43" s="263">
        <v>0</v>
      </c>
    </row>
    <row r="44" spans="1:34">
      <c r="A44" s="535"/>
      <c r="B44" s="429" t="s">
        <v>331</v>
      </c>
      <c r="C44" s="430">
        <v>1.1080332409972299E-2</v>
      </c>
      <c r="D44" s="260" t="s">
        <v>237</v>
      </c>
      <c r="E44" s="260" t="s">
        <v>237</v>
      </c>
      <c r="F44" s="260" t="s">
        <v>237</v>
      </c>
      <c r="G44" s="260" t="s">
        <v>237</v>
      </c>
      <c r="H44" s="260" t="s">
        <v>237</v>
      </c>
      <c r="I44" s="260">
        <v>0</v>
      </c>
      <c r="J44" s="260">
        <v>0</v>
      </c>
      <c r="K44" s="260">
        <v>1</v>
      </c>
      <c r="L44" s="260">
        <v>0</v>
      </c>
      <c r="M44" s="260">
        <v>0</v>
      </c>
      <c r="N44" s="260">
        <v>0</v>
      </c>
      <c r="O44" s="260">
        <v>0</v>
      </c>
      <c r="P44" s="260">
        <v>0</v>
      </c>
      <c r="Q44" s="260">
        <v>0</v>
      </c>
      <c r="R44" s="260">
        <v>0</v>
      </c>
      <c r="S44" s="260">
        <v>0</v>
      </c>
      <c r="T44" s="260">
        <v>0</v>
      </c>
      <c r="U44" s="260">
        <v>0</v>
      </c>
      <c r="V44" s="260">
        <v>0</v>
      </c>
      <c r="W44" s="260">
        <v>0</v>
      </c>
      <c r="X44" s="260">
        <v>0</v>
      </c>
      <c r="Y44" s="260">
        <v>0</v>
      </c>
      <c r="Z44" s="260">
        <v>0</v>
      </c>
      <c r="AA44" s="260">
        <v>0</v>
      </c>
      <c r="AB44" s="260">
        <v>0.05</v>
      </c>
      <c r="AC44" s="260">
        <v>4.7619047619047623E-2</v>
      </c>
      <c r="AD44" s="260">
        <v>4.7619047619047623E-2</v>
      </c>
      <c r="AE44" s="260">
        <v>0</v>
      </c>
      <c r="AF44" s="260">
        <v>0</v>
      </c>
      <c r="AG44" s="260">
        <v>0</v>
      </c>
      <c r="AH44" s="260">
        <v>0</v>
      </c>
    </row>
    <row r="45" spans="1:34">
      <c r="A45" s="535"/>
      <c r="B45" s="427" t="s">
        <v>332</v>
      </c>
      <c r="C45" s="428">
        <v>2.5284450063211132E-3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X45" s="263">
        <v>0</v>
      </c>
      <c r="Y45" s="263">
        <v>0</v>
      </c>
      <c r="Z45" s="263">
        <v>0</v>
      </c>
      <c r="AA45" s="263">
        <v>0</v>
      </c>
      <c r="AB45" s="263">
        <v>0</v>
      </c>
      <c r="AC45" s="263">
        <v>0</v>
      </c>
      <c r="AD45" s="263">
        <v>4.7619047619047623E-2</v>
      </c>
      <c r="AE45" s="263">
        <v>0</v>
      </c>
      <c r="AF45" s="263">
        <v>0</v>
      </c>
      <c r="AG45" s="263">
        <v>0</v>
      </c>
      <c r="AH45" s="263">
        <v>0</v>
      </c>
    </row>
    <row r="46" spans="1:34">
      <c r="A46" s="535"/>
      <c r="B46" s="429" t="s">
        <v>334</v>
      </c>
      <c r="C46" s="430">
        <v>5.4054054054054057E-2</v>
      </c>
      <c r="D46" s="260">
        <v>0</v>
      </c>
      <c r="E46" s="260">
        <v>0</v>
      </c>
      <c r="F46" s="260">
        <v>0</v>
      </c>
      <c r="G46" s="260">
        <v>0.5</v>
      </c>
      <c r="H46" s="260">
        <v>0</v>
      </c>
      <c r="I46" s="260">
        <v>0</v>
      </c>
      <c r="J46" s="260">
        <v>1</v>
      </c>
      <c r="K46" s="260" t="s">
        <v>237</v>
      </c>
      <c r="L46" s="260" t="s">
        <v>237</v>
      </c>
      <c r="M46" s="260" t="s">
        <v>237</v>
      </c>
      <c r="N46" s="260">
        <v>0</v>
      </c>
      <c r="O46" s="260">
        <v>0</v>
      </c>
      <c r="P46" s="260">
        <v>0</v>
      </c>
      <c r="Q46" s="260">
        <v>0</v>
      </c>
      <c r="R46" s="260">
        <v>0</v>
      </c>
      <c r="S46" s="260">
        <v>0</v>
      </c>
      <c r="T46" s="260">
        <v>0</v>
      </c>
      <c r="U46" s="260">
        <v>0</v>
      </c>
      <c r="V46" s="260">
        <v>0</v>
      </c>
      <c r="W46" s="260">
        <v>0</v>
      </c>
      <c r="X46" s="260">
        <v>0</v>
      </c>
      <c r="Y46" s="260">
        <v>0</v>
      </c>
      <c r="Z46" s="260">
        <v>9.0909090909090912E-2</v>
      </c>
      <c r="AA46" s="260">
        <v>0</v>
      </c>
      <c r="AB46" s="260">
        <v>0</v>
      </c>
      <c r="AC46" s="260">
        <v>0.1333333333333333</v>
      </c>
      <c r="AD46" s="260">
        <v>0.16666666666666671</v>
      </c>
      <c r="AE46" s="260">
        <v>8.3333333333333329E-2</v>
      </c>
      <c r="AF46" s="260">
        <v>0</v>
      </c>
      <c r="AG46" s="260">
        <v>0</v>
      </c>
      <c r="AH46" s="260">
        <v>0</v>
      </c>
    </row>
    <row r="47" spans="1:34">
      <c r="A47" s="535"/>
      <c r="B47" s="427" t="s">
        <v>335</v>
      </c>
      <c r="C47" s="428">
        <v>3.6231884057971023E-2</v>
      </c>
      <c r="D47" s="263" t="s">
        <v>237</v>
      </c>
      <c r="E47" s="263" t="s">
        <v>237</v>
      </c>
      <c r="F47" s="263">
        <v>0</v>
      </c>
      <c r="G47" s="263">
        <v>0</v>
      </c>
      <c r="H47" s="263">
        <v>0</v>
      </c>
      <c r="I47" s="263">
        <v>0</v>
      </c>
      <c r="J47" s="263">
        <v>0</v>
      </c>
      <c r="K47" s="263">
        <v>0</v>
      </c>
      <c r="L47" s="263">
        <v>0</v>
      </c>
      <c r="M47" s="263">
        <v>0</v>
      </c>
      <c r="N47" s="263">
        <v>0</v>
      </c>
      <c r="O47" s="263">
        <v>0</v>
      </c>
      <c r="P47" s="263">
        <v>0</v>
      </c>
      <c r="Q47" s="263">
        <v>0</v>
      </c>
      <c r="R47" s="263">
        <v>5.8823529411764712E-2</v>
      </c>
      <c r="S47" s="263">
        <v>4.7619047619047623E-2</v>
      </c>
      <c r="T47" s="263">
        <v>0</v>
      </c>
      <c r="U47" s="263">
        <v>0</v>
      </c>
      <c r="V47" s="263">
        <v>0</v>
      </c>
      <c r="W47" s="263">
        <v>0.1176470588235294</v>
      </c>
      <c r="X47" s="263">
        <v>6.25E-2</v>
      </c>
      <c r="Y47" s="263">
        <v>0</v>
      </c>
      <c r="Z47" s="263">
        <v>0.1</v>
      </c>
      <c r="AA47" s="263">
        <v>0</v>
      </c>
      <c r="AB47" s="263">
        <v>0</v>
      </c>
      <c r="AC47" s="263">
        <v>0.2</v>
      </c>
      <c r="AD47" s="263">
        <v>0</v>
      </c>
      <c r="AE47" s="263">
        <v>0</v>
      </c>
      <c r="AF47" s="263">
        <v>0.14285714285714279</v>
      </c>
      <c r="AG47" s="263">
        <v>0</v>
      </c>
      <c r="AH47" s="263">
        <v>9.0909090909090912E-2</v>
      </c>
    </row>
    <row r="48" spans="1:34">
      <c r="A48" s="535"/>
      <c r="B48" s="429" t="s">
        <v>336</v>
      </c>
      <c r="C48" s="430">
        <v>2.298850574712644E-2</v>
      </c>
      <c r="D48" s="260">
        <v>0</v>
      </c>
      <c r="E48" s="260">
        <v>0</v>
      </c>
      <c r="F48" s="260">
        <v>0</v>
      </c>
      <c r="G48" s="260">
        <v>0</v>
      </c>
      <c r="H48" s="260">
        <v>0</v>
      </c>
      <c r="I48" s="260">
        <v>0</v>
      </c>
      <c r="J48" s="260">
        <v>0</v>
      </c>
      <c r="K48" s="260">
        <v>0</v>
      </c>
      <c r="L48" s="260">
        <v>0</v>
      </c>
      <c r="M48" s="260">
        <v>0</v>
      </c>
      <c r="N48" s="260">
        <v>0</v>
      </c>
      <c r="O48" s="260">
        <v>0</v>
      </c>
      <c r="P48" s="260">
        <v>0.33333333333333331</v>
      </c>
      <c r="Q48" s="260">
        <v>0</v>
      </c>
      <c r="R48" s="260">
        <v>0</v>
      </c>
      <c r="S48" s="260">
        <v>0</v>
      </c>
      <c r="T48" s="260">
        <v>0.14285714285714279</v>
      </c>
      <c r="U48" s="260">
        <v>0</v>
      </c>
      <c r="V48" s="260">
        <v>0</v>
      </c>
      <c r="W48" s="260">
        <v>0</v>
      </c>
      <c r="X48" s="260">
        <v>0</v>
      </c>
      <c r="Y48" s="260">
        <v>0</v>
      </c>
      <c r="Z48" s="260">
        <v>0</v>
      </c>
      <c r="AA48" s="260">
        <v>0.1818181818181818</v>
      </c>
      <c r="AB48" s="260">
        <v>0</v>
      </c>
      <c r="AC48" s="260">
        <v>0</v>
      </c>
      <c r="AD48" s="260">
        <v>0</v>
      </c>
      <c r="AE48" s="260">
        <v>0</v>
      </c>
      <c r="AF48" s="260">
        <v>0</v>
      </c>
      <c r="AG48" s="260">
        <v>0</v>
      </c>
      <c r="AH48" s="260">
        <v>0</v>
      </c>
    </row>
    <row r="49" spans="1:34">
      <c r="A49" s="535"/>
      <c r="B49" s="427" t="s">
        <v>338</v>
      </c>
      <c r="C49" s="428">
        <v>7.7519379844961239E-3</v>
      </c>
      <c r="D49" s="263" t="s">
        <v>237</v>
      </c>
      <c r="E49" s="263" t="s">
        <v>237</v>
      </c>
      <c r="F49" s="263" t="s">
        <v>237</v>
      </c>
      <c r="G49" s="263" t="s">
        <v>237</v>
      </c>
      <c r="H49" s="263" t="s">
        <v>237</v>
      </c>
      <c r="I49" s="263" t="s">
        <v>237</v>
      </c>
      <c r="J49" s="263" t="s">
        <v>237</v>
      </c>
      <c r="K49" s="263">
        <v>0</v>
      </c>
      <c r="L49" s="263">
        <v>0</v>
      </c>
      <c r="M49" s="263">
        <v>0</v>
      </c>
      <c r="N49" s="263">
        <v>0</v>
      </c>
      <c r="O49" s="263">
        <v>0</v>
      </c>
      <c r="P49" s="263">
        <v>0</v>
      </c>
      <c r="Q49" s="263">
        <v>0</v>
      </c>
      <c r="R49" s="263">
        <v>0</v>
      </c>
      <c r="S49" s="263">
        <v>0</v>
      </c>
      <c r="T49" s="263">
        <v>0</v>
      </c>
      <c r="U49" s="263">
        <v>0</v>
      </c>
      <c r="V49" s="263">
        <v>0</v>
      </c>
      <c r="W49" s="263">
        <v>0</v>
      </c>
      <c r="X49" s="263">
        <v>0</v>
      </c>
      <c r="Y49" s="263">
        <v>0</v>
      </c>
      <c r="Z49" s="263">
        <v>0</v>
      </c>
      <c r="AA49" s="263">
        <v>0</v>
      </c>
      <c r="AB49" s="263">
        <v>0</v>
      </c>
      <c r="AC49" s="263">
        <v>0</v>
      </c>
      <c r="AD49" s="263">
        <v>0</v>
      </c>
      <c r="AE49" s="263">
        <v>0</v>
      </c>
      <c r="AF49" s="263">
        <v>0</v>
      </c>
      <c r="AG49" s="263">
        <v>0</v>
      </c>
      <c r="AH49" s="263">
        <v>6.6666666666666666E-2</v>
      </c>
    </row>
    <row r="50" spans="1:34">
      <c r="A50" s="535"/>
      <c r="B50" s="429" t="s">
        <v>340</v>
      </c>
      <c r="C50" s="430">
        <v>8.130081300813009E-3</v>
      </c>
      <c r="D50" s="260" t="s">
        <v>237</v>
      </c>
      <c r="E50" s="260" t="s">
        <v>237</v>
      </c>
      <c r="F50" s="260" t="s">
        <v>237</v>
      </c>
      <c r="G50" s="260" t="s">
        <v>237</v>
      </c>
      <c r="H50" s="260" t="s">
        <v>237</v>
      </c>
      <c r="I50" s="260" t="s">
        <v>237</v>
      </c>
      <c r="J50" s="260" t="s">
        <v>237</v>
      </c>
      <c r="K50" s="260" t="s">
        <v>237</v>
      </c>
      <c r="L50" s="260" t="s">
        <v>237</v>
      </c>
      <c r="M50" s="260" t="s">
        <v>237</v>
      </c>
      <c r="N50" s="260" t="s">
        <v>237</v>
      </c>
      <c r="O50" s="260" t="s">
        <v>237</v>
      </c>
      <c r="P50" s="260" t="s">
        <v>237</v>
      </c>
      <c r="Q50" s="260">
        <v>0.5</v>
      </c>
      <c r="R50" s="260">
        <v>0</v>
      </c>
      <c r="S50" s="260">
        <v>0</v>
      </c>
      <c r="T50" s="260">
        <v>0</v>
      </c>
      <c r="U50" s="260">
        <v>0</v>
      </c>
      <c r="V50" s="260">
        <v>0</v>
      </c>
      <c r="W50" s="260">
        <v>0</v>
      </c>
      <c r="X50" s="260">
        <v>0</v>
      </c>
      <c r="Y50" s="260">
        <v>0</v>
      </c>
      <c r="Z50" s="260">
        <v>0</v>
      </c>
      <c r="AA50" s="260">
        <v>0</v>
      </c>
      <c r="AB50" s="260">
        <v>0</v>
      </c>
      <c r="AC50" s="260">
        <v>0</v>
      </c>
      <c r="AD50" s="260">
        <v>0</v>
      </c>
      <c r="AE50" s="260">
        <v>0</v>
      </c>
      <c r="AF50" s="260">
        <v>0</v>
      </c>
      <c r="AG50" s="260">
        <v>0</v>
      </c>
      <c r="AH50" s="260">
        <v>0</v>
      </c>
    </row>
    <row r="51" spans="1:34">
      <c r="A51" s="535"/>
      <c r="B51" s="427" t="s">
        <v>342</v>
      </c>
      <c r="C51" s="428">
        <v>1.6611295681063121E-2</v>
      </c>
      <c r="D51" s="263" t="s">
        <v>237</v>
      </c>
      <c r="E51" s="263" t="s">
        <v>237</v>
      </c>
      <c r="F51" s="263" t="s">
        <v>237</v>
      </c>
      <c r="G51" s="263" t="s">
        <v>237</v>
      </c>
      <c r="H51" s="263">
        <v>0</v>
      </c>
      <c r="I51" s="263">
        <v>0</v>
      </c>
      <c r="J51" s="263">
        <v>0</v>
      </c>
      <c r="K51" s="263">
        <v>0</v>
      </c>
      <c r="L51" s="263">
        <v>0</v>
      </c>
      <c r="M51" s="263">
        <v>0</v>
      </c>
      <c r="N51" s="263">
        <v>0</v>
      </c>
      <c r="O51" s="263">
        <v>0</v>
      </c>
      <c r="P51" s="263">
        <v>0.16666666666666671</v>
      </c>
      <c r="Q51" s="263">
        <v>0.2</v>
      </c>
      <c r="R51" s="263">
        <v>0</v>
      </c>
      <c r="S51" s="263">
        <v>0</v>
      </c>
      <c r="T51" s="263">
        <v>0</v>
      </c>
      <c r="U51" s="263">
        <v>0</v>
      </c>
      <c r="V51" s="263">
        <v>0</v>
      </c>
      <c r="W51" s="263">
        <v>0</v>
      </c>
      <c r="X51" s="263">
        <v>5.8823529411764712E-2</v>
      </c>
      <c r="Y51" s="263">
        <v>0</v>
      </c>
      <c r="Z51" s="263">
        <v>0</v>
      </c>
      <c r="AA51" s="263">
        <v>0</v>
      </c>
      <c r="AB51" s="263">
        <v>5.2631578947368418E-2</v>
      </c>
      <c r="AC51" s="263">
        <v>0</v>
      </c>
      <c r="AD51" s="263">
        <v>0</v>
      </c>
      <c r="AE51" s="263">
        <v>0</v>
      </c>
      <c r="AF51" s="263">
        <v>0</v>
      </c>
      <c r="AG51" s="263">
        <v>7.6923076923076927E-2</v>
      </c>
      <c r="AH51" s="263">
        <v>0</v>
      </c>
    </row>
    <row r="52" spans="1:34">
      <c r="A52" s="535"/>
      <c r="B52" s="429" t="s">
        <v>343</v>
      </c>
      <c r="C52" s="430">
        <v>5.3571428571428568E-2</v>
      </c>
      <c r="D52" s="260" t="s">
        <v>237</v>
      </c>
      <c r="E52" s="260">
        <v>0</v>
      </c>
      <c r="F52" s="260">
        <v>0.5</v>
      </c>
      <c r="G52" s="260">
        <v>0</v>
      </c>
      <c r="H52" s="260">
        <v>0</v>
      </c>
      <c r="I52" s="260">
        <v>0</v>
      </c>
      <c r="J52" s="260">
        <v>0</v>
      </c>
      <c r="K52" s="260">
        <v>0</v>
      </c>
      <c r="L52" s="260">
        <v>0</v>
      </c>
      <c r="M52" s="260">
        <v>0</v>
      </c>
      <c r="N52" s="260">
        <v>0</v>
      </c>
      <c r="O52" s="260">
        <v>0.6</v>
      </c>
      <c r="P52" s="260">
        <v>0</v>
      </c>
      <c r="Q52" s="260">
        <v>0</v>
      </c>
      <c r="R52" s="260">
        <v>0.2</v>
      </c>
      <c r="S52" s="260">
        <v>0</v>
      </c>
      <c r="T52" s="260">
        <v>0</v>
      </c>
      <c r="U52" s="260">
        <v>0</v>
      </c>
      <c r="V52" s="260">
        <v>9.0909090909090912E-2</v>
      </c>
      <c r="W52" s="260">
        <v>0</v>
      </c>
      <c r="X52" s="260">
        <v>0</v>
      </c>
      <c r="Y52" s="260">
        <v>0.14285714285714279</v>
      </c>
      <c r="Z52" s="260">
        <v>0</v>
      </c>
      <c r="AA52" s="260">
        <v>0.125</v>
      </c>
      <c r="AB52" s="260">
        <v>0</v>
      </c>
      <c r="AC52" s="260">
        <v>0</v>
      </c>
      <c r="AD52" s="260">
        <v>0.1111111111111111</v>
      </c>
      <c r="AE52" s="260">
        <v>0</v>
      </c>
      <c r="AF52" s="260">
        <v>0</v>
      </c>
      <c r="AG52" s="260">
        <v>0</v>
      </c>
      <c r="AH52" s="260">
        <v>0</v>
      </c>
    </row>
    <row r="54" spans="1:34">
      <c r="B54" s="236" t="s">
        <v>387</v>
      </c>
    </row>
    <row r="56" spans="1:34" ht="43.2">
      <c r="B56" s="424" t="s">
        <v>124</v>
      </c>
      <c r="C56" s="425" t="s">
        <v>14</v>
      </c>
      <c r="D56" s="426">
        <f>+D$4</f>
        <v>1994</v>
      </c>
      <c r="E56" s="426">
        <f t="shared" ref="E56:AH56" si="0">+E$4</f>
        <v>1995</v>
      </c>
      <c r="F56" s="426">
        <f t="shared" si="0"/>
        <v>1996</v>
      </c>
      <c r="G56" s="426">
        <f t="shared" si="0"/>
        <v>1997</v>
      </c>
      <c r="H56" s="426">
        <f t="shared" si="0"/>
        <v>1998</v>
      </c>
      <c r="I56" s="426">
        <f t="shared" si="0"/>
        <v>1999</v>
      </c>
      <c r="J56" s="426">
        <f t="shared" si="0"/>
        <v>2000</v>
      </c>
      <c r="K56" s="426">
        <f t="shared" si="0"/>
        <v>2001</v>
      </c>
      <c r="L56" s="426">
        <f t="shared" si="0"/>
        <v>2002</v>
      </c>
      <c r="M56" s="426">
        <f t="shared" si="0"/>
        <v>2003</v>
      </c>
      <c r="N56" s="426">
        <f t="shared" si="0"/>
        <v>2004</v>
      </c>
      <c r="O56" s="426">
        <f t="shared" si="0"/>
        <v>2005</v>
      </c>
      <c r="P56" s="426">
        <f t="shared" si="0"/>
        <v>2006</v>
      </c>
      <c r="Q56" s="426">
        <f t="shared" si="0"/>
        <v>2007</v>
      </c>
      <c r="R56" s="426">
        <f t="shared" si="0"/>
        <v>2008</v>
      </c>
      <c r="S56" s="426">
        <f t="shared" si="0"/>
        <v>2009</v>
      </c>
      <c r="T56" s="426">
        <f t="shared" si="0"/>
        <v>2010</v>
      </c>
      <c r="U56" s="426">
        <f t="shared" si="0"/>
        <v>2011</v>
      </c>
      <c r="V56" s="426">
        <f t="shared" si="0"/>
        <v>2012</v>
      </c>
      <c r="W56" s="426">
        <f t="shared" si="0"/>
        <v>2013</v>
      </c>
      <c r="X56" s="426">
        <f t="shared" si="0"/>
        <v>2014</v>
      </c>
      <c r="Y56" s="426">
        <f t="shared" si="0"/>
        <v>2015</v>
      </c>
      <c r="Z56" s="426">
        <f t="shared" si="0"/>
        <v>2016</v>
      </c>
      <c r="AA56" s="426">
        <f t="shared" si="0"/>
        <v>2017</v>
      </c>
      <c r="AB56" s="426">
        <f t="shared" si="0"/>
        <v>2018</v>
      </c>
      <c r="AC56" s="426">
        <f t="shared" si="0"/>
        <v>2019</v>
      </c>
      <c r="AD56" s="426">
        <f t="shared" si="0"/>
        <v>2020</v>
      </c>
      <c r="AE56" s="426">
        <f t="shared" si="0"/>
        <v>2021</v>
      </c>
      <c r="AF56" s="426">
        <f t="shared" si="0"/>
        <v>2022</v>
      </c>
      <c r="AG56" s="426">
        <f t="shared" si="0"/>
        <v>2023</v>
      </c>
      <c r="AH56" s="426">
        <f t="shared" si="0"/>
        <v>2024</v>
      </c>
    </row>
    <row r="57" spans="1:34">
      <c r="A57" s="535"/>
      <c r="B57" s="429" t="s">
        <v>253</v>
      </c>
      <c r="C57" s="430">
        <v>3.875968992248062E-2</v>
      </c>
      <c r="D57" s="260">
        <v>0</v>
      </c>
      <c r="E57" s="260">
        <v>0</v>
      </c>
      <c r="F57" s="260">
        <v>0</v>
      </c>
      <c r="G57" s="260">
        <v>0</v>
      </c>
      <c r="H57" s="260">
        <v>0.125</v>
      </c>
      <c r="I57" s="260">
        <v>0</v>
      </c>
      <c r="J57" s="260">
        <v>0</v>
      </c>
      <c r="K57" s="260">
        <v>0</v>
      </c>
      <c r="L57" s="260">
        <v>0.25</v>
      </c>
      <c r="M57" s="260">
        <v>0.5714285714285714</v>
      </c>
      <c r="N57" s="260">
        <v>0</v>
      </c>
      <c r="O57" s="260">
        <v>0.33333333333333331</v>
      </c>
      <c r="P57" s="260">
        <v>0</v>
      </c>
      <c r="Q57" s="260">
        <v>0</v>
      </c>
      <c r="R57" s="260">
        <v>0</v>
      </c>
      <c r="S57" s="260">
        <v>0</v>
      </c>
      <c r="T57" s="260">
        <v>0</v>
      </c>
      <c r="U57" s="260">
        <v>0</v>
      </c>
      <c r="V57" s="260">
        <v>0</v>
      </c>
      <c r="W57" s="260">
        <v>0</v>
      </c>
      <c r="X57" s="260">
        <v>0</v>
      </c>
      <c r="Y57" s="260">
        <v>0</v>
      </c>
      <c r="Z57" s="260">
        <v>0</v>
      </c>
      <c r="AA57" s="260">
        <v>0</v>
      </c>
      <c r="AB57" s="260">
        <v>0</v>
      </c>
      <c r="AC57" s="260">
        <v>5.8823529411764712E-2</v>
      </c>
      <c r="AD57" s="260">
        <v>0</v>
      </c>
      <c r="AE57" s="260">
        <v>0</v>
      </c>
      <c r="AF57" s="260">
        <v>0</v>
      </c>
      <c r="AG57" s="260">
        <v>0</v>
      </c>
      <c r="AH57" s="260">
        <v>0</v>
      </c>
    </row>
    <row r="58" spans="1:34">
      <c r="A58" s="535"/>
      <c r="B58" s="427" t="s">
        <v>261</v>
      </c>
      <c r="C58" s="428">
        <v>2.222222222222222E-2</v>
      </c>
      <c r="D58" s="263" t="s">
        <v>237</v>
      </c>
      <c r="E58" s="263" t="s">
        <v>237</v>
      </c>
      <c r="F58" s="263">
        <v>0</v>
      </c>
      <c r="G58" s="263">
        <v>0</v>
      </c>
      <c r="H58" s="263">
        <v>0</v>
      </c>
      <c r="I58" s="263">
        <v>0</v>
      </c>
      <c r="J58" s="263">
        <v>0</v>
      </c>
      <c r="K58" s="263">
        <v>0</v>
      </c>
      <c r="L58" s="263">
        <v>0</v>
      </c>
      <c r="M58" s="263">
        <v>6.6666666666666666E-2</v>
      </c>
      <c r="N58" s="263">
        <v>0</v>
      </c>
      <c r="O58" s="263">
        <v>0</v>
      </c>
      <c r="P58" s="263">
        <v>0</v>
      </c>
      <c r="Q58" s="263">
        <v>7.6923076923076927E-2</v>
      </c>
      <c r="R58" s="263">
        <v>0</v>
      </c>
      <c r="S58" s="263">
        <v>6.6666666666666666E-2</v>
      </c>
      <c r="T58" s="263">
        <v>0</v>
      </c>
      <c r="U58" s="263">
        <v>0</v>
      </c>
      <c r="V58" s="263">
        <v>0</v>
      </c>
      <c r="W58" s="263">
        <v>0</v>
      </c>
      <c r="X58" s="263">
        <v>8.3333333333333329E-2</v>
      </c>
      <c r="Y58" s="263">
        <v>5.8823529411764712E-2</v>
      </c>
      <c r="Z58" s="263">
        <v>0.1333333333333333</v>
      </c>
      <c r="AA58" s="263">
        <v>0</v>
      </c>
      <c r="AB58" s="263">
        <v>0</v>
      </c>
      <c r="AC58" s="263">
        <v>0</v>
      </c>
      <c r="AD58" s="263">
        <v>6.6666666666666666E-2</v>
      </c>
      <c r="AE58" s="263">
        <v>0</v>
      </c>
      <c r="AF58" s="263">
        <v>0</v>
      </c>
      <c r="AG58" s="263">
        <v>0</v>
      </c>
      <c r="AH58" s="263">
        <v>0</v>
      </c>
    </row>
    <row r="59" spans="1:34">
      <c r="A59" s="535"/>
      <c r="B59" s="429" t="s">
        <v>266</v>
      </c>
      <c r="C59" s="430">
        <v>8.8235294117647065E-2</v>
      </c>
      <c r="D59" s="260">
        <v>0</v>
      </c>
      <c r="E59" s="260">
        <v>0</v>
      </c>
      <c r="F59" s="260">
        <v>0</v>
      </c>
      <c r="G59" s="260">
        <v>0</v>
      </c>
      <c r="H59" s="260">
        <v>0</v>
      </c>
      <c r="I59" s="260">
        <v>0</v>
      </c>
      <c r="J59" s="260">
        <v>0</v>
      </c>
      <c r="K59" s="260">
        <v>0</v>
      </c>
      <c r="L59" s="260">
        <v>0.33333333333333331</v>
      </c>
      <c r="M59" s="260">
        <v>0</v>
      </c>
      <c r="N59" s="260">
        <v>0</v>
      </c>
      <c r="O59" s="260">
        <v>0</v>
      </c>
      <c r="P59" s="260">
        <v>0</v>
      </c>
      <c r="Q59" s="260">
        <v>0</v>
      </c>
      <c r="R59" s="260">
        <v>0</v>
      </c>
      <c r="S59" s="260">
        <v>0</v>
      </c>
      <c r="T59" s="260">
        <v>0</v>
      </c>
      <c r="U59" s="260">
        <v>0</v>
      </c>
      <c r="V59" s="260">
        <v>0</v>
      </c>
      <c r="W59" s="260">
        <v>0</v>
      </c>
      <c r="X59" s="260">
        <v>0.14285714285714279</v>
      </c>
      <c r="Y59" s="260">
        <v>0</v>
      </c>
      <c r="Z59" s="260">
        <v>0.29166666666666669</v>
      </c>
      <c r="AA59" s="260">
        <v>0.23529411764705879</v>
      </c>
      <c r="AB59" s="260">
        <v>6.6666666666666666E-2</v>
      </c>
      <c r="AC59" s="260">
        <v>7.1428571428571425E-2</v>
      </c>
      <c r="AD59" s="260">
        <v>0.16666666666666671</v>
      </c>
      <c r="AE59" s="260">
        <v>0</v>
      </c>
      <c r="AF59" s="260">
        <v>0</v>
      </c>
      <c r="AG59" s="260">
        <v>0.14285714285714279</v>
      </c>
      <c r="AH59" s="260">
        <v>0</v>
      </c>
    </row>
    <row r="60" spans="1:34">
      <c r="A60" s="535"/>
      <c r="B60" s="427" t="s">
        <v>268</v>
      </c>
      <c r="C60" s="428">
        <v>1.03448275862069E-2</v>
      </c>
      <c r="D60" s="263" t="s">
        <v>237</v>
      </c>
      <c r="E60" s="263" t="s">
        <v>237</v>
      </c>
      <c r="F60" s="263" t="s">
        <v>237</v>
      </c>
      <c r="G60" s="263" t="s">
        <v>237</v>
      </c>
      <c r="H60" s="263" t="s">
        <v>237</v>
      </c>
      <c r="I60" s="263" t="s">
        <v>237</v>
      </c>
      <c r="J60" s="263">
        <v>0</v>
      </c>
      <c r="K60" s="263">
        <v>0</v>
      </c>
      <c r="L60" s="263">
        <v>0</v>
      </c>
      <c r="M60" s="263">
        <v>0</v>
      </c>
      <c r="N60" s="263">
        <v>0</v>
      </c>
      <c r="O60" s="263">
        <v>0.33333333333333331</v>
      </c>
      <c r="P60" s="263">
        <v>0</v>
      </c>
      <c r="Q60" s="263">
        <v>0</v>
      </c>
      <c r="R60" s="263">
        <v>0</v>
      </c>
      <c r="S60" s="263">
        <v>0</v>
      </c>
      <c r="T60" s="263">
        <v>0</v>
      </c>
      <c r="U60" s="263">
        <v>0</v>
      </c>
      <c r="V60" s="263">
        <v>0</v>
      </c>
      <c r="W60" s="263">
        <v>0</v>
      </c>
      <c r="X60" s="263">
        <v>4.7619047619047623E-2</v>
      </c>
      <c r="Y60" s="263">
        <v>0</v>
      </c>
      <c r="Z60" s="263">
        <v>0</v>
      </c>
      <c r="AA60" s="263">
        <v>0</v>
      </c>
      <c r="AB60" s="263">
        <v>0</v>
      </c>
      <c r="AC60" s="263">
        <v>0</v>
      </c>
      <c r="AD60" s="263">
        <v>0</v>
      </c>
      <c r="AE60" s="263">
        <v>0</v>
      </c>
      <c r="AF60" s="263">
        <v>0</v>
      </c>
      <c r="AG60" s="263">
        <v>0</v>
      </c>
      <c r="AH60" s="263">
        <v>0.1</v>
      </c>
    </row>
    <row r="61" spans="1:34">
      <c r="A61" s="535"/>
      <c r="B61" s="429" t="s">
        <v>269</v>
      </c>
      <c r="C61" s="430">
        <v>3.5714285714285712E-2</v>
      </c>
      <c r="D61" s="260">
        <v>0</v>
      </c>
      <c r="E61" s="260">
        <v>0</v>
      </c>
      <c r="F61" s="260">
        <v>0</v>
      </c>
      <c r="G61" s="260">
        <v>0</v>
      </c>
      <c r="H61" s="260">
        <v>0</v>
      </c>
      <c r="I61" s="260">
        <v>0</v>
      </c>
      <c r="J61" s="260">
        <v>0</v>
      </c>
      <c r="K61" s="260">
        <v>0</v>
      </c>
      <c r="L61" s="260">
        <v>0</v>
      </c>
      <c r="M61" s="260">
        <v>0</v>
      </c>
      <c r="N61" s="260">
        <v>0</v>
      </c>
      <c r="O61" s="260">
        <v>0</v>
      </c>
      <c r="P61" s="260">
        <v>0</v>
      </c>
      <c r="Q61" s="260">
        <v>0</v>
      </c>
      <c r="R61" s="260">
        <v>0</v>
      </c>
      <c r="S61" s="260">
        <v>0</v>
      </c>
      <c r="T61" s="260">
        <v>0</v>
      </c>
      <c r="U61" s="260">
        <v>0</v>
      </c>
      <c r="V61" s="260">
        <v>0</v>
      </c>
      <c r="W61" s="260">
        <v>0</v>
      </c>
      <c r="X61" s="260">
        <v>0</v>
      </c>
      <c r="Y61" s="260">
        <v>0</v>
      </c>
      <c r="Z61" s="260">
        <v>0</v>
      </c>
      <c r="AA61" s="260">
        <v>0.125</v>
      </c>
      <c r="AB61" s="260">
        <v>7.1428571428571425E-2</v>
      </c>
      <c r="AC61" s="260">
        <v>0.23076923076923081</v>
      </c>
      <c r="AD61" s="260">
        <v>0.15384615384615391</v>
      </c>
      <c r="AE61" s="260">
        <v>0</v>
      </c>
      <c r="AF61" s="260">
        <v>0</v>
      </c>
      <c r="AG61" s="260">
        <v>0</v>
      </c>
      <c r="AH61" s="260">
        <v>0</v>
      </c>
    </row>
    <row r="62" spans="1:34">
      <c r="A62" s="535"/>
      <c r="B62" s="427" t="s">
        <v>274</v>
      </c>
      <c r="C62" s="428">
        <v>8.385744234800839E-3</v>
      </c>
      <c r="D62" s="263" t="s">
        <v>237</v>
      </c>
      <c r="E62" s="263" t="s">
        <v>237</v>
      </c>
      <c r="F62" s="263" t="s">
        <v>237</v>
      </c>
      <c r="G62" s="263" t="s">
        <v>237</v>
      </c>
      <c r="H62" s="263" t="s">
        <v>237</v>
      </c>
      <c r="I62" s="263" t="s">
        <v>237</v>
      </c>
      <c r="J62" s="263" t="s">
        <v>237</v>
      </c>
      <c r="K62" s="263" t="s">
        <v>237</v>
      </c>
      <c r="L62" s="263" t="s">
        <v>237</v>
      </c>
      <c r="M62" s="263" t="s">
        <v>237</v>
      </c>
      <c r="N62" s="263" t="s">
        <v>237</v>
      </c>
      <c r="O62" s="263" t="s">
        <v>237</v>
      </c>
      <c r="P62" s="263">
        <v>0</v>
      </c>
      <c r="Q62" s="263">
        <v>0</v>
      </c>
      <c r="R62" s="263">
        <v>0</v>
      </c>
      <c r="S62" s="263">
        <v>0</v>
      </c>
      <c r="T62" s="263">
        <v>0</v>
      </c>
      <c r="U62" s="263">
        <v>0</v>
      </c>
      <c r="V62" s="263">
        <v>0</v>
      </c>
      <c r="W62" s="263">
        <v>0</v>
      </c>
      <c r="X62" s="263">
        <v>0</v>
      </c>
      <c r="Y62" s="263">
        <v>0.5</v>
      </c>
      <c r="Z62" s="263">
        <v>0</v>
      </c>
      <c r="AA62" s="263">
        <v>0</v>
      </c>
      <c r="AB62" s="263">
        <v>0</v>
      </c>
      <c r="AC62" s="263">
        <v>3.0769230769230771E-2</v>
      </c>
      <c r="AD62" s="263">
        <v>1.515151515151515E-2</v>
      </c>
      <c r="AE62" s="263">
        <v>0</v>
      </c>
      <c r="AF62" s="263">
        <v>0</v>
      </c>
      <c r="AG62" s="263">
        <v>0</v>
      </c>
      <c r="AH62" s="263">
        <v>0</v>
      </c>
    </row>
    <row r="63" spans="1:34">
      <c r="A63" s="535"/>
      <c r="B63" s="429" t="s">
        <v>276</v>
      </c>
      <c r="C63" s="430">
        <v>3.8461538461538457E-2</v>
      </c>
      <c r="D63" s="260" t="s">
        <v>237</v>
      </c>
      <c r="E63" s="260" t="s">
        <v>237</v>
      </c>
      <c r="F63" s="260" t="s">
        <v>237</v>
      </c>
      <c r="G63" s="260" t="s">
        <v>237</v>
      </c>
      <c r="H63" s="260" t="s">
        <v>237</v>
      </c>
      <c r="I63" s="260" t="s">
        <v>237</v>
      </c>
      <c r="J63" s="260" t="s">
        <v>237</v>
      </c>
      <c r="K63" s="260" t="s">
        <v>237</v>
      </c>
      <c r="L63" s="260" t="s">
        <v>237</v>
      </c>
      <c r="M63" s="260">
        <v>0</v>
      </c>
      <c r="N63" s="260">
        <v>0</v>
      </c>
      <c r="O63" s="260">
        <v>0</v>
      </c>
      <c r="P63" s="260">
        <v>0</v>
      </c>
      <c r="Q63" s="260">
        <v>0</v>
      </c>
      <c r="R63" s="260">
        <v>0</v>
      </c>
      <c r="S63" s="260">
        <v>0</v>
      </c>
      <c r="T63" s="260">
        <v>0</v>
      </c>
      <c r="U63" s="260">
        <v>0</v>
      </c>
      <c r="V63" s="260">
        <v>0</v>
      </c>
      <c r="W63" s="260">
        <v>0</v>
      </c>
      <c r="X63" s="260">
        <v>0</v>
      </c>
      <c r="Y63" s="260">
        <v>0</v>
      </c>
      <c r="Z63" s="260">
        <v>0</v>
      </c>
      <c r="AA63" s="260">
        <v>7.6923076923076927E-2</v>
      </c>
      <c r="AB63" s="260">
        <v>0.2</v>
      </c>
      <c r="AC63" s="260">
        <v>0</v>
      </c>
      <c r="AD63" s="260">
        <v>0</v>
      </c>
      <c r="AE63" s="260">
        <v>7.6923076923076927E-2</v>
      </c>
      <c r="AF63" s="260">
        <v>0</v>
      </c>
      <c r="AG63" s="260">
        <v>7.6923076923076927E-2</v>
      </c>
      <c r="AH63" s="260">
        <v>0</v>
      </c>
    </row>
    <row r="64" spans="1:34">
      <c r="A64" s="535"/>
      <c r="B64" s="427" t="s">
        <v>280</v>
      </c>
      <c r="C64" s="428">
        <v>5.2287581699346407E-2</v>
      </c>
      <c r="D64" s="263" t="s">
        <v>237</v>
      </c>
      <c r="E64" s="263" t="s">
        <v>237</v>
      </c>
      <c r="F64" s="263" t="s">
        <v>237</v>
      </c>
      <c r="G64" s="263" t="s">
        <v>237</v>
      </c>
      <c r="H64" s="263" t="s">
        <v>237</v>
      </c>
      <c r="I64" s="263" t="s">
        <v>237</v>
      </c>
      <c r="J64" s="263" t="s">
        <v>237</v>
      </c>
      <c r="K64" s="263" t="s">
        <v>237</v>
      </c>
      <c r="L64" s="263" t="s">
        <v>237</v>
      </c>
      <c r="M64" s="263" t="s">
        <v>237</v>
      </c>
      <c r="N64" s="263" t="s">
        <v>237</v>
      </c>
      <c r="O64" s="263" t="s">
        <v>237</v>
      </c>
      <c r="P64" s="263" t="s">
        <v>237</v>
      </c>
      <c r="Q64" s="263" t="s">
        <v>237</v>
      </c>
      <c r="R64" s="263" t="s">
        <v>237</v>
      </c>
      <c r="S64" s="263">
        <v>0</v>
      </c>
      <c r="T64" s="263">
        <v>0</v>
      </c>
      <c r="U64" s="263">
        <v>0</v>
      </c>
      <c r="V64" s="263">
        <v>0</v>
      </c>
      <c r="W64" s="263">
        <v>0</v>
      </c>
      <c r="X64" s="263">
        <v>0</v>
      </c>
      <c r="Y64" s="263">
        <v>0</v>
      </c>
      <c r="Z64" s="263">
        <v>0.1764705882352941</v>
      </c>
      <c r="AA64" s="263">
        <v>0</v>
      </c>
      <c r="AB64" s="263">
        <v>6.25E-2</v>
      </c>
      <c r="AC64" s="263">
        <v>6.25E-2</v>
      </c>
      <c r="AD64" s="263">
        <v>0</v>
      </c>
      <c r="AE64" s="263">
        <v>0</v>
      </c>
      <c r="AF64" s="263">
        <v>0</v>
      </c>
      <c r="AG64" s="263">
        <v>0.27272727272727271</v>
      </c>
      <c r="AH64" s="263">
        <v>0</v>
      </c>
    </row>
    <row r="65" spans="1:34">
      <c r="A65" s="535"/>
      <c r="B65" s="429" t="s">
        <v>284</v>
      </c>
      <c r="C65" s="430">
        <v>2.564102564102564E-2</v>
      </c>
      <c r="D65" s="260">
        <v>0</v>
      </c>
      <c r="E65" s="260">
        <v>0</v>
      </c>
      <c r="F65" s="260">
        <v>0</v>
      </c>
      <c r="G65" s="260">
        <v>0</v>
      </c>
      <c r="H65" s="260">
        <v>0</v>
      </c>
      <c r="I65" s="260">
        <v>0</v>
      </c>
      <c r="J65" s="260">
        <v>0</v>
      </c>
      <c r="K65" s="260">
        <v>0</v>
      </c>
      <c r="L65" s="260">
        <v>0</v>
      </c>
      <c r="M65" s="260">
        <v>0</v>
      </c>
      <c r="N65" s="260">
        <v>0</v>
      </c>
      <c r="O65" s="260">
        <v>0</v>
      </c>
      <c r="P65" s="260" t="s">
        <v>237</v>
      </c>
      <c r="Q65" s="260" t="s">
        <v>237</v>
      </c>
      <c r="R65" s="260" t="s">
        <v>237</v>
      </c>
      <c r="S65" s="260">
        <v>0</v>
      </c>
      <c r="T65" s="260">
        <v>0</v>
      </c>
      <c r="U65" s="260">
        <v>0</v>
      </c>
      <c r="V65" s="260">
        <v>0.25</v>
      </c>
      <c r="W65" s="260">
        <v>0</v>
      </c>
      <c r="X65" s="260">
        <v>0</v>
      </c>
      <c r="Y65" s="260">
        <v>0</v>
      </c>
      <c r="Z65" s="260">
        <v>0</v>
      </c>
      <c r="AA65" s="260">
        <v>0.33333333333333331</v>
      </c>
      <c r="AB65" s="260">
        <v>0</v>
      </c>
      <c r="AC65" s="260">
        <v>0</v>
      </c>
      <c r="AD65" s="260">
        <v>0.1</v>
      </c>
      <c r="AE65" s="260">
        <v>0</v>
      </c>
      <c r="AF65" s="260">
        <v>0</v>
      </c>
      <c r="AG65" s="260">
        <v>0</v>
      </c>
      <c r="AH65" s="260">
        <v>0</v>
      </c>
    </row>
    <row r="66" spans="1:34">
      <c r="A66" s="535"/>
      <c r="B66" s="427" t="s">
        <v>285</v>
      </c>
      <c r="C66" s="428">
        <v>2.5316455696202531E-2</v>
      </c>
      <c r="D66" s="263">
        <v>0</v>
      </c>
      <c r="E66" s="263">
        <v>0</v>
      </c>
      <c r="F66" s="263">
        <v>0</v>
      </c>
      <c r="G66" s="263">
        <v>0</v>
      </c>
      <c r="H66" s="263">
        <v>0</v>
      </c>
      <c r="I66" s="263">
        <v>0</v>
      </c>
      <c r="J66" s="263">
        <v>0</v>
      </c>
      <c r="K66" s="263">
        <v>0.33333333333333331</v>
      </c>
      <c r="L66" s="263">
        <v>0</v>
      </c>
      <c r="M66" s="263">
        <v>0</v>
      </c>
      <c r="N66" s="263">
        <v>0</v>
      </c>
      <c r="O66" s="263">
        <v>0</v>
      </c>
      <c r="P66" s="263">
        <v>0</v>
      </c>
      <c r="Q66" s="263">
        <v>0</v>
      </c>
      <c r="R66" s="263">
        <v>0</v>
      </c>
      <c r="S66" s="263">
        <v>0</v>
      </c>
      <c r="T66" s="263">
        <v>0</v>
      </c>
      <c r="U66" s="263">
        <v>0</v>
      </c>
      <c r="V66" s="263">
        <v>0</v>
      </c>
      <c r="W66" s="263">
        <v>8.3333333333333329E-2</v>
      </c>
      <c r="X66" s="263">
        <v>6.6666666666666666E-2</v>
      </c>
      <c r="Y66" s="263">
        <v>0</v>
      </c>
      <c r="Z66" s="263">
        <v>6.3829787234042548E-2</v>
      </c>
      <c r="AA66" s="263">
        <v>0</v>
      </c>
      <c r="AB66" s="263">
        <v>2.3255813953488368E-2</v>
      </c>
      <c r="AC66" s="263">
        <v>1.886792452830189E-2</v>
      </c>
      <c r="AD66" s="263">
        <v>6.7796610169491525E-2</v>
      </c>
      <c r="AE66" s="263">
        <v>3.5087719298245612E-2</v>
      </c>
      <c r="AF66" s="263">
        <v>0</v>
      </c>
      <c r="AG66" s="263">
        <v>0</v>
      </c>
      <c r="AH66" s="263">
        <v>0</v>
      </c>
    </row>
    <row r="67" spans="1:34">
      <c r="A67" s="535"/>
      <c r="B67" s="429" t="s">
        <v>287</v>
      </c>
      <c r="C67" s="430">
        <v>1.025641025641026E-2</v>
      </c>
      <c r="D67" s="260" t="s">
        <v>237</v>
      </c>
      <c r="E67" s="260" t="s">
        <v>237</v>
      </c>
      <c r="F67" s="260" t="s">
        <v>237</v>
      </c>
      <c r="G67" s="260">
        <v>0</v>
      </c>
      <c r="H67" s="260">
        <v>0</v>
      </c>
      <c r="I67" s="260">
        <v>0</v>
      </c>
      <c r="J67" s="260" t="s">
        <v>237</v>
      </c>
      <c r="K67" s="260" t="s">
        <v>237</v>
      </c>
      <c r="L67" s="260" t="s">
        <v>237</v>
      </c>
      <c r="M67" s="260" t="s">
        <v>237</v>
      </c>
      <c r="N67" s="260" t="s">
        <v>237</v>
      </c>
      <c r="O67" s="260" t="s">
        <v>237</v>
      </c>
      <c r="P67" s="260" t="s">
        <v>237</v>
      </c>
      <c r="Q67" s="260">
        <v>0</v>
      </c>
      <c r="R67" s="260">
        <v>0</v>
      </c>
      <c r="S67" s="260">
        <v>0</v>
      </c>
      <c r="T67" s="260">
        <v>0</v>
      </c>
      <c r="U67" s="260">
        <v>0</v>
      </c>
      <c r="V67" s="260">
        <v>0</v>
      </c>
      <c r="W67" s="260">
        <v>0.2</v>
      </c>
      <c r="X67" s="260">
        <v>0</v>
      </c>
      <c r="Y67" s="260">
        <v>0</v>
      </c>
      <c r="Z67" s="260">
        <v>0</v>
      </c>
      <c r="AA67" s="260">
        <v>0</v>
      </c>
      <c r="AB67" s="260">
        <v>0</v>
      </c>
      <c r="AC67" s="260">
        <v>0</v>
      </c>
      <c r="AD67" s="260">
        <v>0</v>
      </c>
      <c r="AE67" s="260">
        <v>2.3255813953488368E-2</v>
      </c>
      <c r="AF67" s="260">
        <v>2.3809523809523812E-2</v>
      </c>
      <c r="AG67" s="260">
        <v>2.4390243902439029E-2</v>
      </c>
      <c r="AH67" s="260">
        <v>0</v>
      </c>
    </row>
    <row r="68" spans="1:34">
      <c r="A68" s="535"/>
      <c r="B68" s="427" t="s">
        <v>288</v>
      </c>
      <c r="C68" s="428">
        <v>4.4117647058823532E-2</v>
      </c>
      <c r="D68" s="263" t="s">
        <v>237</v>
      </c>
      <c r="E68" s="263" t="s">
        <v>237</v>
      </c>
      <c r="F68" s="263" t="s">
        <v>237</v>
      </c>
      <c r="G68" s="263" t="s">
        <v>237</v>
      </c>
      <c r="H68" s="263" t="s">
        <v>237</v>
      </c>
      <c r="I68" s="263">
        <v>0</v>
      </c>
      <c r="J68" s="263">
        <v>0</v>
      </c>
      <c r="K68" s="263">
        <v>1</v>
      </c>
      <c r="L68" s="263" t="s">
        <v>237</v>
      </c>
      <c r="M68" s="263">
        <v>0</v>
      </c>
      <c r="N68" s="263">
        <v>0</v>
      </c>
      <c r="O68" s="263">
        <v>0.5</v>
      </c>
      <c r="P68" s="263" t="s">
        <v>237</v>
      </c>
      <c r="Q68" s="263">
        <v>0</v>
      </c>
      <c r="R68" s="263">
        <v>0.5</v>
      </c>
      <c r="S68" s="263" t="s">
        <v>237</v>
      </c>
      <c r="T68" s="263" t="s">
        <v>237</v>
      </c>
      <c r="U68" s="263">
        <v>0</v>
      </c>
      <c r="V68" s="263">
        <v>0</v>
      </c>
      <c r="W68" s="263">
        <v>0</v>
      </c>
      <c r="X68" s="263">
        <v>0</v>
      </c>
      <c r="Y68" s="263">
        <v>0</v>
      </c>
      <c r="Z68" s="263">
        <v>0</v>
      </c>
      <c r="AA68" s="263">
        <v>0</v>
      </c>
      <c r="AB68" s="263">
        <v>0.1111111111111111</v>
      </c>
      <c r="AC68" s="263">
        <v>0</v>
      </c>
      <c r="AD68" s="263">
        <v>6.6666666666666666E-2</v>
      </c>
      <c r="AE68" s="263">
        <v>0</v>
      </c>
      <c r="AF68" s="263">
        <v>0</v>
      </c>
      <c r="AG68" s="263">
        <v>5.8823529411764712E-2</v>
      </c>
      <c r="AH68" s="263">
        <v>0</v>
      </c>
    </row>
    <row r="69" spans="1:34">
      <c r="A69" s="535"/>
      <c r="B69" s="429" t="s">
        <v>291</v>
      </c>
      <c r="C69" s="430">
        <v>5.2910052910052907E-3</v>
      </c>
      <c r="D69" s="260" t="s">
        <v>237</v>
      </c>
      <c r="E69" s="260" t="s">
        <v>237</v>
      </c>
      <c r="F69" s="260" t="s">
        <v>237</v>
      </c>
      <c r="G69" s="260" t="s">
        <v>237</v>
      </c>
      <c r="H69" s="260" t="s">
        <v>237</v>
      </c>
      <c r="I69" s="260" t="s">
        <v>237</v>
      </c>
      <c r="J69" s="260" t="s">
        <v>237</v>
      </c>
      <c r="K69" s="260" t="s">
        <v>237</v>
      </c>
      <c r="L69" s="260" t="s">
        <v>237</v>
      </c>
      <c r="M69" s="260" t="s">
        <v>237</v>
      </c>
      <c r="N69" s="260" t="s">
        <v>237</v>
      </c>
      <c r="O69" s="260" t="s">
        <v>237</v>
      </c>
      <c r="P69" s="260">
        <v>0</v>
      </c>
      <c r="Q69" s="260">
        <v>0</v>
      </c>
      <c r="R69" s="260">
        <v>0</v>
      </c>
      <c r="S69" s="260">
        <v>0</v>
      </c>
      <c r="T69" s="260">
        <v>0</v>
      </c>
      <c r="U69" s="260">
        <v>0.5</v>
      </c>
      <c r="V69" s="260">
        <v>0</v>
      </c>
      <c r="W69" s="260">
        <v>0</v>
      </c>
      <c r="X69" s="260">
        <v>0</v>
      </c>
      <c r="Y69" s="260">
        <v>0</v>
      </c>
      <c r="Z69" s="260">
        <v>0</v>
      </c>
      <c r="AA69" s="260">
        <v>0</v>
      </c>
      <c r="AB69" s="260">
        <v>0</v>
      </c>
      <c r="AC69" s="260">
        <v>0</v>
      </c>
      <c r="AD69" s="260">
        <v>0</v>
      </c>
      <c r="AE69" s="260">
        <v>0</v>
      </c>
      <c r="AF69" s="260">
        <v>0</v>
      </c>
      <c r="AG69" s="260">
        <v>0</v>
      </c>
      <c r="AH69" s="260">
        <v>0</v>
      </c>
    </row>
    <row r="70" spans="1:34">
      <c r="A70" s="535"/>
      <c r="B70" s="427" t="s">
        <v>305</v>
      </c>
      <c r="C70" s="428">
        <v>3.7037037037037028E-2</v>
      </c>
      <c r="D70" s="263">
        <v>0</v>
      </c>
      <c r="E70" s="263">
        <v>0</v>
      </c>
      <c r="F70" s="263">
        <v>0</v>
      </c>
      <c r="G70" s="263">
        <v>0</v>
      </c>
      <c r="H70" s="263">
        <v>0</v>
      </c>
      <c r="I70" s="263">
        <v>0</v>
      </c>
      <c r="J70" s="263">
        <v>0</v>
      </c>
      <c r="K70" s="263">
        <v>0.1111111111111111</v>
      </c>
      <c r="L70" s="263">
        <v>0.1111111111111111</v>
      </c>
      <c r="M70" s="263">
        <v>0</v>
      </c>
      <c r="N70" s="263">
        <v>0.16666666666666671</v>
      </c>
      <c r="O70" s="263">
        <v>0</v>
      </c>
      <c r="P70" s="263">
        <v>0</v>
      </c>
      <c r="Q70" s="263">
        <v>0</v>
      </c>
      <c r="R70" s="263">
        <v>0</v>
      </c>
      <c r="S70" s="263">
        <v>0</v>
      </c>
      <c r="T70" s="263">
        <v>0</v>
      </c>
      <c r="U70" s="263">
        <v>0</v>
      </c>
      <c r="V70" s="263">
        <v>0</v>
      </c>
      <c r="W70" s="263">
        <v>0.2</v>
      </c>
      <c r="X70" s="263">
        <v>0</v>
      </c>
      <c r="Y70" s="263">
        <v>0</v>
      </c>
      <c r="Z70" s="263">
        <v>6.6666666666666666E-2</v>
      </c>
      <c r="AA70" s="263">
        <v>0.25</v>
      </c>
      <c r="AB70" s="263">
        <v>0</v>
      </c>
      <c r="AC70" s="263">
        <v>7.1428571428571425E-2</v>
      </c>
      <c r="AD70" s="263">
        <v>0</v>
      </c>
      <c r="AE70" s="263">
        <v>0</v>
      </c>
      <c r="AF70" s="263">
        <v>0</v>
      </c>
      <c r="AG70" s="263">
        <v>0</v>
      </c>
      <c r="AH70" s="263">
        <v>5.2631578947368418E-2</v>
      </c>
    </row>
    <row r="71" spans="1:34">
      <c r="A71" s="535"/>
      <c r="B71" s="429" t="s">
        <v>310</v>
      </c>
      <c r="C71" s="430">
        <v>5.0724637681159417E-2</v>
      </c>
      <c r="D71" s="260" t="s">
        <v>237</v>
      </c>
      <c r="E71" s="260" t="s">
        <v>237</v>
      </c>
      <c r="F71" s="260" t="s">
        <v>237</v>
      </c>
      <c r="G71" s="260" t="s">
        <v>237</v>
      </c>
      <c r="H71" s="260" t="s">
        <v>237</v>
      </c>
      <c r="I71" s="260" t="s">
        <v>237</v>
      </c>
      <c r="J71" s="260" t="s">
        <v>237</v>
      </c>
      <c r="K71" s="260" t="s">
        <v>237</v>
      </c>
      <c r="L71" s="260" t="s">
        <v>237</v>
      </c>
      <c r="M71" s="260" t="s">
        <v>237</v>
      </c>
      <c r="N71" s="260" t="s">
        <v>237</v>
      </c>
      <c r="O71" s="260" t="s">
        <v>237</v>
      </c>
      <c r="P71" s="260" t="s">
        <v>237</v>
      </c>
      <c r="Q71" s="260">
        <v>0</v>
      </c>
      <c r="R71" s="260">
        <v>0</v>
      </c>
      <c r="S71" s="260">
        <v>0</v>
      </c>
      <c r="T71" s="260">
        <v>0</v>
      </c>
      <c r="U71" s="260">
        <v>0.14285714285714279</v>
      </c>
      <c r="V71" s="260">
        <v>0</v>
      </c>
      <c r="W71" s="260">
        <v>0.125</v>
      </c>
      <c r="X71" s="260">
        <v>0.25</v>
      </c>
      <c r="Y71" s="260">
        <v>0</v>
      </c>
      <c r="Z71" s="260">
        <v>0.1111111111111111</v>
      </c>
      <c r="AA71" s="260">
        <v>0</v>
      </c>
      <c r="AB71" s="260">
        <v>0</v>
      </c>
      <c r="AC71" s="260">
        <v>0</v>
      </c>
      <c r="AD71" s="260">
        <v>0</v>
      </c>
      <c r="AE71" s="260">
        <v>0.1111111111111111</v>
      </c>
      <c r="AF71" s="260">
        <v>0</v>
      </c>
      <c r="AG71" s="260">
        <v>0.125</v>
      </c>
      <c r="AH71" s="260">
        <v>0</v>
      </c>
    </row>
    <row r="72" spans="1:34">
      <c r="A72" s="535"/>
      <c r="B72" s="427" t="s">
        <v>311</v>
      </c>
      <c r="C72" s="428">
        <v>6.8965517241379309E-2</v>
      </c>
      <c r="D72" s="263" t="s">
        <v>237</v>
      </c>
      <c r="E72" s="263" t="s">
        <v>237</v>
      </c>
      <c r="F72" s="263">
        <v>0</v>
      </c>
      <c r="G72" s="263">
        <v>0</v>
      </c>
      <c r="H72" s="263">
        <v>0</v>
      </c>
      <c r="I72" s="263">
        <v>0</v>
      </c>
      <c r="J72" s="263">
        <v>0</v>
      </c>
      <c r="K72" s="263">
        <v>0</v>
      </c>
      <c r="L72" s="263">
        <v>0.25</v>
      </c>
      <c r="M72" s="263">
        <v>0</v>
      </c>
      <c r="N72" s="263">
        <v>0</v>
      </c>
      <c r="O72" s="263">
        <v>0</v>
      </c>
      <c r="P72" s="263">
        <v>0</v>
      </c>
      <c r="Q72" s="263">
        <v>0</v>
      </c>
      <c r="R72" s="263">
        <v>0</v>
      </c>
      <c r="S72" s="263">
        <v>0</v>
      </c>
      <c r="T72" s="263">
        <v>0</v>
      </c>
      <c r="U72" s="263">
        <v>0</v>
      </c>
      <c r="V72" s="263">
        <v>0.25</v>
      </c>
      <c r="W72" s="263">
        <v>0</v>
      </c>
      <c r="X72" s="263">
        <v>0</v>
      </c>
      <c r="Y72" s="263">
        <v>0.25</v>
      </c>
      <c r="Z72" s="263">
        <v>0</v>
      </c>
      <c r="AA72" s="263">
        <v>0.1111111111111111</v>
      </c>
      <c r="AB72" s="263">
        <v>0</v>
      </c>
      <c r="AC72" s="263">
        <v>0</v>
      </c>
      <c r="AD72" s="263">
        <v>0</v>
      </c>
      <c r="AE72" s="263">
        <v>0.5</v>
      </c>
      <c r="AF72" s="263">
        <v>0</v>
      </c>
      <c r="AG72" s="263">
        <v>0</v>
      </c>
      <c r="AH72" s="263">
        <v>0</v>
      </c>
    </row>
    <row r="73" spans="1:34">
      <c r="A73" s="535"/>
      <c r="B73" s="429" t="s">
        <v>312</v>
      </c>
      <c r="C73" s="430">
        <v>1.1299435028248589E-2</v>
      </c>
      <c r="D73" s="260" t="s">
        <v>237</v>
      </c>
      <c r="E73" s="260" t="s">
        <v>237</v>
      </c>
      <c r="F73" s="260" t="s">
        <v>237</v>
      </c>
      <c r="G73" s="260" t="s">
        <v>237</v>
      </c>
      <c r="H73" s="260">
        <v>0</v>
      </c>
      <c r="I73" s="260">
        <v>0</v>
      </c>
      <c r="J73" s="260">
        <v>0</v>
      </c>
      <c r="K73" s="260">
        <v>0</v>
      </c>
      <c r="L73" s="260">
        <v>0</v>
      </c>
      <c r="M73" s="260">
        <v>0</v>
      </c>
      <c r="N73" s="260">
        <v>0</v>
      </c>
      <c r="O73" s="260">
        <v>0</v>
      </c>
      <c r="P73" s="260">
        <v>0</v>
      </c>
      <c r="Q73" s="260">
        <v>0</v>
      </c>
      <c r="R73" s="260">
        <v>0</v>
      </c>
      <c r="S73" s="260">
        <v>0</v>
      </c>
      <c r="T73" s="260">
        <v>0</v>
      </c>
      <c r="U73" s="260">
        <v>0</v>
      </c>
      <c r="V73" s="260">
        <v>0</v>
      </c>
      <c r="W73" s="260">
        <v>0</v>
      </c>
      <c r="X73" s="260">
        <v>0</v>
      </c>
      <c r="Y73" s="260">
        <v>0</v>
      </c>
      <c r="Z73" s="260">
        <v>7.6923076923076927E-2</v>
      </c>
      <c r="AA73" s="260">
        <v>7.6923076923076927E-2</v>
      </c>
      <c r="AB73" s="260">
        <v>0</v>
      </c>
      <c r="AC73" s="260">
        <v>0</v>
      </c>
      <c r="AD73" s="260">
        <v>0</v>
      </c>
      <c r="AE73" s="260">
        <v>0</v>
      </c>
      <c r="AF73" s="260">
        <v>0</v>
      </c>
      <c r="AG73" s="260">
        <v>0</v>
      </c>
      <c r="AH73" s="260">
        <v>0</v>
      </c>
    </row>
    <row r="74" spans="1:34">
      <c r="A74" s="535"/>
      <c r="B74" s="427" t="s">
        <v>313</v>
      </c>
      <c r="C74" s="428">
        <v>2.9850746268656719E-2</v>
      </c>
      <c r="D74" s="263">
        <v>0</v>
      </c>
      <c r="E74" s="263">
        <v>0</v>
      </c>
      <c r="F74" s="263">
        <v>0</v>
      </c>
      <c r="G74" s="263">
        <v>0</v>
      </c>
      <c r="H74" s="263">
        <v>0</v>
      </c>
      <c r="I74" s="263">
        <v>0</v>
      </c>
      <c r="J74" s="263">
        <v>0</v>
      </c>
      <c r="K74" s="263">
        <v>0</v>
      </c>
      <c r="L74" s="263">
        <v>0</v>
      </c>
      <c r="M74" s="263">
        <v>0.5</v>
      </c>
      <c r="N74" s="263">
        <v>0.33333333333333331</v>
      </c>
      <c r="O74" s="263">
        <v>0</v>
      </c>
      <c r="P74" s="263">
        <v>0</v>
      </c>
      <c r="Q74" s="263">
        <v>0</v>
      </c>
      <c r="R74" s="263">
        <v>0</v>
      </c>
      <c r="S74" s="263">
        <v>0</v>
      </c>
      <c r="T74" s="263">
        <v>0</v>
      </c>
      <c r="U74" s="263">
        <v>0</v>
      </c>
      <c r="V74" s="263">
        <v>0</v>
      </c>
      <c r="W74" s="263">
        <v>0</v>
      </c>
      <c r="X74" s="263">
        <v>0</v>
      </c>
      <c r="Y74" s="263">
        <v>0</v>
      </c>
      <c r="Z74" s="263">
        <v>0</v>
      </c>
      <c r="AA74" s="263">
        <v>0.125</v>
      </c>
      <c r="AB74" s="263">
        <v>0</v>
      </c>
      <c r="AC74" s="263">
        <v>0</v>
      </c>
      <c r="AD74" s="263">
        <v>0</v>
      </c>
      <c r="AE74" s="263">
        <v>0.2</v>
      </c>
      <c r="AF74" s="263">
        <v>0</v>
      </c>
      <c r="AG74" s="263">
        <v>0</v>
      </c>
      <c r="AH74" s="263">
        <v>0</v>
      </c>
    </row>
    <row r="75" spans="1:34">
      <c r="A75" s="535"/>
      <c r="B75" s="429" t="s">
        <v>314</v>
      </c>
      <c r="C75" s="430">
        <v>1.11731843575419E-2</v>
      </c>
      <c r="D75" s="260" t="s">
        <v>237</v>
      </c>
      <c r="E75" s="260" t="s">
        <v>237</v>
      </c>
      <c r="F75" s="260" t="s">
        <v>237</v>
      </c>
      <c r="G75" s="260" t="s">
        <v>237</v>
      </c>
      <c r="H75" s="260" t="s">
        <v>237</v>
      </c>
      <c r="I75" s="260" t="s">
        <v>237</v>
      </c>
      <c r="J75" s="260" t="s">
        <v>237</v>
      </c>
      <c r="K75" s="260" t="s">
        <v>237</v>
      </c>
      <c r="L75" s="260" t="s">
        <v>237</v>
      </c>
      <c r="M75" s="260" t="s">
        <v>237</v>
      </c>
      <c r="N75" s="260">
        <v>0</v>
      </c>
      <c r="O75" s="260">
        <v>0</v>
      </c>
      <c r="P75" s="260">
        <v>0</v>
      </c>
      <c r="Q75" s="260">
        <v>0</v>
      </c>
      <c r="R75" s="260">
        <v>0</v>
      </c>
      <c r="S75" s="260">
        <v>0.5</v>
      </c>
      <c r="T75" s="260">
        <v>0</v>
      </c>
      <c r="U75" s="260">
        <v>0</v>
      </c>
      <c r="V75" s="260">
        <v>0</v>
      </c>
      <c r="W75" s="260">
        <v>0</v>
      </c>
      <c r="X75" s="260">
        <v>0</v>
      </c>
      <c r="Y75" s="260">
        <v>0</v>
      </c>
      <c r="Z75" s="260">
        <v>3.7037037037037028E-2</v>
      </c>
      <c r="AA75" s="260">
        <v>0</v>
      </c>
      <c r="AB75" s="260">
        <v>0</v>
      </c>
      <c r="AC75" s="260">
        <v>0</v>
      </c>
      <c r="AD75" s="260">
        <v>0</v>
      </c>
      <c r="AE75" s="260">
        <v>0</v>
      </c>
      <c r="AF75" s="260">
        <v>0</v>
      </c>
      <c r="AG75" s="260">
        <v>4.878048780487805E-2</v>
      </c>
      <c r="AH75" s="260">
        <v>0</v>
      </c>
    </row>
    <row r="76" spans="1:34">
      <c r="A76" s="535"/>
      <c r="B76" s="427" t="s">
        <v>315</v>
      </c>
      <c r="C76" s="428">
        <v>2.1739130434782612E-2</v>
      </c>
      <c r="D76" s="263">
        <v>0.5</v>
      </c>
      <c r="E76" s="263" t="s">
        <v>237</v>
      </c>
      <c r="F76" s="263" t="s">
        <v>237</v>
      </c>
      <c r="G76" s="263" t="s">
        <v>237</v>
      </c>
      <c r="H76" s="263">
        <v>0</v>
      </c>
      <c r="I76" s="263">
        <v>0</v>
      </c>
      <c r="J76" s="263">
        <v>0</v>
      </c>
      <c r="K76" s="263">
        <v>0</v>
      </c>
      <c r="L76" s="263">
        <v>0</v>
      </c>
      <c r="M76" s="263">
        <v>0</v>
      </c>
      <c r="N76" s="263">
        <v>0</v>
      </c>
      <c r="O76" s="263">
        <v>0</v>
      </c>
      <c r="P76" s="263" t="s">
        <v>237</v>
      </c>
      <c r="Q76" s="263" t="s">
        <v>237</v>
      </c>
      <c r="R76" s="263" t="s">
        <v>237</v>
      </c>
      <c r="S76" s="263" t="s">
        <v>237</v>
      </c>
      <c r="T76" s="263">
        <v>0</v>
      </c>
      <c r="U76" s="263">
        <v>0</v>
      </c>
      <c r="V76" s="263">
        <v>0</v>
      </c>
      <c r="W76" s="263">
        <v>0</v>
      </c>
      <c r="X76" s="263">
        <v>0</v>
      </c>
      <c r="Y76" s="263">
        <v>0</v>
      </c>
      <c r="Z76" s="263">
        <v>0</v>
      </c>
      <c r="AA76" s="263">
        <v>0.23076923076923081</v>
      </c>
      <c r="AB76" s="263">
        <v>0</v>
      </c>
      <c r="AC76" s="263">
        <v>0</v>
      </c>
      <c r="AD76" s="263">
        <v>0</v>
      </c>
      <c r="AE76" s="263">
        <v>0</v>
      </c>
      <c r="AF76" s="263">
        <v>0</v>
      </c>
      <c r="AG76" s="263">
        <v>0</v>
      </c>
      <c r="AH76" s="263">
        <v>0</v>
      </c>
    </row>
    <row r="77" spans="1:34">
      <c r="A77" s="535"/>
      <c r="B77" s="429" t="s">
        <v>318</v>
      </c>
      <c r="C77" s="430">
        <v>3.9473684210526307E-2</v>
      </c>
      <c r="D77" s="260" t="s">
        <v>237</v>
      </c>
      <c r="E77" s="260" t="s">
        <v>237</v>
      </c>
      <c r="F77" s="260">
        <v>0</v>
      </c>
      <c r="G77" s="260">
        <v>0</v>
      </c>
      <c r="H77" s="260">
        <v>0</v>
      </c>
      <c r="I77" s="260">
        <v>0</v>
      </c>
      <c r="J77" s="260">
        <v>0</v>
      </c>
      <c r="K77" s="260">
        <v>0</v>
      </c>
      <c r="L77" s="260">
        <v>0</v>
      </c>
      <c r="M77" s="260">
        <v>0</v>
      </c>
      <c r="N77" s="260">
        <v>0.16666666666666671</v>
      </c>
      <c r="O77" s="260">
        <v>0</v>
      </c>
      <c r="P77" s="260">
        <v>0</v>
      </c>
      <c r="Q77" s="260">
        <v>0</v>
      </c>
      <c r="R77" s="260">
        <v>0</v>
      </c>
      <c r="S77" s="260">
        <v>0</v>
      </c>
      <c r="T77" s="260">
        <v>0.125</v>
      </c>
      <c r="U77" s="260">
        <v>0</v>
      </c>
      <c r="V77" s="260">
        <v>0</v>
      </c>
      <c r="W77" s="260">
        <v>0</v>
      </c>
      <c r="X77" s="260">
        <v>0</v>
      </c>
      <c r="Y77" s="260">
        <v>6.6666666666666666E-2</v>
      </c>
      <c r="Z77" s="260">
        <v>0</v>
      </c>
      <c r="AA77" s="260">
        <v>0.1111111111111111</v>
      </c>
      <c r="AB77" s="260">
        <v>0</v>
      </c>
      <c r="AC77" s="260">
        <v>0</v>
      </c>
      <c r="AD77" s="260">
        <v>0</v>
      </c>
      <c r="AE77" s="260">
        <v>0</v>
      </c>
      <c r="AF77" s="260">
        <v>0</v>
      </c>
      <c r="AG77" s="260">
        <v>0.15789473684210531</v>
      </c>
      <c r="AH77" s="260">
        <v>0.1111111111111111</v>
      </c>
    </row>
    <row r="78" spans="1:34">
      <c r="A78" s="535"/>
      <c r="B78" s="427" t="s">
        <v>321</v>
      </c>
      <c r="C78" s="428">
        <v>1.2195121951219509E-2</v>
      </c>
      <c r="D78" s="263" t="s">
        <v>237</v>
      </c>
      <c r="E78" s="263">
        <v>0</v>
      </c>
      <c r="F78" s="263">
        <v>0</v>
      </c>
      <c r="G78" s="263">
        <v>0</v>
      </c>
      <c r="H78" s="263">
        <v>0</v>
      </c>
      <c r="I78" s="263">
        <v>0</v>
      </c>
      <c r="J78" s="263">
        <v>0</v>
      </c>
      <c r="K78" s="263">
        <v>0</v>
      </c>
      <c r="L78" s="263">
        <v>0</v>
      </c>
      <c r="M78" s="263">
        <v>0</v>
      </c>
      <c r="N78" s="263">
        <v>0</v>
      </c>
      <c r="O78" s="263">
        <v>0</v>
      </c>
      <c r="P78" s="263">
        <v>0</v>
      </c>
      <c r="Q78" s="263">
        <v>7.1428571428571425E-2</v>
      </c>
      <c r="R78" s="263">
        <v>8.3333333333333329E-2</v>
      </c>
      <c r="S78" s="263">
        <v>0</v>
      </c>
      <c r="T78" s="263">
        <v>0</v>
      </c>
      <c r="U78" s="263">
        <v>0</v>
      </c>
      <c r="V78" s="263">
        <v>0</v>
      </c>
      <c r="W78" s="263">
        <v>0</v>
      </c>
      <c r="X78" s="263">
        <v>0</v>
      </c>
      <c r="Y78" s="263">
        <v>5.8823529411764712E-2</v>
      </c>
      <c r="Z78" s="263">
        <v>0</v>
      </c>
      <c r="AA78" s="263">
        <v>0</v>
      </c>
      <c r="AB78" s="263">
        <v>0</v>
      </c>
      <c r="AC78" s="263">
        <v>0</v>
      </c>
      <c r="AD78" s="263">
        <v>0</v>
      </c>
      <c r="AE78" s="263">
        <v>0</v>
      </c>
      <c r="AF78" s="263">
        <v>0</v>
      </c>
      <c r="AG78" s="263" t="s">
        <v>237</v>
      </c>
      <c r="AH78" s="263" t="s">
        <v>237</v>
      </c>
    </row>
    <row r="79" spans="1:34">
      <c r="A79" s="535"/>
      <c r="B79" s="429" t="s">
        <v>332</v>
      </c>
      <c r="C79" s="430">
        <v>3.9033457249070633E-2</v>
      </c>
      <c r="D79" s="260">
        <v>0</v>
      </c>
      <c r="E79" s="260">
        <v>0</v>
      </c>
      <c r="F79" s="260">
        <v>0</v>
      </c>
      <c r="G79" s="260">
        <v>0</v>
      </c>
      <c r="H79" s="260">
        <v>0</v>
      </c>
      <c r="I79" s="260">
        <v>0</v>
      </c>
      <c r="J79" s="260">
        <v>0</v>
      </c>
      <c r="K79" s="260">
        <v>0</v>
      </c>
      <c r="L79" s="260">
        <v>0</v>
      </c>
      <c r="M79" s="260">
        <v>0.5</v>
      </c>
      <c r="N79" s="260">
        <v>0</v>
      </c>
      <c r="O79" s="260">
        <v>0</v>
      </c>
      <c r="P79" s="260">
        <v>0</v>
      </c>
      <c r="Q79" s="260">
        <v>0</v>
      </c>
      <c r="R79" s="260">
        <v>0</v>
      </c>
      <c r="S79" s="260">
        <v>0</v>
      </c>
      <c r="T79" s="260">
        <v>0</v>
      </c>
      <c r="U79" s="260">
        <v>0</v>
      </c>
      <c r="V79" s="260">
        <v>0</v>
      </c>
      <c r="W79" s="260">
        <v>0</v>
      </c>
      <c r="X79" s="260">
        <v>0</v>
      </c>
      <c r="Y79" s="260">
        <v>0</v>
      </c>
      <c r="Z79" s="260">
        <v>3.03030303030303E-2</v>
      </c>
      <c r="AA79" s="260">
        <v>0</v>
      </c>
      <c r="AB79" s="260">
        <v>0.1020408163265306</v>
      </c>
      <c r="AC79" s="260">
        <v>8.6956521739130432E-2</v>
      </c>
      <c r="AD79" s="260">
        <v>0.1521739130434783</v>
      </c>
      <c r="AE79" s="260">
        <v>2.5000000000000001E-2</v>
      </c>
      <c r="AF79" s="260">
        <v>0</v>
      </c>
      <c r="AG79" s="260">
        <v>2.777777777777778E-2</v>
      </c>
      <c r="AH79" s="260">
        <v>2.564102564102564E-2</v>
      </c>
    </row>
    <row r="80" spans="1:34">
      <c r="A80" s="535"/>
      <c r="B80" s="427" t="s">
        <v>335</v>
      </c>
      <c r="C80" s="428">
        <v>0.13636363636363641</v>
      </c>
      <c r="D80" s="263" t="s">
        <v>237</v>
      </c>
      <c r="E80" s="263" t="s">
        <v>237</v>
      </c>
      <c r="F80" s="263">
        <v>0</v>
      </c>
      <c r="G80" s="263">
        <v>0</v>
      </c>
      <c r="H80" s="263">
        <v>0</v>
      </c>
      <c r="I80" s="263">
        <v>0</v>
      </c>
      <c r="J80" s="263">
        <v>0</v>
      </c>
      <c r="K80" s="263">
        <v>0</v>
      </c>
      <c r="L80" s="263">
        <v>0</v>
      </c>
      <c r="M80" s="263">
        <v>0</v>
      </c>
      <c r="N80" s="263">
        <v>0</v>
      </c>
      <c r="O80" s="263">
        <v>0</v>
      </c>
      <c r="P80" s="263">
        <v>0</v>
      </c>
      <c r="Q80" s="263">
        <v>0</v>
      </c>
      <c r="R80" s="263">
        <v>0</v>
      </c>
      <c r="S80" s="263">
        <v>0</v>
      </c>
      <c r="T80" s="263">
        <v>0</v>
      </c>
      <c r="U80" s="263">
        <v>0</v>
      </c>
      <c r="V80" s="263">
        <v>0</v>
      </c>
      <c r="W80" s="263">
        <v>0</v>
      </c>
      <c r="X80" s="263">
        <v>9.0909090909090912E-2</v>
      </c>
      <c r="Y80" s="263">
        <v>0.16666666666666671</v>
      </c>
      <c r="Z80" s="263">
        <v>0.1111111111111111</v>
      </c>
      <c r="AA80" s="263">
        <v>0</v>
      </c>
      <c r="AB80" s="263">
        <v>6.25E-2</v>
      </c>
      <c r="AC80" s="263">
        <v>7.6923076923076927E-2</v>
      </c>
      <c r="AD80" s="263">
        <v>0.48648648648648651</v>
      </c>
      <c r="AE80" s="263">
        <v>0</v>
      </c>
      <c r="AF80" s="263">
        <v>0.41176470588235292</v>
      </c>
      <c r="AG80" s="263">
        <v>0.1</v>
      </c>
      <c r="AH80" s="263">
        <v>0</v>
      </c>
    </row>
    <row r="81" spans="1:34">
      <c r="A81" s="535"/>
      <c r="B81" s="429" t="s">
        <v>336</v>
      </c>
      <c r="C81" s="430">
        <v>5.2023121387283239E-2</v>
      </c>
      <c r="D81" s="260" t="s">
        <v>237</v>
      </c>
      <c r="E81" s="260">
        <v>0</v>
      </c>
      <c r="F81" s="260">
        <v>0</v>
      </c>
      <c r="G81" s="260">
        <v>0</v>
      </c>
      <c r="H81" s="260">
        <v>0</v>
      </c>
      <c r="I81" s="260">
        <v>1</v>
      </c>
      <c r="J81" s="260">
        <v>1</v>
      </c>
      <c r="K81" s="260">
        <v>0</v>
      </c>
      <c r="L81" s="260">
        <v>0</v>
      </c>
      <c r="M81" s="260">
        <v>0</v>
      </c>
      <c r="N81" s="260">
        <v>0</v>
      </c>
      <c r="O81" s="260">
        <v>0</v>
      </c>
      <c r="P81" s="260" t="s">
        <v>237</v>
      </c>
      <c r="Q81" s="260" t="s">
        <v>237</v>
      </c>
      <c r="R81" s="260">
        <v>0</v>
      </c>
      <c r="S81" s="260">
        <v>0</v>
      </c>
      <c r="T81" s="260">
        <v>0.2</v>
      </c>
      <c r="U81" s="260">
        <v>0</v>
      </c>
      <c r="V81" s="260">
        <v>0.4</v>
      </c>
      <c r="W81" s="260">
        <v>0</v>
      </c>
      <c r="X81" s="260">
        <v>0</v>
      </c>
      <c r="Y81" s="260">
        <v>0</v>
      </c>
      <c r="Z81" s="260">
        <v>0</v>
      </c>
      <c r="AA81" s="260">
        <v>0</v>
      </c>
      <c r="AB81" s="260">
        <v>0</v>
      </c>
      <c r="AC81" s="260">
        <v>0</v>
      </c>
      <c r="AD81" s="260">
        <v>0</v>
      </c>
      <c r="AE81" s="260">
        <v>0.16666666666666671</v>
      </c>
      <c r="AF81" s="260">
        <v>0</v>
      </c>
      <c r="AG81" s="260">
        <v>6.25E-2</v>
      </c>
      <c r="AH81" s="260">
        <v>0</v>
      </c>
    </row>
    <row r="82" spans="1:34">
      <c r="A82" s="535"/>
      <c r="B82" s="427" t="s">
        <v>337</v>
      </c>
      <c r="C82" s="428">
        <v>6.0606060606060606E-3</v>
      </c>
      <c r="D82" s="263" t="s">
        <v>237</v>
      </c>
      <c r="E82" s="263" t="s">
        <v>237</v>
      </c>
      <c r="F82" s="263">
        <v>0</v>
      </c>
      <c r="G82" s="263">
        <v>0</v>
      </c>
      <c r="H82" s="263">
        <v>0</v>
      </c>
      <c r="I82" s="263">
        <v>0</v>
      </c>
      <c r="J82" s="263">
        <v>0</v>
      </c>
      <c r="K82" s="263">
        <v>0</v>
      </c>
      <c r="L82" s="263">
        <v>0</v>
      </c>
      <c r="M82" s="263">
        <v>1</v>
      </c>
      <c r="N82" s="263">
        <v>0</v>
      </c>
      <c r="O82" s="263">
        <v>0</v>
      </c>
      <c r="P82" s="263" t="s">
        <v>237</v>
      </c>
      <c r="Q82" s="263" t="s">
        <v>237</v>
      </c>
      <c r="R82" s="263">
        <v>0</v>
      </c>
      <c r="S82" s="263">
        <v>0</v>
      </c>
      <c r="T82" s="263">
        <v>0</v>
      </c>
      <c r="U82" s="263">
        <v>0</v>
      </c>
      <c r="V82" s="263">
        <v>0</v>
      </c>
      <c r="W82" s="263">
        <v>0</v>
      </c>
      <c r="X82" s="263">
        <v>0</v>
      </c>
      <c r="Y82" s="263">
        <v>0</v>
      </c>
      <c r="Z82" s="263">
        <v>0</v>
      </c>
      <c r="AA82" s="263">
        <v>0</v>
      </c>
      <c r="AB82" s="263">
        <v>0</v>
      </c>
      <c r="AC82" s="263">
        <v>0</v>
      </c>
      <c r="AD82" s="263">
        <v>0</v>
      </c>
      <c r="AE82" s="263">
        <v>0</v>
      </c>
      <c r="AF82" s="263">
        <v>0</v>
      </c>
      <c r="AG82" s="263">
        <v>0</v>
      </c>
      <c r="AH82" s="263">
        <v>0</v>
      </c>
    </row>
    <row r="83" spans="1:34">
      <c r="A83" s="535"/>
      <c r="B83" s="429" t="s">
        <v>338</v>
      </c>
      <c r="C83" s="430">
        <v>0</v>
      </c>
      <c r="D83" s="260" t="s">
        <v>237</v>
      </c>
      <c r="E83" s="260" t="s">
        <v>237</v>
      </c>
      <c r="F83" s="260" t="s">
        <v>237</v>
      </c>
      <c r="G83" s="260" t="s">
        <v>237</v>
      </c>
      <c r="H83" s="260" t="s">
        <v>237</v>
      </c>
      <c r="I83" s="260" t="s">
        <v>237</v>
      </c>
      <c r="J83" s="260" t="s">
        <v>237</v>
      </c>
      <c r="K83" s="260" t="s">
        <v>237</v>
      </c>
      <c r="L83" s="260" t="s">
        <v>237</v>
      </c>
      <c r="M83" s="260" t="s">
        <v>237</v>
      </c>
      <c r="N83" s="260" t="s">
        <v>237</v>
      </c>
      <c r="O83" s="260" t="s">
        <v>237</v>
      </c>
      <c r="P83" s="260" t="s">
        <v>237</v>
      </c>
      <c r="Q83" s="260" t="s">
        <v>237</v>
      </c>
      <c r="R83" s="260" t="s">
        <v>237</v>
      </c>
      <c r="S83" s="260" t="s">
        <v>237</v>
      </c>
      <c r="T83" s="260" t="s">
        <v>237</v>
      </c>
      <c r="U83" s="260" t="s">
        <v>237</v>
      </c>
      <c r="V83" s="260" t="s">
        <v>237</v>
      </c>
      <c r="W83" s="260">
        <v>0</v>
      </c>
      <c r="X83" s="260">
        <v>0</v>
      </c>
      <c r="Y83" s="260">
        <v>0</v>
      </c>
      <c r="Z83" s="260">
        <v>0</v>
      </c>
      <c r="AA83" s="260" t="s">
        <v>237</v>
      </c>
      <c r="AB83" s="260" t="s">
        <v>237</v>
      </c>
      <c r="AC83" s="260" t="s">
        <v>237</v>
      </c>
      <c r="AD83" s="260" t="s">
        <v>237</v>
      </c>
      <c r="AE83" s="260">
        <v>0</v>
      </c>
      <c r="AF83" s="260">
        <v>0</v>
      </c>
      <c r="AG83" s="260">
        <v>0</v>
      </c>
      <c r="AH83" s="260">
        <v>0</v>
      </c>
    </row>
    <row r="84" spans="1:34">
      <c r="A84" s="535"/>
      <c r="B84" s="427" t="s">
        <v>340</v>
      </c>
      <c r="C84" s="428">
        <v>5.3333333333333337E-2</v>
      </c>
      <c r="D84" s="263" t="s">
        <v>237</v>
      </c>
      <c r="E84" s="263" t="s">
        <v>237</v>
      </c>
      <c r="F84" s="263">
        <v>0</v>
      </c>
      <c r="G84" s="263">
        <v>0</v>
      </c>
      <c r="H84" s="263">
        <v>1</v>
      </c>
      <c r="I84" s="263" t="s">
        <v>237</v>
      </c>
      <c r="J84" s="263" t="s">
        <v>237</v>
      </c>
      <c r="K84" s="263" t="s">
        <v>237</v>
      </c>
      <c r="L84" s="263">
        <v>0</v>
      </c>
      <c r="M84" s="263">
        <v>1</v>
      </c>
      <c r="N84" s="263" t="s">
        <v>237</v>
      </c>
      <c r="O84" s="263" t="s">
        <v>237</v>
      </c>
      <c r="P84" s="263" t="s">
        <v>237</v>
      </c>
      <c r="Q84" s="263" t="s">
        <v>237</v>
      </c>
      <c r="R84" s="263" t="s">
        <v>237</v>
      </c>
      <c r="S84" s="263" t="s">
        <v>237</v>
      </c>
      <c r="T84" s="263">
        <v>0</v>
      </c>
      <c r="U84" s="263">
        <v>1</v>
      </c>
      <c r="V84" s="263" t="s">
        <v>237</v>
      </c>
      <c r="W84" s="263" t="s">
        <v>237</v>
      </c>
      <c r="X84" s="263" t="s">
        <v>237</v>
      </c>
      <c r="Y84" s="263" t="s">
        <v>237</v>
      </c>
      <c r="Z84" s="263" t="s">
        <v>237</v>
      </c>
      <c r="AA84" s="263" t="s">
        <v>237</v>
      </c>
      <c r="AB84" s="263">
        <v>0</v>
      </c>
      <c r="AC84" s="263">
        <v>0</v>
      </c>
      <c r="AD84" s="263">
        <v>0</v>
      </c>
      <c r="AE84" s="263">
        <v>0</v>
      </c>
      <c r="AF84" s="263">
        <v>6.6666666666666666E-2</v>
      </c>
      <c r="AG84" s="263">
        <v>0</v>
      </c>
      <c r="AH84" s="263">
        <v>0</v>
      </c>
    </row>
    <row r="85" spans="1:34">
      <c r="A85" s="535"/>
      <c r="B85" s="429" t="s">
        <v>342</v>
      </c>
      <c r="C85" s="430">
        <v>2.185792349726776E-2</v>
      </c>
      <c r="D85" s="260" t="s">
        <v>237</v>
      </c>
      <c r="E85" s="260" t="s">
        <v>237</v>
      </c>
      <c r="F85" s="260" t="s">
        <v>237</v>
      </c>
      <c r="G85" s="260" t="s">
        <v>237</v>
      </c>
      <c r="H85" s="260" t="s">
        <v>237</v>
      </c>
      <c r="I85" s="260" t="s">
        <v>237</v>
      </c>
      <c r="J85" s="260">
        <v>0</v>
      </c>
      <c r="K85" s="260">
        <v>0</v>
      </c>
      <c r="L85" s="260">
        <v>0</v>
      </c>
      <c r="M85" s="260">
        <v>0</v>
      </c>
      <c r="N85" s="260">
        <v>0</v>
      </c>
      <c r="O85" s="260">
        <v>0.5</v>
      </c>
      <c r="P85" s="260">
        <v>0</v>
      </c>
      <c r="Q85" s="260">
        <v>0</v>
      </c>
      <c r="R85" s="260">
        <v>0</v>
      </c>
      <c r="S85" s="260">
        <v>0</v>
      </c>
      <c r="T85" s="260">
        <v>0</v>
      </c>
      <c r="U85" s="260">
        <v>0</v>
      </c>
      <c r="V85" s="260">
        <v>0</v>
      </c>
      <c r="W85" s="260">
        <v>0</v>
      </c>
      <c r="X85" s="260">
        <v>0</v>
      </c>
      <c r="Y85" s="260">
        <v>0.1</v>
      </c>
      <c r="Z85" s="260">
        <v>0</v>
      </c>
      <c r="AA85" s="260">
        <v>7.6923076923076927E-2</v>
      </c>
      <c r="AB85" s="260">
        <v>0</v>
      </c>
      <c r="AC85" s="260">
        <v>0</v>
      </c>
      <c r="AD85" s="260">
        <v>0</v>
      </c>
      <c r="AE85" s="260">
        <v>0</v>
      </c>
      <c r="AF85" s="260">
        <v>0</v>
      </c>
      <c r="AG85" s="260">
        <v>5.5555555555555552E-2</v>
      </c>
      <c r="AH85" s="260">
        <v>0</v>
      </c>
    </row>
    <row r="86" spans="1:34">
      <c r="A86" s="535"/>
    </row>
    <row r="87" spans="1:34">
      <c r="B87" s="236" t="s">
        <v>388</v>
      </c>
    </row>
    <row r="89" spans="1:34" ht="43.2">
      <c r="B89" s="424" t="s">
        <v>124</v>
      </c>
      <c r="C89" s="425" t="s">
        <v>14</v>
      </c>
      <c r="D89" s="426">
        <f>+D$4</f>
        <v>1994</v>
      </c>
      <c r="E89" s="426">
        <f t="shared" ref="E89:AH89" si="1">+E$4</f>
        <v>1995</v>
      </c>
      <c r="F89" s="426">
        <f t="shared" si="1"/>
        <v>1996</v>
      </c>
      <c r="G89" s="426">
        <f t="shared" si="1"/>
        <v>1997</v>
      </c>
      <c r="H89" s="426">
        <f t="shared" si="1"/>
        <v>1998</v>
      </c>
      <c r="I89" s="426">
        <f t="shared" si="1"/>
        <v>1999</v>
      </c>
      <c r="J89" s="426">
        <f t="shared" si="1"/>
        <v>2000</v>
      </c>
      <c r="K89" s="426">
        <f t="shared" si="1"/>
        <v>2001</v>
      </c>
      <c r="L89" s="426">
        <f t="shared" si="1"/>
        <v>2002</v>
      </c>
      <c r="M89" s="426">
        <f t="shared" si="1"/>
        <v>2003</v>
      </c>
      <c r="N89" s="426">
        <f t="shared" si="1"/>
        <v>2004</v>
      </c>
      <c r="O89" s="426">
        <f t="shared" si="1"/>
        <v>2005</v>
      </c>
      <c r="P89" s="426">
        <f t="shared" si="1"/>
        <v>2006</v>
      </c>
      <c r="Q89" s="426">
        <f t="shared" si="1"/>
        <v>2007</v>
      </c>
      <c r="R89" s="426">
        <f t="shared" si="1"/>
        <v>2008</v>
      </c>
      <c r="S89" s="426">
        <f t="shared" si="1"/>
        <v>2009</v>
      </c>
      <c r="T89" s="426">
        <f t="shared" si="1"/>
        <v>2010</v>
      </c>
      <c r="U89" s="426">
        <f t="shared" si="1"/>
        <v>2011</v>
      </c>
      <c r="V89" s="426">
        <f t="shared" si="1"/>
        <v>2012</v>
      </c>
      <c r="W89" s="426">
        <f t="shared" si="1"/>
        <v>2013</v>
      </c>
      <c r="X89" s="426">
        <f t="shared" si="1"/>
        <v>2014</v>
      </c>
      <c r="Y89" s="426">
        <f t="shared" si="1"/>
        <v>2015</v>
      </c>
      <c r="Z89" s="426">
        <f t="shared" si="1"/>
        <v>2016</v>
      </c>
      <c r="AA89" s="426">
        <f t="shared" si="1"/>
        <v>2017</v>
      </c>
      <c r="AB89" s="426">
        <f t="shared" si="1"/>
        <v>2018</v>
      </c>
      <c r="AC89" s="426">
        <f t="shared" si="1"/>
        <v>2019</v>
      </c>
      <c r="AD89" s="426">
        <f t="shared" si="1"/>
        <v>2020</v>
      </c>
      <c r="AE89" s="426">
        <f t="shared" si="1"/>
        <v>2021</v>
      </c>
      <c r="AF89" s="426">
        <f t="shared" si="1"/>
        <v>2022</v>
      </c>
      <c r="AG89" s="426">
        <f t="shared" si="1"/>
        <v>2023</v>
      </c>
      <c r="AH89" s="426">
        <f t="shared" si="1"/>
        <v>2024</v>
      </c>
    </row>
    <row r="90" spans="1:34">
      <c r="A90" s="535"/>
      <c r="B90" s="427" t="s">
        <v>261</v>
      </c>
      <c r="C90" s="428">
        <v>1.7241379310344831E-2</v>
      </c>
      <c r="D90" s="263" t="s">
        <v>237</v>
      </c>
      <c r="E90" s="263" t="s">
        <v>237</v>
      </c>
      <c r="F90" s="263" t="s">
        <v>237</v>
      </c>
      <c r="G90" s="263" t="s">
        <v>237</v>
      </c>
      <c r="H90" s="263" t="s">
        <v>237</v>
      </c>
      <c r="I90" s="263" t="s">
        <v>237</v>
      </c>
      <c r="J90" s="263" t="s">
        <v>237</v>
      </c>
      <c r="K90" s="263" t="s">
        <v>237</v>
      </c>
      <c r="L90" s="263" t="s">
        <v>237</v>
      </c>
      <c r="M90" s="263">
        <v>0</v>
      </c>
      <c r="N90" s="263">
        <v>0</v>
      </c>
      <c r="O90" s="263">
        <v>0</v>
      </c>
      <c r="P90" s="263">
        <v>0</v>
      </c>
      <c r="Q90" s="263">
        <v>0</v>
      </c>
      <c r="R90" s="263">
        <v>0</v>
      </c>
      <c r="S90" s="263">
        <v>0</v>
      </c>
      <c r="T90" s="263">
        <v>0</v>
      </c>
      <c r="U90" s="263">
        <v>0</v>
      </c>
      <c r="V90" s="263">
        <v>0</v>
      </c>
      <c r="W90" s="263">
        <v>0</v>
      </c>
      <c r="X90" s="263" t="s">
        <v>237</v>
      </c>
      <c r="Y90" s="263">
        <v>0</v>
      </c>
      <c r="Z90" s="263">
        <v>0</v>
      </c>
      <c r="AA90" s="263">
        <v>0</v>
      </c>
      <c r="AB90" s="263">
        <v>0</v>
      </c>
      <c r="AC90" s="263">
        <v>0</v>
      </c>
      <c r="AD90" s="263">
        <v>0</v>
      </c>
      <c r="AE90" s="263">
        <v>0</v>
      </c>
      <c r="AF90" s="263">
        <v>0</v>
      </c>
      <c r="AG90" s="263">
        <v>0.1111111111111111</v>
      </c>
      <c r="AH90" s="263">
        <v>0</v>
      </c>
    </row>
    <row r="91" spans="1:34">
      <c r="A91" s="535"/>
      <c r="B91" s="429" t="s">
        <v>268</v>
      </c>
      <c r="C91" s="430">
        <v>0</v>
      </c>
      <c r="D91" s="260">
        <v>0</v>
      </c>
      <c r="E91" s="260" t="s">
        <v>237</v>
      </c>
      <c r="F91" s="260" t="s">
        <v>237</v>
      </c>
      <c r="G91" s="260" t="s">
        <v>237</v>
      </c>
      <c r="H91" s="260">
        <v>0</v>
      </c>
      <c r="I91" s="260">
        <v>0</v>
      </c>
      <c r="J91" s="260">
        <v>0</v>
      </c>
      <c r="K91" s="260">
        <v>0</v>
      </c>
      <c r="L91" s="260">
        <v>0</v>
      </c>
      <c r="M91" s="260">
        <v>0</v>
      </c>
      <c r="N91" s="260">
        <v>0</v>
      </c>
      <c r="O91" s="260">
        <v>0</v>
      </c>
      <c r="P91" s="260">
        <v>0</v>
      </c>
      <c r="Q91" s="260" t="s">
        <v>237</v>
      </c>
      <c r="R91" s="260" t="s">
        <v>237</v>
      </c>
      <c r="S91" s="260">
        <v>0</v>
      </c>
      <c r="T91" s="260">
        <v>0</v>
      </c>
      <c r="U91" s="260">
        <v>0</v>
      </c>
      <c r="V91" s="260">
        <v>0</v>
      </c>
      <c r="W91" s="260">
        <v>0</v>
      </c>
      <c r="X91" s="260">
        <v>0</v>
      </c>
      <c r="Y91" s="260">
        <v>0</v>
      </c>
      <c r="Z91" s="260">
        <v>0</v>
      </c>
      <c r="AA91" s="260">
        <v>0</v>
      </c>
      <c r="AB91" s="260">
        <v>0</v>
      </c>
      <c r="AC91" s="260">
        <v>0</v>
      </c>
      <c r="AD91" s="260">
        <v>0</v>
      </c>
      <c r="AE91" s="260">
        <v>0</v>
      </c>
      <c r="AF91" s="260">
        <v>0</v>
      </c>
      <c r="AG91" s="260">
        <v>0</v>
      </c>
      <c r="AH91" s="260">
        <v>0</v>
      </c>
    </row>
    <row r="92" spans="1:34">
      <c r="A92" s="535"/>
      <c r="B92" s="427" t="s">
        <v>269</v>
      </c>
      <c r="C92" s="428">
        <v>3.968253968253968E-2</v>
      </c>
      <c r="D92" s="263" t="s">
        <v>237</v>
      </c>
      <c r="E92" s="263">
        <v>0</v>
      </c>
      <c r="F92" s="263">
        <v>0</v>
      </c>
      <c r="G92" s="263">
        <v>0</v>
      </c>
      <c r="H92" s="263">
        <v>0</v>
      </c>
      <c r="I92" s="263">
        <v>0</v>
      </c>
      <c r="J92" s="263" t="s">
        <v>237</v>
      </c>
      <c r="K92" s="263" t="s">
        <v>237</v>
      </c>
      <c r="L92" s="263" t="s">
        <v>237</v>
      </c>
      <c r="M92" s="263">
        <v>1</v>
      </c>
      <c r="N92" s="263">
        <v>0</v>
      </c>
      <c r="O92" s="263">
        <v>0</v>
      </c>
      <c r="P92" s="263">
        <v>0</v>
      </c>
      <c r="Q92" s="263">
        <v>0</v>
      </c>
      <c r="R92" s="263">
        <v>0</v>
      </c>
      <c r="S92" s="263">
        <v>0</v>
      </c>
      <c r="T92" s="263">
        <v>0</v>
      </c>
      <c r="U92" s="263">
        <v>0</v>
      </c>
      <c r="V92" s="263">
        <v>0</v>
      </c>
      <c r="W92" s="263">
        <v>0</v>
      </c>
      <c r="X92" s="263">
        <v>0</v>
      </c>
      <c r="Y92" s="263">
        <v>0.1</v>
      </c>
      <c r="Z92" s="263">
        <v>0.125</v>
      </c>
      <c r="AA92" s="263">
        <v>0.14285714285714279</v>
      </c>
      <c r="AB92" s="263">
        <v>0</v>
      </c>
      <c r="AC92" s="263">
        <v>0</v>
      </c>
      <c r="AD92" s="263">
        <v>0</v>
      </c>
      <c r="AE92" s="263">
        <v>0</v>
      </c>
      <c r="AF92" s="263">
        <v>0</v>
      </c>
      <c r="AG92" s="263">
        <v>0.16666666666666671</v>
      </c>
      <c r="AH92" s="263">
        <v>0</v>
      </c>
    </row>
    <row r="93" spans="1:34">
      <c r="A93" s="535"/>
      <c r="B93" s="429" t="s">
        <v>270</v>
      </c>
      <c r="C93" s="430">
        <v>1.7751479289940829E-2</v>
      </c>
      <c r="D93" s="260">
        <v>0</v>
      </c>
      <c r="E93" s="260">
        <v>0</v>
      </c>
      <c r="F93" s="260">
        <v>0</v>
      </c>
      <c r="G93" s="260">
        <v>0</v>
      </c>
      <c r="H93" s="260">
        <v>0</v>
      </c>
      <c r="I93" s="260">
        <v>0</v>
      </c>
      <c r="J93" s="260">
        <v>0</v>
      </c>
      <c r="K93" s="260">
        <v>0</v>
      </c>
      <c r="L93" s="260" t="s">
        <v>237</v>
      </c>
      <c r="M93" s="260" t="s">
        <v>237</v>
      </c>
      <c r="N93" s="260" t="s">
        <v>237</v>
      </c>
      <c r="O93" s="260" t="s">
        <v>237</v>
      </c>
      <c r="P93" s="260" t="s">
        <v>237</v>
      </c>
      <c r="Q93" s="260" t="s">
        <v>237</v>
      </c>
      <c r="R93" s="260" t="s">
        <v>237</v>
      </c>
      <c r="S93" s="260" t="s">
        <v>237</v>
      </c>
      <c r="T93" s="260" t="s">
        <v>237</v>
      </c>
      <c r="U93" s="260" t="s">
        <v>237</v>
      </c>
      <c r="V93" s="260" t="s">
        <v>237</v>
      </c>
      <c r="W93" s="260" t="s">
        <v>237</v>
      </c>
      <c r="X93" s="260" t="s">
        <v>237</v>
      </c>
      <c r="Y93" s="260">
        <v>6.25E-2</v>
      </c>
      <c r="Z93" s="260">
        <v>0</v>
      </c>
      <c r="AA93" s="260">
        <v>5.8823529411764712E-2</v>
      </c>
      <c r="AB93" s="260">
        <v>0</v>
      </c>
      <c r="AC93" s="260">
        <v>0</v>
      </c>
      <c r="AD93" s="260">
        <v>0</v>
      </c>
      <c r="AE93" s="260">
        <v>0</v>
      </c>
      <c r="AF93" s="260">
        <v>0</v>
      </c>
      <c r="AG93" s="260">
        <v>0</v>
      </c>
      <c r="AH93" s="260">
        <v>6.6666666666666666E-2</v>
      </c>
    </row>
    <row r="94" spans="1:34">
      <c r="A94" s="535"/>
      <c r="B94" s="427" t="s">
        <v>279</v>
      </c>
      <c r="C94" s="428">
        <v>1.204819277108434E-2</v>
      </c>
      <c r="D94" s="263" t="s">
        <v>237</v>
      </c>
      <c r="E94" s="263" t="s">
        <v>237</v>
      </c>
      <c r="F94" s="263" t="s">
        <v>237</v>
      </c>
      <c r="G94" s="263" t="s">
        <v>237</v>
      </c>
      <c r="H94" s="263" t="s">
        <v>237</v>
      </c>
      <c r="I94" s="263" t="s">
        <v>237</v>
      </c>
      <c r="J94" s="263" t="s">
        <v>237</v>
      </c>
      <c r="K94" s="263" t="s">
        <v>237</v>
      </c>
      <c r="L94" s="263" t="s">
        <v>237</v>
      </c>
      <c r="M94" s="263" t="s">
        <v>237</v>
      </c>
      <c r="N94" s="263" t="s">
        <v>237</v>
      </c>
      <c r="O94" s="263" t="s">
        <v>237</v>
      </c>
      <c r="P94" s="263" t="s">
        <v>237</v>
      </c>
      <c r="Q94" s="263" t="s">
        <v>237</v>
      </c>
      <c r="R94" s="263" t="s">
        <v>237</v>
      </c>
      <c r="S94" s="263" t="s">
        <v>237</v>
      </c>
      <c r="T94" s="263" t="s">
        <v>237</v>
      </c>
      <c r="U94" s="263" t="s">
        <v>237</v>
      </c>
      <c r="V94" s="263" t="s">
        <v>237</v>
      </c>
      <c r="W94" s="263" t="s">
        <v>237</v>
      </c>
      <c r="X94" s="263" t="s">
        <v>237</v>
      </c>
      <c r="Y94" s="263">
        <v>7.1428571428571425E-2</v>
      </c>
      <c r="Z94" s="263">
        <v>0</v>
      </c>
      <c r="AA94" s="263">
        <v>0</v>
      </c>
      <c r="AB94" s="263">
        <v>0</v>
      </c>
      <c r="AC94" s="263">
        <v>0</v>
      </c>
      <c r="AD94" s="263">
        <v>0</v>
      </c>
      <c r="AE94" s="263">
        <v>0</v>
      </c>
      <c r="AF94" s="263">
        <v>0</v>
      </c>
      <c r="AG94" s="263">
        <v>0</v>
      </c>
      <c r="AH94" s="263">
        <v>0</v>
      </c>
    </row>
    <row r="95" spans="1:34">
      <c r="A95" s="535"/>
      <c r="B95" s="429" t="s">
        <v>285</v>
      </c>
      <c r="C95" s="430">
        <v>3.3840947546531302E-3</v>
      </c>
      <c r="D95" s="260">
        <v>0</v>
      </c>
      <c r="E95" s="260">
        <v>0</v>
      </c>
      <c r="F95" s="260">
        <v>0</v>
      </c>
      <c r="G95" s="260">
        <v>0</v>
      </c>
      <c r="H95" s="260">
        <v>0</v>
      </c>
      <c r="I95" s="260">
        <v>0</v>
      </c>
      <c r="J95" s="260">
        <v>0</v>
      </c>
      <c r="K95" s="260">
        <v>0</v>
      </c>
      <c r="L95" s="260">
        <v>0</v>
      </c>
      <c r="M95" s="260">
        <v>0</v>
      </c>
      <c r="N95" s="260">
        <v>0</v>
      </c>
      <c r="O95" s="260">
        <v>0</v>
      </c>
      <c r="P95" s="260">
        <v>0</v>
      </c>
      <c r="Q95" s="260">
        <v>0</v>
      </c>
      <c r="R95" s="260">
        <v>0</v>
      </c>
      <c r="S95" s="260">
        <v>0</v>
      </c>
      <c r="T95" s="260">
        <v>0</v>
      </c>
      <c r="U95" s="260">
        <v>0</v>
      </c>
      <c r="V95" s="260">
        <v>0</v>
      </c>
      <c r="W95" s="260">
        <v>0</v>
      </c>
      <c r="X95" s="260">
        <v>0</v>
      </c>
      <c r="Y95" s="260">
        <v>0</v>
      </c>
      <c r="Z95" s="260">
        <v>0</v>
      </c>
      <c r="AA95" s="260">
        <v>0</v>
      </c>
      <c r="AB95" s="260">
        <v>0</v>
      </c>
      <c r="AC95" s="260">
        <v>3.8461538461538457E-2</v>
      </c>
      <c r="AD95" s="260">
        <v>0</v>
      </c>
      <c r="AE95" s="260">
        <v>0</v>
      </c>
      <c r="AF95" s="260">
        <v>0</v>
      </c>
      <c r="AG95" s="260">
        <v>0</v>
      </c>
      <c r="AH95" s="260">
        <v>0</v>
      </c>
    </row>
    <row r="96" spans="1:34">
      <c r="A96" s="535"/>
      <c r="B96" s="427" t="s">
        <v>305</v>
      </c>
      <c r="C96" s="428">
        <v>7.2916666666666671E-2</v>
      </c>
      <c r="D96" s="263" t="s">
        <v>237</v>
      </c>
      <c r="E96" s="263" t="s">
        <v>237</v>
      </c>
      <c r="F96" s="263" t="s">
        <v>237</v>
      </c>
      <c r="G96" s="263" t="s">
        <v>237</v>
      </c>
      <c r="H96" s="263" t="s">
        <v>237</v>
      </c>
      <c r="I96" s="263" t="s">
        <v>237</v>
      </c>
      <c r="J96" s="263" t="s">
        <v>237</v>
      </c>
      <c r="K96" s="263" t="s">
        <v>237</v>
      </c>
      <c r="L96" s="263" t="s">
        <v>237</v>
      </c>
      <c r="M96" s="263">
        <v>0</v>
      </c>
      <c r="N96" s="263">
        <v>0</v>
      </c>
      <c r="O96" s="263">
        <v>0</v>
      </c>
      <c r="P96" s="263">
        <v>0</v>
      </c>
      <c r="Q96" s="263">
        <v>0</v>
      </c>
      <c r="R96" s="263">
        <v>0</v>
      </c>
      <c r="S96" s="263">
        <v>0.42857142857142849</v>
      </c>
      <c r="T96" s="263">
        <v>0.25</v>
      </c>
      <c r="U96" s="263">
        <v>0</v>
      </c>
      <c r="V96" s="263">
        <v>0.33333333333333331</v>
      </c>
      <c r="W96" s="263">
        <v>0</v>
      </c>
      <c r="X96" s="263">
        <v>0</v>
      </c>
      <c r="Y96" s="263">
        <v>0</v>
      </c>
      <c r="Z96" s="263">
        <v>0</v>
      </c>
      <c r="AA96" s="263">
        <v>0</v>
      </c>
      <c r="AB96" s="263">
        <v>0</v>
      </c>
      <c r="AC96" s="263">
        <v>0.05</v>
      </c>
      <c r="AD96" s="263">
        <v>0.15</v>
      </c>
      <c r="AE96" s="263">
        <v>0.1111111111111111</v>
      </c>
      <c r="AF96" s="263">
        <v>7.1428571428571425E-2</v>
      </c>
      <c r="AG96" s="263">
        <v>6.6666666666666666E-2</v>
      </c>
      <c r="AH96" s="263">
        <v>5.5555555555555552E-2</v>
      </c>
    </row>
    <row r="97" spans="1:34">
      <c r="A97" s="535"/>
      <c r="B97" s="429" t="s">
        <v>310</v>
      </c>
      <c r="C97" s="430">
        <v>2.150537634408602E-2</v>
      </c>
      <c r="D97" s="260" t="s">
        <v>237</v>
      </c>
      <c r="E97" s="260" t="s">
        <v>237</v>
      </c>
      <c r="F97" s="260" t="s">
        <v>237</v>
      </c>
      <c r="G97" s="260" t="s">
        <v>237</v>
      </c>
      <c r="H97" s="260" t="s">
        <v>237</v>
      </c>
      <c r="I97" s="260" t="s">
        <v>237</v>
      </c>
      <c r="J97" s="260" t="s">
        <v>237</v>
      </c>
      <c r="K97" s="260" t="s">
        <v>237</v>
      </c>
      <c r="L97" s="260" t="s">
        <v>237</v>
      </c>
      <c r="M97" s="260" t="s">
        <v>237</v>
      </c>
      <c r="N97" s="260" t="s">
        <v>237</v>
      </c>
      <c r="O97" s="260">
        <v>0</v>
      </c>
      <c r="P97" s="260">
        <v>0</v>
      </c>
      <c r="Q97" s="260">
        <v>0</v>
      </c>
      <c r="R97" s="260">
        <v>0</v>
      </c>
      <c r="S97" s="260">
        <v>0.14285714285714279</v>
      </c>
      <c r="T97" s="260">
        <v>0</v>
      </c>
      <c r="U97" s="260">
        <v>0.25</v>
      </c>
      <c r="V97" s="260">
        <v>0</v>
      </c>
      <c r="W97" s="260">
        <v>7.6923076923076927E-2</v>
      </c>
      <c r="X97" s="260">
        <v>0</v>
      </c>
      <c r="Y97" s="260">
        <v>4.7619047619047623E-2</v>
      </c>
      <c r="Z97" s="260">
        <v>0</v>
      </c>
      <c r="AA97" s="260">
        <v>0</v>
      </c>
      <c r="AB97" s="260">
        <v>0</v>
      </c>
      <c r="AC97" s="260">
        <v>0</v>
      </c>
      <c r="AD97" s="260">
        <v>0</v>
      </c>
      <c r="AE97" s="260">
        <v>0</v>
      </c>
      <c r="AF97" s="260">
        <v>0</v>
      </c>
      <c r="AG97" s="260">
        <v>0</v>
      </c>
      <c r="AH97" s="260">
        <v>4.2553191489361701E-2</v>
      </c>
    </row>
    <row r="98" spans="1:34">
      <c r="A98" s="535"/>
      <c r="B98" s="427" t="s">
        <v>318</v>
      </c>
      <c r="C98" s="428">
        <v>3.2679738562091512E-2</v>
      </c>
      <c r="D98" s="263" t="s">
        <v>237</v>
      </c>
      <c r="E98" s="263" t="s">
        <v>237</v>
      </c>
      <c r="F98" s="263" t="s">
        <v>237</v>
      </c>
      <c r="G98" s="263" t="s">
        <v>237</v>
      </c>
      <c r="H98" s="263" t="s">
        <v>237</v>
      </c>
      <c r="I98" s="263" t="s">
        <v>237</v>
      </c>
      <c r="J98" s="263">
        <v>1</v>
      </c>
      <c r="K98" s="263" t="s">
        <v>237</v>
      </c>
      <c r="L98" s="263">
        <v>0</v>
      </c>
      <c r="M98" s="263">
        <v>0</v>
      </c>
      <c r="N98" s="263">
        <v>0.33333333333333331</v>
      </c>
      <c r="O98" s="263">
        <v>0</v>
      </c>
      <c r="P98" s="263">
        <v>0</v>
      </c>
      <c r="Q98" s="263">
        <v>0</v>
      </c>
      <c r="R98" s="263">
        <v>0.2</v>
      </c>
      <c r="S98" s="263">
        <v>0.2</v>
      </c>
      <c r="T98" s="263">
        <v>0</v>
      </c>
      <c r="U98" s="263">
        <v>0</v>
      </c>
      <c r="V98" s="263">
        <v>0</v>
      </c>
      <c r="W98" s="263">
        <v>7.6923076923076927E-2</v>
      </c>
      <c r="X98" s="263">
        <v>8.3333333333333329E-2</v>
      </c>
      <c r="Y98" s="263">
        <v>0</v>
      </c>
      <c r="Z98" s="263">
        <v>6.0606060606060608E-2</v>
      </c>
      <c r="AA98" s="263">
        <v>3.2258064516129031E-2</v>
      </c>
      <c r="AB98" s="263">
        <v>5.8823529411764712E-2</v>
      </c>
      <c r="AC98" s="263">
        <v>2.8571428571428571E-2</v>
      </c>
      <c r="AD98" s="263">
        <v>3.03030303030303E-2</v>
      </c>
      <c r="AE98" s="263">
        <v>0</v>
      </c>
      <c r="AF98" s="263">
        <v>0</v>
      </c>
      <c r="AG98" s="263">
        <v>2.0408163265306121E-2</v>
      </c>
      <c r="AH98" s="263">
        <v>1.8518518518518521E-2</v>
      </c>
    </row>
    <row r="99" spans="1:34">
      <c r="A99" s="535"/>
      <c r="B99" s="429" t="s">
        <v>319</v>
      </c>
      <c r="C99" s="430">
        <v>1.2500000000000001E-2</v>
      </c>
      <c r="D99" s="260" t="s">
        <v>237</v>
      </c>
      <c r="E99" s="260" t="s">
        <v>237</v>
      </c>
      <c r="F99" s="260" t="s">
        <v>237</v>
      </c>
      <c r="G99" s="260" t="s">
        <v>237</v>
      </c>
      <c r="H99" s="260" t="s">
        <v>237</v>
      </c>
      <c r="I99" s="260">
        <v>0</v>
      </c>
      <c r="J99" s="260">
        <v>0</v>
      </c>
      <c r="K99" s="260">
        <v>0</v>
      </c>
      <c r="L99" s="260" t="s">
        <v>237</v>
      </c>
      <c r="M99" s="260" t="s">
        <v>237</v>
      </c>
      <c r="N99" s="260">
        <v>0</v>
      </c>
      <c r="O99" s="260">
        <v>0</v>
      </c>
      <c r="P99" s="260">
        <v>0</v>
      </c>
      <c r="Q99" s="260">
        <v>0</v>
      </c>
      <c r="R99" s="260">
        <v>0</v>
      </c>
      <c r="S99" s="260">
        <v>0</v>
      </c>
      <c r="T99" s="260">
        <v>0</v>
      </c>
      <c r="U99" s="260">
        <v>0</v>
      </c>
      <c r="V99" s="260">
        <v>0.25</v>
      </c>
      <c r="W99" s="260">
        <v>0</v>
      </c>
      <c r="X99" s="260">
        <v>0</v>
      </c>
      <c r="Y99" s="260">
        <v>0</v>
      </c>
      <c r="Z99" s="260">
        <v>0.14285714285714279</v>
      </c>
      <c r="AA99" s="260">
        <v>0</v>
      </c>
      <c r="AB99" s="260">
        <v>0</v>
      </c>
      <c r="AC99" s="260">
        <v>0</v>
      </c>
      <c r="AD99" s="260">
        <v>0</v>
      </c>
      <c r="AE99" s="260">
        <v>0</v>
      </c>
      <c r="AF99" s="260">
        <v>0</v>
      </c>
      <c r="AG99" s="260">
        <v>0</v>
      </c>
      <c r="AH99" s="260">
        <v>0</v>
      </c>
    </row>
    <row r="100" spans="1:34">
      <c r="A100" s="535"/>
      <c r="B100" s="427" t="s">
        <v>326</v>
      </c>
      <c r="C100" s="428">
        <v>0</v>
      </c>
      <c r="D100" s="263" t="s">
        <v>237</v>
      </c>
      <c r="E100" s="263" t="s">
        <v>237</v>
      </c>
      <c r="F100" s="263" t="s">
        <v>237</v>
      </c>
      <c r="G100" s="263" t="s">
        <v>237</v>
      </c>
      <c r="H100" s="263" t="s">
        <v>237</v>
      </c>
      <c r="I100" s="263" t="s">
        <v>237</v>
      </c>
      <c r="J100" s="263" t="s">
        <v>237</v>
      </c>
      <c r="K100" s="263" t="s">
        <v>237</v>
      </c>
      <c r="L100" s="263" t="s">
        <v>237</v>
      </c>
      <c r="M100" s="263" t="s">
        <v>237</v>
      </c>
      <c r="N100" s="263" t="s">
        <v>237</v>
      </c>
      <c r="O100" s="263" t="s">
        <v>237</v>
      </c>
      <c r="P100" s="263" t="s">
        <v>237</v>
      </c>
      <c r="Q100" s="263" t="s">
        <v>237</v>
      </c>
      <c r="R100" s="263" t="s">
        <v>237</v>
      </c>
      <c r="S100" s="263" t="s">
        <v>237</v>
      </c>
      <c r="T100" s="263">
        <v>0</v>
      </c>
      <c r="U100" s="263">
        <v>0</v>
      </c>
      <c r="V100" s="263">
        <v>0</v>
      </c>
      <c r="W100" s="263">
        <v>0</v>
      </c>
      <c r="X100" s="263">
        <v>0</v>
      </c>
      <c r="Y100" s="263">
        <v>0</v>
      </c>
      <c r="Z100" s="263">
        <v>0</v>
      </c>
      <c r="AA100" s="263">
        <v>0</v>
      </c>
      <c r="AB100" s="263">
        <v>0</v>
      </c>
      <c r="AC100" s="263">
        <v>0</v>
      </c>
      <c r="AD100" s="263">
        <v>0</v>
      </c>
      <c r="AE100" s="263">
        <v>0</v>
      </c>
      <c r="AF100" s="263">
        <v>0</v>
      </c>
      <c r="AG100" s="263">
        <v>0</v>
      </c>
      <c r="AH100" s="263">
        <v>0</v>
      </c>
    </row>
    <row r="101" spans="1:34">
      <c r="A101" s="535"/>
      <c r="B101" s="429" t="s">
        <v>332</v>
      </c>
      <c r="C101" s="430">
        <v>0</v>
      </c>
      <c r="D101" s="260">
        <v>0</v>
      </c>
      <c r="E101" s="260">
        <v>0</v>
      </c>
      <c r="F101" s="260">
        <v>0</v>
      </c>
      <c r="G101" s="260">
        <v>0</v>
      </c>
      <c r="H101" s="260" t="s">
        <v>237</v>
      </c>
      <c r="I101" s="260" t="s">
        <v>237</v>
      </c>
      <c r="J101" s="260" t="s">
        <v>237</v>
      </c>
      <c r="K101" s="260" t="s">
        <v>237</v>
      </c>
      <c r="L101" s="260" t="s">
        <v>237</v>
      </c>
      <c r="M101" s="260" t="s">
        <v>237</v>
      </c>
      <c r="N101" s="260" t="s">
        <v>237</v>
      </c>
      <c r="O101" s="260">
        <v>0</v>
      </c>
      <c r="P101" s="260">
        <v>0</v>
      </c>
      <c r="Q101" s="260">
        <v>0</v>
      </c>
      <c r="R101" s="260">
        <v>0</v>
      </c>
      <c r="S101" s="260">
        <v>0</v>
      </c>
      <c r="T101" s="260">
        <v>0</v>
      </c>
      <c r="U101" s="260">
        <v>0</v>
      </c>
      <c r="V101" s="260">
        <v>0</v>
      </c>
      <c r="W101" s="260">
        <v>0</v>
      </c>
      <c r="X101" s="260">
        <v>0</v>
      </c>
      <c r="Y101" s="260">
        <v>0</v>
      </c>
      <c r="Z101" s="260">
        <v>0</v>
      </c>
      <c r="AA101" s="260">
        <v>0</v>
      </c>
      <c r="AB101" s="260">
        <v>0</v>
      </c>
      <c r="AC101" s="260">
        <v>0</v>
      </c>
      <c r="AD101" s="260">
        <v>0</v>
      </c>
      <c r="AE101" s="260">
        <v>0</v>
      </c>
      <c r="AF101" s="260">
        <v>0</v>
      </c>
      <c r="AG101" s="260">
        <v>0</v>
      </c>
      <c r="AH101" s="260">
        <v>0</v>
      </c>
    </row>
    <row r="102" spans="1:34">
      <c r="A102" s="535"/>
    </row>
    <row r="103" spans="1:34">
      <c r="B103" s="236" t="s">
        <v>389</v>
      </c>
    </row>
    <row r="105" spans="1:34" ht="43.2">
      <c r="B105" s="424" t="s">
        <v>124</v>
      </c>
      <c r="C105" s="425" t="s">
        <v>14</v>
      </c>
      <c r="D105" s="426">
        <f>+D$4</f>
        <v>1994</v>
      </c>
      <c r="E105" s="426">
        <f t="shared" ref="E105:AH105" si="2">+E$4</f>
        <v>1995</v>
      </c>
      <c r="F105" s="426">
        <f t="shared" si="2"/>
        <v>1996</v>
      </c>
      <c r="G105" s="426">
        <f t="shared" si="2"/>
        <v>1997</v>
      </c>
      <c r="H105" s="426">
        <f t="shared" si="2"/>
        <v>1998</v>
      </c>
      <c r="I105" s="426">
        <f t="shared" si="2"/>
        <v>1999</v>
      </c>
      <c r="J105" s="426">
        <f t="shared" si="2"/>
        <v>2000</v>
      </c>
      <c r="K105" s="426">
        <f t="shared" si="2"/>
        <v>2001</v>
      </c>
      <c r="L105" s="426">
        <f t="shared" si="2"/>
        <v>2002</v>
      </c>
      <c r="M105" s="426">
        <f t="shared" si="2"/>
        <v>2003</v>
      </c>
      <c r="N105" s="426">
        <f t="shared" si="2"/>
        <v>2004</v>
      </c>
      <c r="O105" s="426">
        <f t="shared" si="2"/>
        <v>2005</v>
      </c>
      <c r="P105" s="426">
        <f t="shared" si="2"/>
        <v>2006</v>
      </c>
      <c r="Q105" s="426">
        <f t="shared" si="2"/>
        <v>2007</v>
      </c>
      <c r="R105" s="426">
        <f t="shared" si="2"/>
        <v>2008</v>
      </c>
      <c r="S105" s="426">
        <f t="shared" si="2"/>
        <v>2009</v>
      </c>
      <c r="T105" s="426">
        <f t="shared" si="2"/>
        <v>2010</v>
      </c>
      <c r="U105" s="426">
        <f t="shared" si="2"/>
        <v>2011</v>
      </c>
      <c r="V105" s="426">
        <f t="shared" si="2"/>
        <v>2012</v>
      </c>
      <c r="W105" s="426">
        <f t="shared" si="2"/>
        <v>2013</v>
      </c>
      <c r="X105" s="426">
        <f t="shared" si="2"/>
        <v>2014</v>
      </c>
      <c r="Y105" s="426">
        <f t="shared" si="2"/>
        <v>2015</v>
      </c>
      <c r="Z105" s="426">
        <f t="shared" si="2"/>
        <v>2016</v>
      </c>
      <c r="AA105" s="426">
        <f t="shared" si="2"/>
        <v>2017</v>
      </c>
      <c r="AB105" s="426">
        <f t="shared" si="2"/>
        <v>2018</v>
      </c>
      <c r="AC105" s="426">
        <f t="shared" si="2"/>
        <v>2019</v>
      </c>
      <c r="AD105" s="426">
        <f t="shared" si="2"/>
        <v>2020</v>
      </c>
      <c r="AE105" s="426">
        <f t="shared" si="2"/>
        <v>2021</v>
      </c>
      <c r="AF105" s="426">
        <f t="shared" si="2"/>
        <v>2022</v>
      </c>
      <c r="AG105" s="426">
        <f t="shared" si="2"/>
        <v>2023</v>
      </c>
      <c r="AH105" s="426">
        <f t="shared" si="2"/>
        <v>2024</v>
      </c>
    </row>
    <row r="106" spans="1:34">
      <c r="A106" s="535"/>
      <c r="B106" s="427" t="s">
        <v>266</v>
      </c>
      <c r="C106" s="428">
        <v>0.1203007518796992</v>
      </c>
      <c r="D106" s="263">
        <v>0</v>
      </c>
      <c r="E106" s="263">
        <v>0</v>
      </c>
      <c r="F106" s="263">
        <v>0</v>
      </c>
      <c r="G106" s="263">
        <v>0</v>
      </c>
      <c r="H106" s="263" t="s">
        <v>237</v>
      </c>
      <c r="I106" s="263" t="s">
        <v>237</v>
      </c>
      <c r="J106" s="263" t="s">
        <v>237</v>
      </c>
      <c r="K106" s="263" t="s">
        <v>237</v>
      </c>
      <c r="L106" s="263" t="s">
        <v>237</v>
      </c>
      <c r="M106" s="263" t="s">
        <v>237</v>
      </c>
      <c r="N106" s="263" t="s">
        <v>237</v>
      </c>
      <c r="O106" s="263" t="s">
        <v>237</v>
      </c>
      <c r="P106" s="263" t="s">
        <v>237</v>
      </c>
      <c r="Q106" s="263" t="s">
        <v>237</v>
      </c>
      <c r="R106" s="263">
        <v>0</v>
      </c>
      <c r="S106" s="263">
        <v>0</v>
      </c>
      <c r="T106" s="263">
        <v>0</v>
      </c>
      <c r="U106" s="263">
        <v>0</v>
      </c>
      <c r="V106" s="263">
        <v>0</v>
      </c>
      <c r="W106" s="263">
        <v>0</v>
      </c>
      <c r="X106" s="263">
        <v>0.16666666666666671</v>
      </c>
      <c r="Y106" s="263">
        <v>0</v>
      </c>
      <c r="Z106" s="263">
        <v>0.35</v>
      </c>
      <c r="AA106" s="263">
        <v>0.23076923076923081</v>
      </c>
      <c r="AB106" s="263">
        <v>8.3333333333333329E-2</v>
      </c>
      <c r="AC106" s="263">
        <v>9.0909090909090912E-2</v>
      </c>
      <c r="AD106" s="263">
        <v>0.22222222222222221</v>
      </c>
      <c r="AE106" s="263">
        <v>0</v>
      </c>
      <c r="AF106" s="263">
        <v>0</v>
      </c>
      <c r="AG106" s="263">
        <v>0.25</v>
      </c>
      <c r="AH106" s="263">
        <v>0</v>
      </c>
    </row>
    <row r="107" spans="1:34">
      <c r="A107" s="535"/>
      <c r="B107" s="429" t="s">
        <v>274</v>
      </c>
      <c r="C107" s="430">
        <v>0</v>
      </c>
      <c r="D107" s="260" t="s">
        <v>237</v>
      </c>
      <c r="E107" s="260" t="s">
        <v>237</v>
      </c>
      <c r="F107" s="260" t="s">
        <v>237</v>
      </c>
      <c r="G107" s="260" t="s">
        <v>237</v>
      </c>
      <c r="H107" s="260" t="s">
        <v>237</v>
      </c>
      <c r="I107" s="260" t="s">
        <v>237</v>
      </c>
      <c r="J107" s="260" t="s">
        <v>237</v>
      </c>
      <c r="K107" s="260" t="s">
        <v>237</v>
      </c>
      <c r="L107" s="260" t="s">
        <v>237</v>
      </c>
      <c r="M107" s="260" t="s">
        <v>237</v>
      </c>
      <c r="N107" s="260" t="s">
        <v>237</v>
      </c>
      <c r="O107" s="260" t="s">
        <v>237</v>
      </c>
      <c r="P107" s="260" t="s">
        <v>237</v>
      </c>
      <c r="Q107" s="260" t="s">
        <v>237</v>
      </c>
      <c r="R107" s="260" t="s">
        <v>237</v>
      </c>
      <c r="S107" s="260" t="s">
        <v>237</v>
      </c>
      <c r="T107" s="260" t="s">
        <v>237</v>
      </c>
      <c r="U107" s="260" t="s">
        <v>237</v>
      </c>
      <c r="V107" s="260" t="s">
        <v>237</v>
      </c>
      <c r="W107" s="260" t="s">
        <v>237</v>
      </c>
      <c r="X107" s="260" t="s">
        <v>237</v>
      </c>
      <c r="Y107" s="260" t="s">
        <v>237</v>
      </c>
      <c r="Z107" s="260" t="s">
        <v>237</v>
      </c>
      <c r="AA107" s="260" t="s">
        <v>237</v>
      </c>
      <c r="AB107" s="260">
        <v>0</v>
      </c>
      <c r="AC107" s="260">
        <v>0</v>
      </c>
      <c r="AD107" s="260">
        <v>0</v>
      </c>
      <c r="AE107" s="260">
        <v>0</v>
      </c>
      <c r="AF107" s="260">
        <v>0</v>
      </c>
      <c r="AG107" s="260">
        <v>0</v>
      </c>
      <c r="AH107" s="260">
        <v>0</v>
      </c>
    </row>
    <row r="108" spans="1:34">
      <c r="A108" s="535"/>
      <c r="B108" s="427" t="s">
        <v>280</v>
      </c>
      <c r="C108" s="428">
        <v>5.3333333333333337E-2</v>
      </c>
      <c r="D108" s="263" t="s">
        <v>237</v>
      </c>
      <c r="E108" s="263" t="s">
        <v>237</v>
      </c>
      <c r="F108" s="263" t="s">
        <v>237</v>
      </c>
      <c r="G108" s="263" t="s">
        <v>237</v>
      </c>
      <c r="H108" s="263" t="s">
        <v>237</v>
      </c>
      <c r="I108" s="263" t="s">
        <v>237</v>
      </c>
      <c r="J108" s="263" t="s">
        <v>237</v>
      </c>
      <c r="K108" s="263" t="s">
        <v>237</v>
      </c>
      <c r="L108" s="263" t="s">
        <v>237</v>
      </c>
      <c r="M108" s="263" t="s">
        <v>237</v>
      </c>
      <c r="N108" s="263" t="s">
        <v>237</v>
      </c>
      <c r="O108" s="263" t="s">
        <v>237</v>
      </c>
      <c r="P108" s="263" t="s">
        <v>237</v>
      </c>
      <c r="Q108" s="263" t="s">
        <v>237</v>
      </c>
      <c r="R108" s="263" t="s">
        <v>237</v>
      </c>
      <c r="S108" s="263" t="s">
        <v>237</v>
      </c>
      <c r="T108" s="263" t="s">
        <v>237</v>
      </c>
      <c r="U108" s="263" t="s">
        <v>237</v>
      </c>
      <c r="V108" s="263">
        <v>0</v>
      </c>
      <c r="W108" s="263">
        <v>0</v>
      </c>
      <c r="X108" s="263">
        <v>0</v>
      </c>
      <c r="Y108" s="263">
        <v>0</v>
      </c>
      <c r="Z108" s="263">
        <v>0.1764705882352941</v>
      </c>
      <c r="AA108" s="263">
        <v>0</v>
      </c>
      <c r="AB108" s="263">
        <v>6.25E-2</v>
      </c>
      <c r="AC108" s="263">
        <v>6.25E-2</v>
      </c>
      <c r="AD108" s="263">
        <v>0</v>
      </c>
      <c r="AE108" s="263">
        <v>0</v>
      </c>
      <c r="AF108" s="263">
        <v>0</v>
      </c>
      <c r="AG108" s="263">
        <v>0.27272727272727271</v>
      </c>
      <c r="AH108" s="263">
        <v>0</v>
      </c>
    </row>
    <row r="109" spans="1:34">
      <c r="A109" s="535"/>
      <c r="B109" s="429" t="s">
        <v>285</v>
      </c>
      <c r="C109" s="430">
        <v>1.8672199170124481E-2</v>
      </c>
      <c r="D109" s="260">
        <v>0</v>
      </c>
      <c r="E109" s="260">
        <v>0</v>
      </c>
      <c r="F109" s="260">
        <v>0</v>
      </c>
      <c r="G109" s="260">
        <v>0</v>
      </c>
      <c r="H109" s="260">
        <v>0</v>
      </c>
      <c r="I109" s="260">
        <v>0</v>
      </c>
      <c r="J109" s="260">
        <v>0</v>
      </c>
      <c r="K109" s="260">
        <v>0</v>
      </c>
      <c r="L109" s="260">
        <v>0</v>
      </c>
      <c r="M109" s="260">
        <v>0</v>
      </c>
      <c r="N109" s="260">
        <v>0</v>
      </c>
      <c r="O109" s="260" t="s">
        <v>237</v>
      </c>
      <c r="P109" s="260" t="s">
        <v>237</v>
      </c>
      <c r="Q109" s="260">
        <v>0</v>
      </c>
      <c r="R109" s="260">
        <v>0</v>
      </c>
      <c r="S109" s="260">
        <v>0</v>
      </c>
      <c r="T109" s="260">
        <v>0</v>
      </c>
      <c r="U109" s="260">
        <v>0</v>
      </c>
      <c r="V109" s="260">
        <v>0</v>
      </c>
      <c r="W109" s="260">
        <v>0</v>
      </c>
      <c r="X109" s="260">
        <v>4.7619047619047623E-2</v>
      </c>
      <c r="Y109" s="260">
        <v>0</v>
      </c>
      <c r="Z109" s="260">
        <v>5.5555555555555552E-2</v>
      </c>
      <c r="AA109" s="260">
        <v>0</v>
      </c>
      <c r="AB109" s="260">
        <v>2.6315789473684209E-2</v>
      </c>
      <c r="AC109" s="260">
        <v>2.1276595744680851E-2</v>
      </c>
      <c r="AD109" s="260">
        <v>3.9215686274509803E-2</v>
      </c>
      <c r="AE109" s="260">
        <v>3.9215686274509803E-2</v>
      </c>
      <c r="AF109" s="260">
        <v>0</v>
      </c>
      <c r="AG109" s="260">
        <v>0</v>
      </c>
      <c r="AH109" s="260">
        <v>0</v>
      </c>
    </row>
    <row r="110" spans="1:34">
      <c r="A110" s="535"/>
      <c r="B110" s="427" t="s">
        <v>287</v>
      </c>
      <c r="C110" s="428">
        <v>3.0581039755351678E-3</v>
      </c>
      <c r="D110" s="263" t="s">
        <v>237</v>
      </c>
      <c r="E110" s="263" t="s">
        <v>237</v>
      </c>
      <c r="F110" s="263" t="s">
        <v>237</v>
      </c>
      <c r="G110" s="263" t="s">
        <v>237</v>
      </c>
      <c r="H110" s="263" t="s">
        <v>237</v>
      </c>
      <c r="I110" s="263" t="s">
        <v>237</v>
      </c>
      <c r="J110" s="263" t="s">
        <v>237</v>
      </c>
      <c r="K110" s="263" t="s">
        <v>237</v>
      </c>
      <c r="L110" s="263" t="s">
        <v>237</v>
      </c>
      <c r="M110" s="263" t="s">
        <v>237</v>
      </c>
      <c r="N110" s="263" t="s">
        <v>237</v>
      </c>
      <c r="O110" s="263" t="s">
        <v>237</v>
      </c>
      <c r="P110" s="263" t="s">
        <v>237</v>
      </c>
      <c r="Q110" s="263" t="s">
        <v>237</v>
      </c>
      <c r="R110" s="263" t="s">
        <v>237</v>
      </c>
      <c r="S110" s="263" t="s">
        <v>237</v>
      </c>
      <c r="T110" s="263" t="s">
        <v>237</v>
      </c>
      <c r="U110" s="263" t="s">
        <v>237</v>
      </c>
      <c r="V110" s="263" t="s">
        <v>237</v>
      </c>
      <c r="W110" s="263">
        <v>0</v>
      </c>
      <c r="X110" s="263">
        <v>0</v>
      </c>
      <c r="Y110" s="263">
        <v>0</v>
      </c>
      <c r="Z110" s="263">
        <v>0</v>
      </c>
      <c r="AA110" s="263">
        <v>0</v>
      </c>
      <c r="AB110" s="263">
        <v>0</v>
      </c>
      <c r="AC110" s="263">
        <v>0</v>
      </c>
      <c r="AD110" s="263">
        <v>0</v>
      </c>
      <c r="AE110" s="263">
        <v>0</v>
      </c>
      <c r="AF110" s="263">
        <v>2.6315789473684209E-2</v>
      </c>
      <c r="AG110" s="263">
        <v>0</v>
      </c>
      <c r="AH110" s="263">
        <v>0</v>
      </c>
    </row>
    <row r="111" spans="1:34">
      <c r="A111" s="535"/>
      <c r="B111" s="429" t="s">
        <v>305</v>
      </c>
      <c r="C111" s="430">
        <v>2.3809523809523812E-2</v>
      </c>
      <c r="D111" s="260" t="s">
        <v>237</v>
      </c>
      <c r="E111" s="260" t="s">
        <v>237</v>
      </c>
      <c r="F111" s="260" t="s">
        <v>237</v>
      </c>
      <c r="G111" s="260" t="s">
        <v>237</v>
      </c>
      <c r="H111" s="260" t="s">
        <v>237</v>
      </c>
      <c r="I111" s="260" t="s">
        <v>237</v>
      </c>
      <c r="J111" s="260" t="s">
        <v>237</v>
      </c>
      <c r="K111" s="260" t="s">
        <v>237</v>
      </c>
      <c r="L111" s="260" t="s">
        <v>237</v>
      </c>
      <c r="M111" s="260" t="s">
        <v>237</v>
      </c>
      <c r="N111" s="260" t="s">
        <v>237</v>
      </c>
      <c r="O111" s="260" t="s">
        <v>237</v>
      </c>
      <c r="P111" s="260" t="s">
        <v>237</v>
      </c>
      <c r="Q111" s="260" t="s">
        <v>237</v>
      </c>
      <c r="R111" s="260" t="s">
        <v>237</v>
      </c>
      <c r="S111" s="260" t="s">
        <v>237</v>
      </c>
      <c r="T111" s="260" t="s">
        <v>237</v>
      </c>
      <c r="U111" s="260">
        <v>0</v>
      </c>
      <c r="V111" s="260">
        <v>0</v>
      </c>
      <c r="W111" s="260">
        <v>0</v>
      </c>
      <c r="X111" s="260">
        <v>0</v>
      </c>
      <c r="Y111" s="260">
        <v>0</v>
      </c>
      <c r="Z111" s="260">
        <v>0</v>
      </c>
      <c r="AA111" s="260">
        <v>0.2</v>
      </c>
      <c r="AB111" s="260">
        <v>0</v>
      </c>
      <c r="AC111" s="260">
        <v>9.0909090909090912E-2</v>
      </c>
      <c r="AD111" s="260">
        <v>0</v>
      </c>
      <c r="AE111" s="260">
        <v>0</v>
      </c>
      <c r="AF111" s="260">
        <v>0</v>
      </c>
      <c r="AG111" s="260">
        <v>0</v>
      </c>
      <c r="AH111" s="260">
        <v>5.5555555555555552E-2</v>
      </c>
    </row>
    <row r="112" spans="1:34">
      <c r="A112" s="535"/>
      <c r="B112" s="427" t="s">
        <v>314</v>
      </c>
      <c r="C112" s="428">
        <v>3.7593984962406009E-3</v>
      </c>
      <c r="D112" s="263" t="s">
        <v>237</v>
      </c>
      <c r="E112" s="263" t="s">
        <v>237</v>
      </c>
      <c r="F112" s="263" t="s">
        <v>237</v>
      </c>
      <c r="G112" s="263" t="s">
        <v>237</v>
      </c>
      <c r="H112" s="263" t="s">
        <v>237</v>
      </c>
      <c r="I112" s="263" t="s">
        <v>237</v>
      </c>
      <c r="J112" s="263" t="s">
        <v>237</v>
      </c>
      <c r="K112" s="263" t="s">
        <v>237</v>
      </c>
      <c r="L112" s="263" t="s">
        <v>237</v>
      </c>
      <c r="M112" s="263" t="s">
        <v>237</v>
      </c>
      <c r="N112" s="263" t="s">
        <v>237</v>
      </c>
      <c r="O112" s="263" t="s">
        <v>237</v>
      </c>
      <c r="P112" s="263" t="s">
        <v>237</v>
      </c>
      <c r="Q112" s="263" t="s">
        <v>237</v>
      </c>
      <c r="R112" s="263" t="s">
        <v>237</v>
      </c>
      <c r="S112" s="263" t="s">
        <v>237</v>
      </c>
      <c r="T112" s="263">
        <v>0</v>
      </c>
      <c r="U112" s="263">
        <v>0</v>
      </c>
      <c r="V112" s="263">
        <v>0</v>
      </c>
      <c r="W112" s="263">
        <v>0</v>
      </c>
      <c r="X112" s="263">
        <v>0</v>
      </c>
      <c r="Y112" s="263">
        <v>0</v>
      </c>
      <c r="Z112" s="263">
        <v>0</v>
      </c>
      <c r="AA112" s="263">
        <v>0</v>
      </c>
      <c r="AB112" s="263">
        <v>0</v>
      </c>
      <c r="AC112" s="263">
        <v>0</v>
      </c>
      <c r="AD112" s="263">
        <v>0</v>
      </c>
      <c r="AE112" s="263">
        <v>0</v>
      </c>
      <c r="AF112" s="263">
        <v>0</v>
      </c>
      <c r="AG112" s="263">
        <v>2.7027027027027029E-2</v>
      </c>
      <c r="AH112" s="263">
        <v>0</v>
      </c>
    </row>
    <row r="113" spans="1:34">
      <c r="A113" s="535"/>
      <c r="B113" s="429" t="s">
        <v>315</v>
      </c>
      <c r="C113" s="430">
        <v>2.1428571428571429E-2</v>
      </c>
      <c r="D113" s="260" t="s">
        <v>237</v>
      </c>
      <c r="E113" s="260" t="s">
        <v>237</v>
      </c>
      <c r="F113" s="260" t="s">
        <v>237</v>
      </c>
      <c r="G113" s="260" t="s">
        <v>237</v>
      </c>
      <c r="H113" s="260" t="s">
        <v>237</v>
      </c>
      <c r="I113" s="260" t="s">
        <v>237</v>
      </c>
      <c r="J113" s="260" t="s">
        <v>237</v>
      </c>
      <c r="K113" s="260" t="s">
        <v>237</v>
      </c>
      <c r="L113" s="260" t="s">
        <v>237</v>
      </c>
      <c r="M113" s="260" t="s">
        <v>237</v>
      </c>
      <c r="N113" s="260" t="s">
        <v>237</v>
      </c>
      <c r="O113" s="260" t="s">
        <v>237</v>
      </c>
      <c r="P113" s="260" t="s">
        <v>237</v>
      </c>
      <c r="Q113" s="260" t="s">
        <v>237</v>
      </c>
      <c r="R113" s="260" t="s">
        <v>237</v>
      </c>
      <c r="S113" s="260" t="s">
        <v>237</v>
      </c>
      <c r="T113" s="260">
        <v>0</v>
      </c>
      <c r="U113" s="260">
        <v>0</v>
      </c>
      <c r="V113" s="260">
        <v>0</v>
      </c>
      <c r="W113" s="260">
        <v>0</v>
      </c>
      <c r="X113" s="260">
        <v>0</v>
      </c>
      <c r="Y113" s="260">
        <v>0</v>
      </c>
      <c r="Z113" s="260">
        <v>0</v>
      </c>
      <c r="AA113" s="260">
        <v>0.3</v>
      </c>
      <c r="AB113" s="260">
        <v>0</v>
      </c>
      <c r="AC113" s="260">
        <v>0</v>
      </c>
      <c r="AD113" s="260">
        <v>0</v>
      </c>
      <c r="AE113" s="260">
        <v>0</v>
      </c>
      <c r="AF113" s="260">
        <v>0</v>
      </c>
      <c r="AG113" s="260">
        <v>0</v>
      </c>
      <c r="AH113" s="260">
        <v>0</v>
      </c>
    </row>
    <row r="114" spans="1:34">
      <c r="A114" s="535"/>
      <c r="B114" s="427" t="s">
        <v>332</v>
      </c>
      <c r="C114" s="428">
        <v>4.5454545454545463E-2</v>
      </c>
      <c r="D114" s="263">
        <v>0</v>
      </c>
      <c r="E114" s="263">
        <v>0</v>
      </c>
      <c r="F114" s="263">
        <v>0</v>
      </c>
      <c r="G114" s="263">
        <v>0</v>
      </c>
      <c r="H114" s="263">
        <v>0</v>
      </c>
      <c r="I114" s="263">
        <v>0</v>
      </c>
      <c r="J114" s="263">
        <v>0</v>
      </c>
      <c r="K114" s="263">
        <v>0</v>
      </c>
      <c r="L114" s="263">
        <v>0</v>
      </c>
      <c r="M114" s="263">
        <v>1</v>
      </c>
      <c r="N114" s="263" t="s">
        <v>237</v>
      </c>
      <c r="O114" s="263">
        <v>0</v>
      </c>
      <c r="P114" s="263">
        <v>0</v>
      </c>
      <c r="Q114" s="263" t="s">
        <v>237</v>
      </c>
      <c r="R114" s="263" t="s">
        <v>237</v>
      </c>
      <c r="S114" s="263" t="s">
        <v>237</v>
      </c>
      <c r="T114" s="263">
        <v>0</v>
      </c>
      <c r="U114" s="263">
        <v>0</v>
      </c>
      <c r="V114" s="263">
        <v>0</v>
      </c>
      <c r="W114" s="263">
        <v>0</v>
      </c>
      <c r="X114" s="263">
        <v>0</v>
      </c>
      <c r="Y114" s="263">
        <v>0</v>
      </c>
      <c r="Z114" s="263">
        <v>0</v>
      </c>
      <c r="AA114" s="263">
        <v>0</v>
      </c>
      <c r="AB114" s="263">
        <v>9.0909090909090912E-2</v>
      </c>
      <c r="AC114" s="263">
        <v>7.1428571428571425E-2</v>
      </c>
      <c r="AD114" s="263">
        <v>7.1428571428571425E-2</v>
      </c>
      <c r="AE114" s="263">
        <v>7.1428571428571425E-2</v>
      </c>
      <c r="AF114" s="263">
        <v>0</v>
      </c>
      <c r="AG114" s="263">
        <v>6.6666666666666666E-2</v>
      </c>
      <c r="AH114" s="263">
        <v>6.6666666666666666E-2</v>
      </c>
    </row>
    <row r="115" spans="1:34">
      <c r="A115" s="535"/>
      <c r="B115" s="429" t="s">
        <v>335</v>
      </c>
      <c r="C115" s="430">
        <v>0.2857142857142857</v>
      </c>
      <c r="D115" s="260" t="s">
        <v>237</v>
      </c>
      <c r="E115" s="260" t="s">
        <v>237</v>
      </c>
      <c r="F115" s="260" t="s">
        <v>237</v>
      </c>
      <c r="G115" s="260" t="s">
        <v>237</v>
      </c>
      <c r="H115" s="260" t="s">
        <v>237</v>
      </c>
      <c r="I115" s="260" t="s">
        <v>237</v>
      </c>
      <c r="J115" s="260" t="s">
        <v>237</v>
      </c>
      <c r="K115" s="260" t="s">
        <v>237</v>
      </c>
      <c r="L115" s="260" t="s">
        <v>237</v>
      </c>
      <c r="M115" s="260" t="s">
        <v>237</v>
      </c>
      <c r="N115" s="260" t="s">
        <v>237</v>
      </c>
      <c r="O115" s="260" t="s">
        <v>237</v>
      </c>
      <c r="P115" s="260" t="s">
        <v>237</v>
      </c>
      <c r="Q115" s="260" t="s">
        <v>237</v>
      </c>
      <c r="R115" s="260" t="s">
        <v>237</v>
      </c>
      <c r="S115" s="260" t="s">
        <v>237</v>
      </c>
      <c r="T115" s="260" t="s">
        <v>237</v>
      </c>
      <c r="U115" s="260" t="s">
        <v>237</v>
      </c>
      <c r="V115" s="260" t="s">
        <v>237</v>
      </c>
      <c r="W115" s="260" t="s">
        <v>237</v>
      </c>
      <c r="X115" s="260">
        <v>0</v>
      </c>
      <c r="Y115" s="260">
        <v>0.5</v>
      </c>
      <c r="Z115" s="260">
        <v>0</v>
      </c>
      <c r="AA115" s="260">
        <v>0</v>
      </c>
      <c r="AB115" s="260">
        <v>0.2</v>
      </c>
      <c r="AC115" s="260">
        <v>0</v>
      </c>
      <c r="AD115" s="260">
        <v>0.68</v>
      </c>
      <c r="AE115" s="260">
        <v>0</v>
      </c>
      <c r="AF115" s="260">
        <v>0.33333333333333331</v>
      </c>
      <c r="AG115" s="260">
        <v>0.16666666666666671</v>
      </c>
      <c r="AH115" s="260">
        <v>0</v>
      </c>
    </row>
    <row r="117" spans="1:34">
      <c r="B117" s="236" t="s">
        <v>390</v>
      </c>
    </row>
    <row r="119" spans="1:34" ht="43.2">
      <c r="B119" s="424" t="s">
        <v>124</v>
      </c>
      <c r="C119" s="425" t="s">
        <v>14</v>
      </c>
      <c r="D119" s="426">
        <f>+D$4</f>
        <v>1994</v>
      </c>
      <c r="E119" s="426">
        <f t="shared" ref="E119:AH119" si="3">+E$4</f>
        <v>1995</v>
      </c>
      <c r="F119" s="426">
        <f t="shared" si="3"/>
        <v>1996</v>
      </c>
      <c r="G119" s="426">
        <f t="shared" si="3"/>
        <v>1997</v>
      </c>
      <c r="H119" s="426">
        <f t="shared" si="3"/>
        <v>1998</v>
      </c>
      <c r="I119" s="426">
        <f t="shared" si="3"/>
        <v>1999</v>
      </c>
      <c r="J119" s="426">
        <f t="shared" si="3"/>
        <v>2000</v>
      </c>
      <c r="K119" s="426">
        <f t="shared" si="3"/>
        <v>2001</v>
      </c>
      <c r="L119" s="426">
        <f t="shared" si="3"/>
        <v>2002</v>
      </c>
      <c r="M119" s="426">
        <f t="shared" si="3"/>
        <v>2003</v>
      </c>
      <c r="N119" s="426">
        <f t="shared" si="3"/>
        <v>2004</v>
      </c>
      <c r="O119" s="426">
        <f t="shared" si="3"/>
        <v>2005</v>
      </c>
      <c r="P119" s="426">
        <f t="shared" si="3"/>
        <v>2006</v>
      </c>
      <c r="Q119" s="426">
        <f t="shared" si="3"/>
        <v>2007</v>
      </c>
      <c r="R119" s="426">
        <f t="shared" si="3"/>
        <v>2008</v>
      </c>
      <c r="S119" s="426">
        <f t="shared" si="3"/>
        <v>2009</v>
      </c>
      <c r="T119" s="426">
        <f t="shared" si="3"/>
        <v>2010</v>
      </c>
      <c r="U119" s="426">
        <f t="shared" si="3"/>
        <v>2011</v>
      </c>
      <c r="V119" s="426">
        <f t="shared" si="3"/>
        <v>2012</v>
      </c>
      <c r="W119" s="426">
        <f t="shared" si="3"/>
        <v>2013</v>
      </c>
      <c r="X119" s="426">
        <f t="shared" si="3"/>
        <v>2014</v>
      </c>
      <c r="Y119" s="426">
        <f t="shared" si="3"/>
        <v>2015</v>
      </c>
      <c r="Z119" s="426">
        <f t="shared" si="3"/>
        <v>2016</v>
      </c>
      <c r="AA119" s="426">
        <f t="shared" si="3"/>
        <v>2017</v>
      </c>
      <c r="AB119" s="426">
        <f t="shared" si="3"/>
        <v>2018</v>
      </c>
      <c r="AC119" s="426">
        <f t="shared" si="3"/>
        <v>2019</v>
      </c>
      <c r="AD119" s="426">
        <f t="shared" si="3"/>
        <v>2020</v>
      </c>
      <c r="AE119" s="426">
        <f t="shared" si="3"/>
        <v>2021</v>
      </c>
      <c r="AF119" s="426">
        <f t="shared" si="3"/>
        <v>2022</v>
      </c>
      <c r="AG119" s="426">
        <f t="shared" si="3"/>
        <v>2023</v>
      </c>
      <c r="AH119" s="426">
        <f t="shared" si="3"/>
        <v>2024</v>
      </c>
    </row>
    <row r="120" spans="1:34">
      <c r="A120" s="535"/>
      <c r="B120" s="427" t="s">
        <v>261</v>
      </c>
      <c r="C120" s="428">
        <v>2.8735632183908049E-2</v>
      </c>
      <c r="D120" s="263" t="s">
        <v>237</v>
      </c>
      <c r="E120" s="263" t="s">
        <v>237</v>
      </c>
      <c r="F120" s="263">
        <v>0</v>
      </c>
      <c r="G120" s="263">
        <v>0</v>
      </c>
      <c r="H120" s="263">
        <v>0</v>
      </c>
      <c r="I120" s="263">
        <v>0</v>
      </c>
      <c r="J120" s="263">
        <v>0</v>
      </c>
      <c r="K120" s="263">
        <v>0</v>
      </c>
      <c r="L120" s="263">
        <v>0</v>
      </c>
      <c r="M120" s="263">
        <v>0.125</v>
      </c>
      <c r="N120" s="263">
        <v>0</v>
      </c>
      <c r="O120" s="263">
        <v>0</v>
      </c>
      <c r="P120" s="263">
        <v>0</v>
      </c>
      <c r="Q120" s="263">
        <v>0</v>
      </c>
      <c r="R120" s="263">
        <v>0</v>
      </c>
      <c r="S120" s="263">
        <v>0.125</v>
      </c>
      <c r="T120" s="263">
        <v>0</v>
      </c>
      <c r="U120" s="263">
        <v>0</v>
      </c>
      <c r="V120" s="263">
        <v>0</v>
      </c>
      <c r="W120" s="263">
        <v>0.1</v>
      </c>
      <c r="X120" s="263">
        <v>0</v>
      </c>
      <c r="Y120" s="263">
        <v>0.14285714285714279</v>
      </c>
      <c r="Z120" s="263">
        <v>0.16666666666666671</v>
      </c>
      <c r="AA120" s="263">
        <v>0</v>
      </c>
      <c r="AB120" s="263">
        <v>0</v>
      </c>
      <c r="AC120" s="263">
        <v>0</v>
      </c>
      <c r="AD120" s="263">
        <v>0</v>
      </c>
      <c r="AE120" s="263">
        <v>0</v>
      </c>
      <c r="AF120" s="263">
        <v>0</v>
      </c>
      <c r="AG120" s="263">
        <v>0</v>
      </c>
      <c r="AH120" s="263">
        <v>0</v>
      </c>
    </row>
    <row r="121" spans="1:34">
      <c r="A121" s="535"/>
      <c r="B121" s="429" t="s">
        <v>270</v>
      </c>
      <c r="C121" s="430">
        <v>1.8181818181818181E-2</v>
      </c>
      <c r="D121" s="260">
        <v>0</v>
      </c>
      <c r="E121" s="260">
        <v>0</v>
      </c>
      <c r="F121" s="260" t="s">
        <v>237</v>
      </c>
      <c r="G121" s="260" t="s">
        <v>237</v>
      </c>
      <c r="H121" s="260" t="s">
        <v>237</v>
      </c>
      <c r="I121" s="260" t="s">
        <v>237</v>
      </c>
      <c r="J121" s="260" t="s">
        <v>237</v>
      </c>
      <c r="K121" s="260" t="s">
        <v>237</v>
      </c>
      <c r="L121" s="260" t="s">
        <v>237</v>
      </c>
      <c r="M121" s="260" t="s">
        <v>237</v>
      </c>
      <c r="N121" s="260" t="s">
        <v>237</v>
      </c>
      <c r="O121" s="260" t="s">
        <v>237</v>
      </c>
      <c r="P121" s="260" t="s">
        <v>237</v>
      </c>
      <c r="Q121" s="260" t="s">
        <v>237</v>
      </c>
      <c r="R121" s="260" t="s">
        <v>237</v>
      </c>
      <c r="S121" s="260" t="s">
        <v>237</v>
      </c>
      <c r="T121" s="260" t="s">
        <v>237</v>
      </c>
      <c r="U121" s="260" t="s">
        <v>237</v>
      </c>
      <c r="V121" s="260" t="s">
        <v>237</v>
      </c>
      <c r="W121" s="260" t="s">
        <v>237</v>
      </c>
      <c r="X121" s="260" t="s">
        <v>237</v>
      </c>
      <c r="Y121" s="260">
        <v>5.5555555555555552E-2</v>
      </c>
      <c r="Z121" s="260">
        <v>0</v>
      </c>
      <c r="AA121" s="260">
        <v>5.8823529411764712E-2</v>
      </c>
      <c r="AB121" s="260">
        <v>0</v>
      </c>
      <c r="AC121" s="260">
        <v>0</v>
      </c>
      <c r="AD121" s="260">
        <v>0</v>
      </c>
      <c r="AE121" s="260">
        <v>0</v>
      </c>
      <c r="AF121" s="260">
        <v>0</v>
      </c>
      <c r="AG121" s="260">
        <v>0</v>
      </c>
      <c r="AH121" s="260">
        <v>6.6666666666666666E-2</v>
      </c>
    </row>
    <row r="122" spans="1:34">
      <c r="A122" s="535"/>
      <c r="B122" s="427" t="s">
        <v>285</v>
      </c>
      <c r="C122" s="428">
        <v>3.3112582781456963E-2</v>
      </c>
      <c r="D122" s="263" t="s">
        <v>237</v>
      </c>
      <c r="E122" s="263" t="s">
        <v>237</v>
      </c>
      <c r="F122" s="263" t="s">
        <v>237</v>
      </c>
      <c r="G122" s="263" t="s">
        <v>237</v>
      </c>
      <c r="H122" s="263" t="s">
        <v>237</v>
      </c>
      <c r="I122" s="263" t="s">
        <v>237</v>
      </c>
      <c r="J122" s="263" t="s">
        <v>237</v>
      </c>
      <c r="K122" s="263" t="s">
        <v>237</v>
      </c>
      <c r="L122" s="263" t="s">
        <v>237</v>
      </c>
      <c r="M122" s="263" t="s">
        <v>237</v>
      </c>
      <c r="N122" s="263" t="s">
        <v>237</v>
      </c>
      <c r="O122" s="263">
        <v>0</v>
      </c>
      <c r="P122" s="263">
        <v>0</v>
      </c>
      <c r="Q122" s="263">
        <v>0</v>
      </c>
      <c r="R122" s="263">
        <v>0</v>
      </c>
      <c r="S122" s="263">
        <v>0</v>
      </c>
      <c r="T122" s="263">
        <v>0</v>
      </c>
      <c r="U122" s="263">
        <v>0</v>
      </c>
      <c r="V122" s="263">
        <v>0</v>
      </c>
      <c r="W122" s="263">
        <v>0.125</v>
      </c>
      <c r="X122" s="263">
        <v>0.25</v>
      </c>
      <c r="Y122" s="263">
        <v>0</v>
      </c>
      <c r="Z122" s="263">
        <v>8.3333333333333329E-2</v>
      </c>
      <c r="AA122" s="263">
        <v>0</v>
      </c>
      <c r="AB122" s="263">
        <v>0</v>
      </c>
      <c r="AC122" s="263">
        <v>0</v>
      </c>
      <c r="AD122" s="263">
        <v>7.1428571428571425E-2</v>
      </c>
      <c r="AE122" s="263">
        <v>0</v>
      </c>
      <c r="AF122" s="263">
        <v>0</v>
      </c>
      <c r="AG122" s="263">
        <v>0</v>
      </c>
      <c r="AH122" s="263">
        <v>0</v>
      </c>
    </row>
    <row r="123" spans="1:34">
      <c r="A123" s="535"/>
      <c r="B123" s="429" t="s">
        <v>305</v>
      </c>
      <c r="C123" s="430">
        <v>5.1020408163265307E-2</v>
      </c>
      <c r="D123" s="260">
        <v>0</v>
      </c>
      <c r="E123" s="260">
        <v>0</v>
      </c>
      <c r="F123" s="260">
        <v>0</v>
      </c>
      <c r="G123" s="260">
        <v>0</v>
      </c>
      <c r="H123" s="260">
        <v>0</v>
      </c>
      <c r="I123" s="260" t="s">
        <v>237</v>
      </c>
      <c r="J123" s="260" t="s">
        <v>237</v>
      </c>
      <c r="K123" s="260" t="s">
        <v>237</v>
      </c>
      <c r="L123" s="260">
        <v>0</v>
      </c>
      <c r="M123" s="260">
        <v>0</v>
      </c>
      <c r="N123" s="260">
        <v>0.5</v>
      </c>
      <c r="O123" s="260">
        <v>0</v>
      </c>
      <c r="P123" s="260">
        <v>0</v>
      </c>
      <c r="Q123" s="260">
        <v>0</v>
      </c>
      <c r="R123" s="260">
        <v>0</v>
      </c>
      <c r="S123" s="260">
        <v>0</v>
      </c>
      <c r="T123" s="260">
        <v>0</v>
      </c>
      <c r="U123" s="260">
        <v>0</v>
      </c>
      <c r="V123" s="260" t="s">
        <v>237</v>
      </c>
      <c r="W123" s="260">
        <v>0</v>
      </c>
      <c r="X123" s="260">
        <v>0</v>
      </c>
      <c r="Y123" s="260">
        <v>0</v>
      </c>
      <c r="Z123" s="260">
        <v>0</v>
      </c>
      <c r="AA123" s="260">
        <v>0.1111111111111111</v>
      </c>
      <c r="AB123" s="260">
        <v>0</v>
      </c>
      <c r="AC123" s="260">
        <v>0</v>
      </c>
      <c r="AD123" s="260">
        <v>0.1</v>
      </c>
      <c r="AE123" s="260">
        <v>0.25</v>
      </c>
      <c r="AF123" s="260">
        <v>0</v>
      </c>
      <c r="AG123" s="260">
        <v>0</v>
      </c>
      <c r="AH123" s="260">
        <v>0</v>
      </c>
    </row>
    <row r="124" spans="1:34">
      <c r="A124" s="535"/>
      <c r="B124" s="427" t="s">
        <v>310</v>
      </c>
      <c r="C124" s="428">
        <v>3.8626609442060089E-2</v>
      </c>
      <c r="D124" s="263" t="s">
        <v>237</v>
      </c>
      <c r="E124" s="263" t="s">
        <v>237</v>
      </c>
      <c r="F124" s="263" t="s">
        <v>237</v>
      </c>
      <c r="G124" s="263" t="s">
        <v>237</v>
      </c>
      <c r="H124" s="263" t="s">
        <v>237</v>
      </c>
      <c r="I124" s="263" t="s">
        <v>237</v>
      </c>
      <c r="J124" s="263" t="s">
        <v>237</v>
      </c>
      <c r="K124" s="263" t="s">
        <v>237</v>
      </c>
      <c r="L124" s="263">
        <v>1</v>
      </c>
      <c r="M124" s="263" t="s">
        <v>237</v>
      </c>
      <c r="N124" s="263" t="s">
        <v>237</v>
      </c>
      <c r="O124" s="263">
        <v>0</v>
      </c>
      <c r="P124" s="263">
        <v>0</v>
      </c>
      <c r="Q124" s="263">
        <v>0</v>
      </c>
      <c r="R124" s="263">
        <v>0</v>
      </c>
      <c r="S124" s="263">
        <v>0.125</v>
      </c>
      <c r="T124" s="263">
        <v>0</v>
      </c>
      <c r="U124" s="263">
        <v>0.15384615384615391</v>
      </c>
      <c r="V124" s="263">
        <v>0</v>
      </c>
      <c r="W124" s="263">
        <v>0.15384615384615391</v>
      </c>
      <c r="X124" s="263">
        <v>0.1875</v>
      </c>
      <c r="Y124" s="263">
        <v>0</v>
      </c>
      <c r="Z124" s="263">
        <v>0</v>
      </c>
      <c r="AA124" s="263">
        <v>0</v>
      </c>
      <c r="AB124" s="263">
        <v>0</v>
      </c>
      <c r="AC124" s="263">
        <v>0</v>
      </c>
      <c r="AD124" s="263">
        <v>0</v>
      </c>
      <c r="AE124" s="263">
        <v>0</v>
      </c>
      <c r="AF124" s="263">
        <v>0</v>
      </c>
      <c r="AG124" s="263">
        <v>0</v>
      </c>
      <c r="AH124" s="263">
        <v>0</v>
      </c>
    </row>
    <row r="125" spans="1:34">
      <c r="A125" s="535"/>
      <c r="B125" s="429" t="s">
        <v>318</v>
      </c>
      <c r="C125" s="430">
        <v>6.2068965517241378E-2</v>
      </c>
      <c r="D125" s="260" t="s">
        <v>237</v>
      </c>
      <c r="E125" s="260" t="s">
        <v>237</v>
      </c>
      <c r="F125" s="260">
        <v>0</v>
      </c>
      <c r="G125" s="260">
        <v>0</v>
      </c>
      <c r="H125" s="260">
        <v>0</v>
      </c>
      <c r="I125" s="260">
        <v>0</v>
      </c>
      <c r="J125" s="260">
        <v>0</v>
      </c>
      <c r="K125" s="260">
        <v>0</v>
      </c>
      <c r="L125" s="260">
        <v>0</v>
      </c>
      <c r="M125" s="260">
        <v>0</v>
      </c>
      <c r="N125" s="260">
        <v>0</v>
      </c>
      <c r="O125" s="260">
        <v>0</v>
      </c>
      <c r="P125" s="260">
        <v>0</v>
      </c>
      <c r="Q125" s="260">
        <v>0</v>
      </c>
      <c r="R125" s="260">
        <v>0</v>
      </c>
      <c r="S125" s="260">
        <v>0</v>
      </c>
      <c r="T125" s="260">
        <v>0</v>
      </c>
      <c r="U125" s="260">
        <v>0</v>
      </c>
      <c r="V125" s="260">
        <v>0</v>
      </c>
      <c r="W125" s="260">
        <v>0.14285714285714279</v>
      </c>
      <c r="X125" s="260">
        <v>0.16666666666666671</v>
      </c>
      <c r="Y125" s="260">
        <v>0</v>
      </c>
      <c r="Z125" s="260">
        <v>0.1</v>
      </c>
      <c r="AA125" s="260">
        <v>0.22222222222222221</v>
      </c>
      <c r="AB125" s="260">
        <v>0.14285714285714279</v>
      </c>
      <c r="AC125" s="260">
        <v>0</v>
      </c>
      <c r="AD125" s="260">
        <v>0</v>
      </c>
      <c r="AE125" s="260">
        <v>0</v>
      </c>
      <c r="AF125" s="260">
        <v>0</v>
      </c>
      <c r="AG125" s="260">
        <v>0.14285714285714279</v>
      </c>
      <c r="AH125" s="260">
        <v>7.1428571428571425E-2</v>
      </c>
    </row>
    <row r="126" spans="1:34">
      <c r="A126" s="535"/>
      <c r="B126" s="427" t="s">
        <v>321</v>
      </c>
      <c r="C126" s="428">
        <v>0.05</v>
      </c>
      <c r="D126" s="263" t="s">
        <v>237</v>
      </c>
      <c r="E126" s="263" t="s">
        <v>237</v>
      </c>
      <c r="F126" s="263" t="s">
        <v>237</v>
      </c>
      <c r="G126" s="263" t="s">
        <v>237</v>
      </c>
      <c r="H126" s="263" t="s">
        <v>237</v>
      </c>
      <c r="I126" s="263" t="s">
        <v>237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3">
        <v>0</v>
      </c>
      <c r="P126" s="263">
        <v>0</v>
      </c>
      <c r="Q126" s="263">
        <v>0</v>
      </c>
      <c r="R126" s="263">
        <v>0</v>
      </c>
      <c r="S126" s="263">
        <v>0.1111111111111111</v>
      </c>
      <c r="T126" s="263">
        <v>7.6923076923076927E-2</v>
      </c>
      <c r="U126" s="263">
        <v>9.0909090909090912E-2</v>
      </c>
      <c r="V126" s="263">
        <v>0</v>
      </c>
      <c r="W126" s="263">
        <v>0</v>
      </c>
      <c r="X126" s="263">
        <v>0</v>
      </c>
      <c r="Y126" s="263">
        <v>0.25</v>
      </c>
      <c r="Z126" s="263">
        <v>0.2</v>
      </c>
      <c r="AA126" s="263">
        <v>0</v>
      </c>
      <c r="AB126" s="263">
        <v>0</v>
      </c>
      <c r="AC126" s="263" t="s">
        <v>237</v>
      </c>
      <c r="AD126" s="263" t="s">
        <v>237</v>
      </c>
      <c r="AE126" s="263">
        <v>0</v>
      </c>
      <c r="AF126" s="263">
        <v>0</v>
      </c>
      <c r="AG126" s="263">
        <v>0</v>
      </c>
      <c r="AH126" s="263" t="s">
        <v>237</v>
      </c>
    </row>
    <row r="127" spans="1:34">
      <c r="A127" s="535"/>
      <c r="B127" s="429" t="s">
        <v>326</v>
      </c>
      <c r="C127" s="430">
        <v>0</v>
      </c>
      <c r="D127" s="260" t="s">
        <v>237</v>
      </c>
      <c r="E127" s="260">
        <v>0</v>
      </c>
      <c r="F127" s="260">
        <v>0</v>
      </c>
      <c r="G127" s="260">
        <v>0</v>
      </c>
      <c r="H127" s="260">
        <v>0</v>
      </c>
      <c r="I127" s="260">
        <v>0</v>
      </c>
      <c r="J127" s="260">
        <v>0</v>
      </c>
      <c r="K127" s="260">
        <v>0</v>
      </c>
      <c r="L127" s="260">
        <v>0</v>
      </c>
      <c r="M127" s="260">
        <v>0</v>
      </c>
      <c r="N127" s="260" t="s">
        <v>237</v>
      </c>
      <c r="O127" s="260" t="s">
        <v>237</v>
      </c>
      <c r="P127" s="260" t="s">
        <v>237</v>
      </c>
      <c r="Q127" s="260" t="s">
        <v>237</v>
      </c>
      <c r="R127" s="260" t="s">
        <v>237</v>
      </c>
      <c r="S127" s="260" t="s">
        <v>237</v>
      </c>
      <c r="T127" s="260">
        <v>0</v>
      </c>
      <c r="U127" s="260">
        <v>0</v>
      </c>
      <c r="V127" s="260">
        <v>0</v>
      </c>
      <c r="W127" s="260">
        <v>0</v>
      </c>
      <c r="X127" s="260">
        <v>0</v>
      </c>
      <c r="Y127" s="260">
        <v>0</v>
      </c>
      <c r="Z127" s="260">
        <v>0</v>
      </c>
      <c r="AA127" s="260">
        <v>0</v>
      </c>
      <c r="AB127" s="260">
        <v>0</v>
      </c>
      <c r="AC127" s="260">
        <v>0</v>
      </c>
      <c r="AD127" s="260">
        <v>0</v>
      </c>
      <c r="AE127" s="260">
        <v>0</v>
      </c>
      <c r="AF127" s="260">
        <v>0</v>
      </c>
      <c r="AG127" s="260">
        <v>0</v>
      </c>
      <c r="AH127" s="260">
        <v>0</v>
      </c>
    </row>
    <row r="128" spans="1:34">
      <c r="A128" s="535"/>
      <c r="B128" s="427" t="s">
        <v>332</v>
      </c>
      <c r="C128" s="428">
        <v>2.923976608187134E-2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0.5</v>
      </c>
      <c r="J128" s="263">
        <v>0</v>
      </c>
      <c r="K128" s="263">
        <v>0</v>
      </c>
      <c r="L128" s="263">
        <v>0</v>
      </c>
      <c r="M128" s="263">
        <v>0</v>
      </c>
      <c r="N128" s="263">
        <v>0</v>
      </c>
      <c r="O128" s="263">
        <v>0</v>
      </c>
      <c r="P128" s="263">
        <v>0</v>
      </c>
      <c r="Q128" s="263">
        <v>0</v>
      </c>
      <c r="R128" s="263">
        <v>0</v>
      </c>
      <c r="S128" s="263">
        <v>0.16666666666666671</v>
      </c>
      <c r="T128" s="263">
        <v>0.25</v>
      </c>
      <c r="U128" s="263">
        <v>0</v>
      </c>
      <c r="V128" s="263">
        <v>0</v>
      </c>
      <c r="W128" s="263">
        <v>0</v>
      </c>
      <c r="X128" s="263">
        <v>0.125</v>
      </c>
      <c r="Y128" s="263">
        <v>0</v>
      </c>
      <c r="Z128" s="263">
        <v>0</v>
      </c>
      <c r="AA128" s="263">
        <v>0</v>
      </c>
      <c r="AB128" s="263">
        <v>0</v>
      </c>
      <c r="AC128" s="263">
        <v>0</v>
      </c>
      <c r="AD128" s="263">
        <v>8.3333333333333329E-2</v>
      </c>
      <c r="AE128" s="263">
        <v>0</v>
      </c>
      <c r="AF128" s="263">
        <v>0</v>
      </c>
      <c r="AG128" s="263">
        <v>0</v>
      </c>
      <c r="AH128" s="263">
        <v>0</v>
      </c>
    </row>
    <row r="129" spans="1:34" hidden="1" outlineLevel="1">
      <c r="A129" s="535"/>
      <c r="B129" s="143">
        <v>0</v>
      </c>
      <c r="C129" s="255">
        <v>0</v>
      </c>
      <c r="D129" s="285" t="s">
        <v>237</v>
      </c>
      <c r="E129" s="286" t="s">
        <v>237</v>
      </c>
      <c r="F129" s="286" t="s">
        <v>237</v>
      </c>
      <c r="G129" s="286" t="s">
        <v>237</v>
      </c>
      <c r="H129" s="286" t="s">
        <v>237</v>
      </c>
      <c r="I129" s="286" t="s">
        <v>237</v>
      </c>
      <c r="J129" s="286" t="s">
        <v>237</v>
      </c>
      <c r="K129" s="286" t="s">
        <v>237</v>
      </c>
      <c r="L129" s="286" t="s">
        <v>237</v>
      </c>
      <c r="M129" s="286" t="s">
        <v>237</v>
      </c>
      <c r="N129" s="286" t="s">
        <v>237</v>
      </c>
      <c r="O129" s="286" t="s">
        <v>237</v>
      </c>
      <c r="P129" s="286" t="s">
        <v>237</v>
      </c>
      <c r="Q129" s="286" t="s">
        <v>237</v>
      </c>
      <c r="R129" s="286" t="s">
        <v>237</v>
      </c>
      <c r="S129" s="286" t="s">
        <v>237</v>
      </c>
      <c r="T129" s="286" t="s">
        <v>237</v>
      </c>
      <c r="U129" s="286" t="s">
        <v>237</v>
      </c>
      <c r="V129" s="286" t="s">
        <v>237</v>
      </c>
      <c r="W129" s="286" t="s">
        <v>237</v>
      </c>
      <c r="X129" s="286" t="s">
        <v>237</v>
      </c>
      <c r="Y129" s="286" t="s">
        <v>237</v>
      </c>
      <c r="Z129" s="286" t="s">
        <v>237</v>
      </c>
      <c r="AA129" s="286" t="s">
        <v>237</v>
      </c>
      <c r="AB129" s="286" t="s">
        <v>237</v>
      </c>
      <c r="AC129" s="286" t="s">
        <v>237</v>
      </c>
      <c r="AD129" s="286" t="s">
        <v>237</v>
      </c>
      <c r="AE129" s="286" t="s">
        <v>237</v>
      </c>
      <c r="AF129" s="286" t="s">
        <v>237</v>
      </c>
      <c r="AG129" s="286" t="s">
        <v>237</v>
      </c>
      <c r="AH129" s="333" t="s">
        <v>237</v>
      </c>
    </row>
    <row r="130" spans="1:34" hidden="1" outlineLevel="1">
      <c r="A130" s="535"/>
      <c r="B130" s="87">
        <v>0</v>
      </c>
      <c r="C130" s="253">
        <v>0</v>
      </c>
      <c r="D130" s="262" t="s">
        <v>237</v>
      </c>
      <c r="E130" s="263" t="s">
        <v>237</v>
      </c>
      <c r="F130" s="263" t="s">
        <v>237</v>
      </c>
      <c r="G130" s="263" t="s">
        <v>237</v>
      </c>
      <c r="H130" s="263" t="s">
        <v>237</v>
      </c>
      <c r="I130" s="263" t="s">
        <v>237</v>
      </c>
      <c r="J130" s="263" t="s">
        <v>237</v>
      </c>
      <c r="K130" s="263" t="s">
        <v>237</v>
      </c>
      <c r="L130" s="263" t="s">
        <v>237</v>
      </c>
      <c r="M130" s="263" t="s">
        <v>237</v>
      </c>
      <c r="N130" s="263" t="s">
        <v>237</v>
      </c>
      <c r="O130" s="263" t="s">
        <v>237</v>
      </c>
      <c r="P130" s="263" t="s">
        <v>237</v>
      </c>
      <c r="Q130" s="263" t="s">
        <v>237</v>
      </c>
      <c r="R130" s="263" t="s">
        <v>237</v>
      </c>
      <c r="S130" s="263" t="s">
        <v>237</v>
      </c>
      <c r="T130" s="263" t="s">
        <v>237</v>
      </c>
      <c r="U130" s="263" t="s">
        <v>237</v>
      </c>
      <c r="V130" s="263" t="s">
        <v>237</v>
      </c>
      <c r="W130" s="263" t="s">
        <v>237</v>
      </c>
      <c r="X130" s="263" t="s">
        <v>237</v>
      </c>
      <c r="Y130" s="263" t="s">
        <v>237</v>
      </c>
      <c r="Z130" s="263" t="s">
        <v>237</v>
      </c>
      <c r="AA130" s="263" t="s">
        <v>237</v>
      </c>
      <c r="AB130" s="263" t="s">
        <v>237</v>
      </c>
      <c r="AC130" s="263" t="s">
        <v>237</v>
      </c>
      <c r="AD130" s="263" t="s">
        <v>237</v>
      </c>
      <c r="AE130" s="263" t="s">
        <v>237</v>
      </c>
      <c r="AF130" s="263" t="s">
        <v>237</v>
      </c>
      <c r="AG130" s="263" t="s">
        <v>237</v>
      </c>
      <c r="AH130" s="264" t="s">
        <v>237</v>
      </c>
    </row>
    <row r="131" spans="1:34" hidden="1" outlineLevel="1">
      <c r="A131" s="535"/>
      <c r="B131" s="87">
        <v>0</v>
      </c>
      <c r="C131" s="253">
        <v>0</v>
      </c>
      <c r="D131" s="262" t="s">
        <v>237</v>
      </c>
      <c r="E131" s="263" t="s">
        <v>237</v>
      </c>
      <c r="F131" s="263" t="s">
        <v>237</v>
      </c>
      <c r="G131" s="263" t="s">
        <v>237</v>
      </c>
      <c r="H131" s="263" t="s">
        <v>237</v>
      </c>
      <c r="I131" s="263" t="s">
        <v>237</v>
      </c>
      <c r="J131" s="263" t="s">
        <v>237</v>
      </c>
      <c r="K131" s="263" t="s">
        <v>237</v>
      </c>
      <c r="L131" s="263" t="s">
        <v>237</v>
      </c>
      <c r="M131" s="263" t="s">
        <v>237</v>
      </c>
      <c r="N131" s="263" t="s">
        <v>237</v>
      </c>
      <c r="O131" s="263" t="s">
        <v>237</v>
      </c>
      <c r="P131" s="263" t="s">
        <v>237</v>
      </c>
      <c r="Q131" s="263" t="s">
        <v>237</v>
      </c>
      <c r="R131" s="263" t="s">
        <v>237</v>
      </c>
      <c r="S131" s="263" t="s">
        <v>237</v>
      </c>
      <c r="T131" s="263" t="s">
        <v>237</v>
      </c>
      <c r="U131" s="263" t="s">
        <v>237</v>
      </c>
      <c r="V131" s="263" t="s">
        <v>237</v>
      </c>
      <c r="W131" s="263" t="s">
        <v>237</v>
      </c>
      <c r="X131" s="263" t="s">
        <v>237</v>
      </c>
      <c r="Y131" s="263" t="s">
        <v>237</v>
      </c>
      <c r="Z131" s="263" t="s">
        <v>237</v>
      </c>
      <c r="AA131" s="263" t="s">
        <v>237</v>
      </c>
      <c r="AB131" s="263" t="s">
        <v>237</v>
      </c>
      <c r="AC131" s="263" t="s">
        <v>237</v>
      </c>
      <c r="AD131" s="263" t="s">
        <v>237</v>
      </c>
      <c r="AE131" s="263" t="s">
        <v>237</v>
      </c>
      <c r="AF131" s="263" t="s">
        <v>237</v>
      </c>
      <c r="AG131" s="263" t="s">
        <v>237</v>
      </c>
      <c r="AH131" s="264" t="s">
        <v>237</v>
      </c>
    </row>
    <row r="132" spans="1:34" hidden="1" outlineLevel="1">
      <c r="A132" s="535"/>
      <c r="B132" s="87">
        <v>0</v>
      </c>
      <c r="C132" s="253">
        <v>0</v>
      </c>
      <c r="D132" s="262" t="s">
        <v>237</v>
      </c>
      <c r="E132" s="263" t="s">
        <v>237</v>
      </c>
      <c r="F132" s="263" t="s">
        <v>237</v>
      </c>
      <c r="G132" s="263" t="s">
        <v>237</v>
      </c>
      <c r="H132" s="263" t="s">
        <v>237</v>
      </c>
      <c r="I132" s="263" t="s">
        <v>237</v>
      </c>
      <c r="J132" s="263" t="s">
        <v>237</v>
      </c>
      <c r="K132" s="263" t="s">
        <v>237</v>
      </c>
      <c r="L132" s="263" t="s">
        <v>237</v>
      </c>
      <c r="M132" s="263" t="s">
        <v>237</v>
      </c>
      <c r="N132" s="263" t="s">
        <v>237</v>
      </c>
      <c r="O132" s="263" t="s">
        <v>237</v>
      </c>
      <c r="P132" s="263" t="s">
        <v>237</v>
      </c>
      <c r="Q132" s="263" t="s">
        <v>237</v>
      </c>
      <c r="R132" s="263" t="s">
        <v>237</v>
      </c>
      <c r="S132" s="263" t="s">
        <v>237</v>
      </c>
      <c r="T132" s="263" t="s">
        <v>237</v>
      </c>
      <c r="U132" s="263" t="s">
        <v>237</v>
      </c>
      <c r="V132" s="263" t="s">
        <v>237</v>
      </c>
      <c r="W132" s="263" t="s">
        <v>237</v>
      </c>
      <c r="X132" s="263" t="s">
        <v>237</v>
      </c>
      <c r="Y132" s="263" t="s">
        <v>237</v>
      </c>
      <c r="Z132" s="263" t="s">
        <v>237</v>
      </c>
      <c r="AA132" s="263" t="s">
        <v>237</v>
      </c>
      <c r="AB132" s="263" t="s">
        <v>237</v>
      </c>
      <c r="AC132" s="263" t="s">
        <v>237</v>
      </c>
      <c r="AD132" s="263" t="s">
        <v>237</v>
      </c>
      <c r="AE132" s="263" t="s">
        <v>237</v>
      </c>
      <c r="AF132" s="263" t="s">
        <v>237</v>
      </c>
      <c r="AG132" s="263" t="s">
        <v>237</v>
      </c>
      <c r="AH132" s="264" t="s">
        <v>237</v>
      </c>
    </row>
    <row r="133" spans="1:34" hidden="1" outlineLevel="1">
      <c r="A133" s="535"/>
      <c r="B133" s="87">
        <v>0</v>
      </c>
      <c r="C133" s="253">
        <v>0</v>
      </c>
      <c r="D133" s="262" t="s">
        <v>237</v>
      </c>
      <c r="E133" s="263" t="s">
        <v>237</v>
      </c>
      <c r="F133" s="263" t="s">
        <v>237</v>
      </c>
      <c r="G133" s="263" t="s">
        <v>237</v>
      </c>
      <c r="H133" s="263" t="s">
        <v>237</v>
      </c>
      <c r="I133" s="263" t="s">
        <v>237</v>
      </c>
      <c r="J133" s="263" t="s">
        <v>237</v>
      </c>
      <c r="K133" s="263" t="s">
        <v>237</v>
      </c>
      <c r="L133" s="263" t="s">
        <v>237</v>
      </c>
      <c r="M133" s="263" t="s">
        <v>237</v>
      </c>
      <c r="N133" s="263" t="s">
        <v>237</v>
      </c>
      <c r="O133" s="263" t="s">
        <v>237</v>
      </c>
      <c r="P133" s="263" t="s">
        <v>237</v>
      </c>
      <c r="Q133" s="263" t="s">
        <v>237</v>
      </c>
      <c r="R133" s="263" t="s">
        <v>237</v>
      </c>
      <c r="S133" s="263" t="s">
        <v>237</v>
      </c>
      <c r="T133" s="263" t="s">
        <v>237</v>
      </c>
      <c r="U133" s="263" t="s">
        <v>237</v>
      </c>
      <c r="V133" s="263" t="s">
        <v>237</v>
      </c>
      <c r="W133" s="263" t="s">
        <v>237</v>
      </c>
      <c r="X133" s="263" t="s">
        <v>237</v>
      </c>
      <c r="Y133" s="263" t="s">
        <v>237</v>
      </c>
      <c r="Z133" s="263" t="s">
        <v>237</v>
      </c>
      <c r="AA133" s="263" t="s">
        <v>237</v>
      </c>
      <c r="AB133" s="263" t="s">
        <v>237</v>
      </c>
      <c r="AC133" s="263" t="s">
        <v>237</v>
      </c>
      <c r="AD133" s="263" t="s">
        <v>237</v>
      </c>
      <c r="AE133" s="263" t="s">
        <v>237</v>
      </c>
      <c r="AF133" s="263" t="s">
        <v>237</v>
      </c>
      <c r="AG133" s="263" t="s">
        <v>237</v>
      </c>
      <c r="AH133" s="264" t="s">
        <v>237</v>
      </c>
    </row>
    <row r="134" spans="1:34" hidden="1" outlineLevel="1">
      <c r="A134" s="535"/>
      <c r="B134" s="87">
        <v>0</v>
      </c>
      <c r="C134" s="253">
        <v>0</v>
      </c>
      <c r="D134" s="262" t="s">
        <v>237</v>
      </c>
      <c r="E134" s="263" t="s">
        <v>237</v>
      </c>
      <c r="F134" s="263" t="s">
        <v>237</v>
      </c>
      <c r="G134" s="263" t="s">
        <v>237</v>
      </c>
      <c r="H134" s="263" t="s">
        <v>237</v>
      </c>
      <c r="I134" s="263" t="s">
        <v>237</v>
      </c>
      <c r="J134" s="263" t="s">
        <v>237</v>
      </c>
      <c r="K134" s="263" t="s">
        <v>237</v>
      </c>
      <c r="L134" s="263" t="s">
        <v>237</v>
      </c>
      <c r="M134" s="263" t="s">
        <v>237</v>
      </c>
      <c r="N134" s="263" t="s">
        <v>237</v>
      </c>
      <c r="O134" s="263" t="s">
        <v>237</v>
      </c>
      <c r="P134" s="263" t="s">
        <v>237</v>
      </c>
      <c r="Q134" s="263" t="s">
        <v>237</v>
      </c>
      <c r="R134" s="263" t="s">
        <v>237</v>
      </c>
      <c r="S134" s="263" t="s">
        <v>237</v>
      </c>
      <c r="T134" s="263" t="s">
        <v>237</v>
      </c>
      <c r="U134" s="263" t="s">
        <v>237</v>
      </c>
      <c r="V134" s="263" t="s">
        <v>237</v>
      </c>
      <c r="W134" s="263" t="s">
        <v>237</v>
      </c>
      <c r="X134" s="263" t="s">
        <v>237</v>
      </c>
      <c r="Y134" s="263" t="s">
        <v>237</v>
      </c>
      <c r="Z134" s="263" t="s">
        <v>237</v>
      </c>
      <c r="AA134" s="263" t="s">
        <v>237</v>
      </c>
      <c r="AB134" s="263" t="s">
        <v>237</v>
      </c>
      <c r="AC134" s="263" t="s">
        <v>237</v>
      </c>
      <c r="AD134" s="263" t="s">
        <v>237</v>
      </c>
      <c r="AE134" s="263" t="s">
        <v>237</v>
      </c>
      <c r="AF134" s="263" t="s">
        <v>237</v>
      </c>
      <c r="AG134" s="263" t="s">
        <v>237</v>
      </c>
      <c r="AH134" s="264" t="s">
        <v>237</v>
      </c>
    </row>
    <row r="135" spans="1:34" hidden="1" outlineLevel="1">
      <c r="A135" s="535"/>
      <c r="B135" s="87">
        <v>0</v>
      </c>
      <c r="C135" s="253">
        <v>0</v>
      </c>
      <c r="D135" s="262" t="s">
        <v>237</v>
      </c>
      <c r="E135" s="263" t="s">
        <v>237</v>
      </c>
      <c r="F135" s="263" t="s">
        <v>237</v>
      </c>
      <c r="G135" s="263" t="s">
        <v>237</v>
      </c>
      <c r="H135" s="263" t="s">
        <v>237</v>
      </c>
      <c r="I135" s="263" t="s">
        <v>237</v>
      </c>
      <c r="J135" s="263" t="s">
        <v>237</v>
      </c>
      <c r="K135" s="263" t="s">
        <v>237</v>
      </c>
      <c r="L135" s="263" t="s">
        <v>237</v>
      </c>
      <c r="M135" s="263" t="s">
        <v>237</v>
      </c>
      <c r="N135" s="263" t="s">
        <v>237</v>
      </c>
      <c r="O135" s="263" t="s">
        <v>237</v>
      </c>
      <c r="P135" s="263" t="s">
        <v>237</v>
      </c>
      <c r="Q135" s="263" t="s">
        <v>237</v>
      </c>
      <c r="R135" s="263" t="s">
        <v>237</v>
      </c>
      <c r="S135" s="263" t="s">
        <v>237</v>
      </c>
      <c r="T135" s="263" t="s">
        <v>237</v>
      </c>
      <c r="U135" s="263" t="s">
        <v>237</v>
      </c>
      <c r="V135" s="263" t="s">
        <v>237</v>
      </c>
      <c r="W135" s="263" t="s">
        <v>237</v>
      </c>
      <c r="X135" s="263" t="s">
        <v>237</v>
      </c>
      <c r="Y135" s="263" t="s">
        <v>237</v>
      </c>
      <c r="Z135" s="263" t="s">
        <v>237</v>
      </c>
      <c r="AA135" s="263" t="s">
        <v>237</v>
      </c>
      <c r="AB135" s="263" t="s">
        <v>237</v>
      </c>
      <c r="AC135" s="263" t="s">
        <v>237</v>
      </c>
      <c r="AD135" s="263" t="s">
        <v>237</v>
      </c>
      <c r="AE135" s="263" t="s">
        <v>237</v>
      </c>
      <c r="AF135" s="263" t="s">
        <v>237</v>
      </c>
      <c r="AG135" s="263" t="s">
        <v>237</v>
      </c>
      <c r="AH135" s="264" t="s">
        <v>237</v>
      </c>
    </row>
    <row r="136" spans="1:34" hidden="1" outlineLevel="1">
      <c r="A136" s="535"/>
      <c r="B136" s="87">
        <v>0</v>
      </c>
      <c r="C136" s="253">
        <v>0</v>
      </c>
      <c r="D136" s="262" t="s">
        <v>237</v>
      </c>
      <c r="E136" s="263" t="s">
        <v>237</v>
      </c>
      <c r="F136" s="263" t="s">
        <v>237</v>
      </c>
      <c r="G136" s="263" t="s">
        <v>237</v>
      </c>
      <c r="H136" s="263" t="s">
        <v>237</v>
      </c>
      <c r="I136" s="263" t="s">
        <v>237</v>
      </c>
      <c r="J136" s="263" t="s">
        <v>237</v>
      </c>
      <c r="K136" s="263" t="s">
        <v>237</v>
      </c>
      <c r="L136" s="263" t="s">
        <v>237</v>
      </c>
      <c r="M136" s="263" t="s">
        <v>237</v>
      </c>
      <c r="N136" s="263" t="s">
        <v>237</v>
      </c>
      <c r="O136" s="263" t="s">
        <v>237</v>
      </c>
      <c r="P136" s="263" t="s">
        <v>237</v>
      </c>
      <c r="Q136" s="263" t="s">
        <v>237</v>
      </c>
      <c r="R136" s="263" t="s">
        <v>237</v>
      </c>
      <c r="S136" s="263" t="s">
        <v>237</v>
      </c>
      <c r="T136" s="263" t="s">
        <v>237</v>
      </c>
      <c r="U136" s="263" t="s">
        <v>237</v>
      </c>
      <c r="V136" s="263" t="s">
        <v>237</v>
      </c>
      <c r="W136" s="263" t="s">
        <v>237</v>
      </c>
      <c r="X136" s="263" t="s">
        <v>237</v>
      </c>
      <c r="Y136" s="263" t="s">
        <v>237</v>
      </c>
      <c r="Z136" s="263" t="s">
        <v>237</v>
      </c>
      <c r="AA136" s="263" t="s">
        <v>237</v>
      </c>
      <c r="AB136" s="263" t="s">
        <v>237</v>
      </c>
      <c r="AC136" s="263" t="s">
        <v>237</v>
      </c>
      <c r="AD136" s="263" t="s">
        <v>237</v>
      </c>
      <c r="AE136" s="263" t="s">
        <v>237</v>
      </c>
      <c r="AF136" s="263" t="s">
        <v>237</v>
      </c>
      <c r="AG136" s="263" t="s">
        <v>237</v>
      </c>
      <c r="AH136" s="264" t="s">
        <v>237</v>
      </c>
    </row>
    <row r="137" spans="1:34" hidden="1" outlineLevel="1">
      <c r="A137" s="535"/>
      <c r="B137" s="87">
        <v>0</v>
      </c>
      <c r="C137" s="253">
        <v>0</v>
      </c>
      <c r="D137" s="262" t="s">
        <v>237</v>
      </c>
      <c r="E137" s="263" t="s">
        <v>237</v>
      </c>
      <c r="F137" s="263" t="s">
        <v>237</v>
      </c>
      <c r="G137" s="263" t="s">
        <v>237</v>
      </c>
      <c r="H137" s="263" t="s">
        <v>237</v>
      </c>
      <c r="I137" s="263" t="s">
        <v>237</v>
      </c>
      <c r="J137" s="263" t="s">
        <v>237</v>
      </c>
      <c r="K137" s="263" t="s">
        <v>237</v>
      </c>
      <c r="L137" s="263" t="s">
        <v>237</v>
      </c>
      <c r="M137" s="263" t="s">
        <v>237</v>
      </c>
      <c r="N137" s="263" t="s">
        <v>237</v>
      </c>
      <c r="O137" s="263" t="s">
        <v>237</v>
      </c>
      <c r="P137" s="263" t="s">
        <v>237</v>
      </c>
      <c r="Q137" s="263" t="s">
        <v>237</v>
      </c>
      <c r="R137" s="263" t="s">
        <v>237</v>
      </c>
      <c r="S137" s="263" t="s">
        <v>237</v>
      </c>
      <c r="T137" s="263" t="s">
        <v>237</v>
      </c>
      <c r="U137" s="263" t="s">
        <v>237</v>
      </c>
      <c r="V137" s="263" t="s">
        <v>237</v>
      </c>
      <c r="W137" s="263" t="s">
        <v>237</v>
      </c>
      <c r="X137" s="263" t="s">
        <v>237</v>
      </c>
      <c r="Y137" s="263" t="s">
        <v>237</v>
      </c>
      <c r="Z137" s="263" t="s">
        <v>237</v>
      </c>
      <c r="AA137" s="263" t="s">
        <v>237</v>
      </c>
      <c r="AB137" s="263" t="s">
        <v>237</v>
      </c>
      <c r="AC137" s="263" t="s">
        <v>237</v>
      </c>
      <c r="AD137" s="263" t="s">
        <v>237</v>
      </c>
      <c r="AE137" s="263" t="s">
        <v>237</v>
      </c>
      <c r="AF137" s="263" t="s">
        <v>237</v>
      </c>
      <c r="AG137" s="263" t="s">
        <v>237</v>
      </c>
      <c r="AH137" s="264" t="s">
        <v>237</v>
      </c>
    </row>
    <row r="138" spans="1:34" hidden="1" outlineLevel="1">
      <c r="A138" s="535"/>
      <c r="B138" s="87">
        <v>0</v>
      </c>
      <c r="C138" s="253">
        <v>0</v>
      </c>
      <c r="D138" s="262" t="s">
        <v>237</v>
      </c>
      <c r="E138" s="263" t="s">
        <v>237</v>
      </c>
      <c r="F138" s="263" t="s">
        <v>237</v>
      </c>
      <c r="G138" s="263" t="s">
        <v>237</v>
      </c>
      <c r="H138" s="263" t="s">
        <v>237</v>
      </c>
      <c r="I138" s="263" t="s">
        <v>237</v>
      </c>
      <c r="J138" s="263" t="s">
        <v>237</v>
      </c>
      <c r="K138" s="263" t="s">
        <v>237</v>
      </c>
      <c r="L138" s="263" t="s">
        <v>237</v>
      </c>
      <c r="M138" s="263" t="s">
        <v>237</v>
      </c>
      <c r="N138" s="263" t="s">
        <v>237</v>
      </c>
      <c r="O138" s="263" t="s">
        <v>237</v>
      </c>
      <c r="P138" s="263" t="s">
        <v>237</v>
      </c>
      <c r="Q138" s="263" t="s">
        <v>237</v>
      </c>
      <c r="R138" s="263" t="s">
        <v>237</v>
      </c>
      <c r="S138" s="263" t="s">
        <v>237</v>
      </c>
      <c r="T138" s="263" t="s">
        <v>237</v>
      </c>
      <c r="U138" s="263" t="s">
        <v>237</v>
      </c>
      <c r="V138" s="263" t="s">
        <v>237</v>
      </c>
      <c r="W138" s="263" t="s">
        <v>237</v>
      </c>
      <c r="X138" s="263" t="s">
        <v>237</v>
      </c>
      <c r="Y138" s="263" t="s">
        <v>237</v>
      </c>
      <c r="Z138" s="263" t="s">
        <v>237</v>
      </c>
      <c r="AA138" s="263" t="s">
        <v>237</v>
      </c>
      <c r="AB138" s="263" t="s">
        <v>237</v>
      </c>
      <c r="AC138" s="263" t="s">
        <v>237</v>
      </c>
      <c r="AD138" s="263" t="s">
        <v>237</v>
      </c>
      <c r="AE138" s="263" t="s">
        <v>237</v>
      </c>
      <c r="AF138" s="263" t="s">
        <v>237</v>
      </c>
      <c r="AG138" s="263" t="s">
        <v>237</v>
      </c>
      <c r="AH138" s="264" t="s">
        <v>237</v>
      </c>
    </row>
    <row r="139" spans="1:34" hidden="1" outlineLevel="1">
      <c r="A139" s="535"/>
      <c r="B139" s="87">
        <v>0</v>
      </c>
      <c r="C139" s="253">
        <v>0</v>
      </c>
      <c r="D139" s="262" t="s">
        <v>237</v>
      </c>
      <c r="E139" s="263" t="s">
        <v>237</v>
      </c>
      <c r="F139" s="263" t="s">
        <v>237</v>
      </c>
      <c r="G139" s="263" t="s">
        <v>237</v>
      </c>
      <c r="H139" s="263" t="s">
        <v>237</v>
      </c>
      <c r="I139" s="263" t="s">
        <v>237</v>
      </c>
      <c r="J139" s="263" t="s">
        <v>237</v>
      </c>
      <c r="K139" s="263" t="s">
        <v>237</v>
      </c>
      <c r="L139" s="263" t="s">
        <v>237</v>
      </c>
      <c r="M139" s="263" t="s">
        <v>237</v>
      </c>
      <c r="N139" s="263" t="s">
        <v>237</v>
      </c>
      <c r="O139" s="263" t="s">
        <v>237</v>
      </c>
      <c r="P139" s="263" t="s">
        <v>237</v>
      </c>
      <c r="Q139" s="263" t="s">
        <v>237</v>
      </c>
      <c r="R139" s="263" t="s">
        <v>237</v>
      </c>
      <c r="S139" s="263" t="s">
        <v>237</v>
      </c>
      <c r="T139" s="263" t="s">
        <v>237</v>
      </c>
      <c r="U139" s="263" t="s">
        <v>237</v>
      </c>
      <c r="V139" s="263" t="s">
        <v>237</v>
      </c>
      <c r="W139" s="263" t="s">
        <v>237</v>
      </c>
      <c r="X139" s="263" t="s">
        <v>237</v>
      </c>
      <c r="Y139" s="263" t="s">
        <v>237</v>
      </c>
      <c r="Z139" s="263" t="s">
        <v>237</v>
      </c>
      <c r="AA139" s="263" t="s">
        <v>237</v>
      </c>
      <c r="AB139" s="263" t="s">
        <v>237</v>
      </c>
      <c r="AC139" s="263" t="s">
        <v>237</v>
      </c>
      <c r="AD139" s="263" t="s">
        <v>237</v>
      </c>
      <c r="AE139" s="263" t="s">
        <v>237</v>
      </c>
      <c r="AF139" s="263" t="s">
        <v>237</v>
      </c>
      <c r="AG139" s="263" t="s">
        <v>237</v>
      </c>
      <c r="AH139" s="264" t="s">
        <v>237</v>
      </c>
    </row>
    <row r="140" spans="1:34" hidden="1" outlineLevel="1">
      <c r="A140" s="535"/>
      <c r="B140" s="87">
        <v>0</v>
      </c>
      <c r="C140" s="253">
        <v>0</v>
      </c>
      <c r="D140" s="262" t="s">
        <v>237</v>
      </c>
      <c r="E140" s="263" t="s">
        <v>237</v>
      </c>
      <c r="F140" s="263" t="s">
        <v>237</v>
      </c>
      <c r="G140" s="263" t="s">
        <v>237</v>
      </c>
      <c r="H140" s="263" t="s">
        <v>237</v>
      </c>
      <c r="I140" s="263" t="s">
        <v>237</v>
      </c>
      <c r="J140" s="263" t="s">
        <v>237</v>
      </c>
      <c r="K140" s="263" t="s">
        <v>237</v>
      </c>
      <c r="L140" s="263" t="s">
        <v>237</v>
      </c>
      <c r="M140" s="263" t="s">
        <v>237</v>
      </c>
      <c r="N140" s="263" t="s">
        <v>237</v>
      </c>
      <c r="O140" s="263" t="s">
        <v>237</v>
      </c>
      <c r="P140" s="263" t="s">
        <v>237</v>
      </c>
      <c r="Q140" s="263" t="s">
        <v>237</v>
      </c>
      <c r="R140" s="263" t="s">
        <v>237</v>
      </c>
      <c r="S140" s="263" t="s">
        <v>237</v>
      </c>
      <c r="T140" s="263" t="s">
        <v>237</v>
      </c>
      <c r="U140" s="263" t="s">
        <v>237</v>
      </c>
      <c r="V140" s="263" t="s">
        <v>237</v>
      </c>
      <c r="W140" s="263" t="s">
        <v>237</v>
      </c>
      <c r="X140" s="263" t="s">
        <v>237</v>
      </c>
      <c r="Y140" s="263" t="s">
        <v>237</v>
      </c>
      <c r="Z140" s="263" t="s">
        <v>237</v>
      </c>
      <c r="AA140" s="263" t="s">
        <v>237</v>
      </c>
      <c r="AB140" s="263" t="s">
        <v>237</v>
      </c>
      <c r="AC140" s="263" t="s">
        <v>237</v>
      </c>
      <c r="AD140" s="263" t="s">
        <v>237</v>
      </c>
      <c r="AE140" s="263" t="s">
        <v>237</v>
      </c>
      <c r="AF140" s="263" t="s">
        <v>237</v>
      </c>
      <c r="AG140" s="263" t="s">
        <v>237</v>
      </c>
      <c r="AH140" s="264" t="s">
        <v>237</v>
      </c>
    </row>
    <row r="141" spans="1:34" hidden="1" outlineLevel="1">
      <c r="A141" s="535"/>
      <c r="B141" s="87">
        <v>0</v>
      </c>
      <c r="C141" s="253">
        <v>0</v>
      </c>
      <c r="D141" s="262" t="s">
        <v>237</v>
      </c>
      <c r="E141" s="263" t="s">
        <v>237</v>
      </c>
      <c r="F141" s="263" t="s">
        <v>237</v>
      </c>
      <c r="G141" s="263" t="s">
        <v>237</v>
      </c>
      <c r="H141" s="263" t="s">
        <v>237</v>
      </c>
      <c r="I141" s="263" t="s">
        <v>237</v>
      </c>
      <c r="J141" s="263" t="s">
        <v>237</v>
      </c>
      <c r="K141" s="263" t="s">
        <v>237</v>
      </c>
      <c r="L141" s="263" t="s">
        <v>237</v>
      </c>
      <c r="M141" s="263" t="s">
        <v>237</v>
      </c>
      <c r="N141" s="263" t="s">
        <v>237</v>
      </c>
      <c r="O141" s="263" t="s">
        <v>237</v>
      </c>
      <c r="P141" s="263" t="s">
        <v>237</v>
      </c>
      <c r="Q141" s="263" t="s">
        <v>237</v>
      </c>
      <c r="R141" s="263" t="s">
        <v>237</v>
      </c>
      <c r="S141" s="263" t="s">
        <v>237</v>
      </c>
      <c r="T141" s="263" t="s">
        <v>237</v>
      </c>
      <c r="U141" s="263" t="s">
        <v>237</v>
      </c>
      <c r="V141" s="263" t="s">
        <v>237</v>
      </c>
      <c r="W141" s="263" t="s">
        <v>237</v>
      </c>
      <c r="X141" s="263" t="s">
        <v>237</v>
      </c>
      <c r="Y141" s="263" t="s">
        <v>237</v>
      </c>
      <c r="Z141" s="263" t="s">
        <v>237</v>
      </c>
      <c r="AA141" s="263" t="s">
        <v>237</v>
      </c>
      <c r="AB141" s="263" t="s">
        <v>237</v>
      </c>
      <c r="AC141" s="263" t="s">
        <v>237</v>
      </c>
      <c r="AD141" s="263" t="s">
        <v>237</v>
      </c>
      <c r="AE141" s="263" t="s">
        <v>237</v>
      </c>
      <c r="AF141" s="263" t="s">
        <v>237</v>
      </c>
      <c r="AG141" s="263" t="s">
        <v>237</v>
      </c>
      <c r="AH141" s="264" t="s">
        <v>237</v>
      </c>
    </row>
    <row r="142" spans="1:34" hidden="1" outlineLevel="1">
      <c r="A142" s="535"/>
      <c r="B142" s="87">
        <v>0</v>
      </c>
      <c r="C142" s="253">
        <v>0</v>
      </c>
      <c r="D142" s="262" t="s">
        <v>237</v>
      </c>
      <c r="E142" s="263" t="s">
        <v>237</v>
      </c>
      <c r="F142" s="263" t="s">
        <v>237</v>
      </c>
      <c r="G142" s="263" t="s">
        <v>237</v>
      </c>
      <c r="H142" s="263" t="s">
        <v>237</v>
      </c>
      <c r="I142" s="263" t="s">
        <v>237</v>
      </c>
      <c r="J142" s="263" t="s">
        <v>237</v>
      </c>
      <c r="K142" s="263" t="s">
        <v>237</v>
      </c>
      <c r="L142" s="263" t="s">
        <v>237</v>
      </c>
      <c r="M142" s="263" t="s">
        <v>237</v>
      </c>
      <c r="N142" s="263" t="s">
        <v>237</v>
      </c>
      <c r="O142" s="263" t="s">
        <v>237</v>
      </c>
      <c r="P142" s="263" t="s">
        <v>237</v>
      </c>
      <c r="Q142" s="263" t="s">
        <v>237</v>
      </c>
      <c r="R142" s="263" t="s">
        <v>237</v>
      </c>
      <c r="S142" s="263" t="s">
        <v>237</v>
      </c>
      <c r="T142" s="263" t="s">
        <v>237</v>
      </c>
      <c r="U142" s="263" t="s">
        <v>237</v>
      </c>
      <c r="V142" s="263" t="s">
        <v>237</v>
      </c>
      <c r="W142" s="263" t="s">
        <v>237</v>
      </c>
      <c r="X142" s="263" t="s">
        <v>237</v>
      </c>
      <c r="Y142" s="263" t="s">
        <v>237</v>
      </c>
      <c r="Z142" s="263" t="s">
        <v>237</v>
      </c>
      <c r="AA142" s="263" t="s">
        <v>237</v>
      </c>
      <c r="AB142" s="263" t="s">
        <v>237</v>
      </c>
      <c r="AC142" s="263" t="s">
        <v>237</v>
      </c>
      <c r="AD142" s="263" t="s">
        <v>237</v>
      </c>
      <c r="AE142" s="263" t="s">
        <v>237</v>
      </c>
      <c r="AF142" s="263" t="s">
        <v>237</v>
      </c>
      <c r="AG142" s="263" t="s">
        <v>237</v>
      </c>
      <c r="AH142" s="264" t="s">
        <v>237</v>
      </c>
    </row>
    <row r="143" spans="1:34" hidden="1" outlineLevel="1">
      <c r="A143" s="535"/>
      <c r="B143" s="87">
        <v>0</v>
      </c>
      <c r="C143" s="253">
        <v>0</v>
      </c>
      <c r="D143" s="262" t="s">
        <v>237</v>
      </c>
      <c r="E143" s="263" t="s">
        <v>237</v>
      </c>
      <c r="F143" s="263" t="s">
        <v>237</v>
      </c>
      <c r="G143" s="263" t="s">
        <v>237</v>
      </c>
      <c r="H143" s="263" t="s">
        <v>237</v>
      </c>
      <c r="I143" s="263" t="s">
        <v>237</v>
      </c>
      <c r="J143" s="263" t="s">
        <v>237</v>
      </c>
      <c r="K143" s="263" t="s">
        <v>237</v>
      </c>
      <c r="L143" s="263" t="s">
        <v>237</v>
      </c>
      <c r="M143" s="263" t="s">
        <v>237</v>
      </c>
      <c r="N143" s="263" t="s">
        <v>237</v>
      </c>
      <c r="O143" s="263" t="s">
        <v>237</v>
      </c>
      <c r="P143" s="263" t="s">
        <v>237</v>
      </c>
      <c r="Q143" s="263" t="s">
        <v>237</v>
      </c>
      <c r="R143" s="263" t="s">
        <v>237</v>
      </c>
      <c r="S143" s="263" t="s">
        <v>237</v>
      </c>
      <c r="T143" s="263" t="s">
        <v>237</v>
      </c>
      <c r="U143" s="263" t="s">
        <v>237</v>
      </c>
      <c r="V143" s="263" t="s">
        <v>237</v>
      </c>
      <c r="W143" s="263" t="s">
        <v>237</v>
      </c>
      <c r="X143" s="263" t="s">
        <v>237</v>
      </c>
      <c r="Y143" s="263" t="s">
        <v>237</v>
      </c>
      <c r="Z143" s="263" t="s">
        <v>237</v>
      </c>
      <c r="AA143" s="263" t="s">
        <v>237</v>
      </c>
      <c r="AB143" s="263" t="s">
        <v>237</v>
      </c>
      <c r="AC143" s="263" t="s">
        <v>237</v>
      </c>
      <c r="AD143" s="263" t="s">
        <v>237</v>
      </c>
      <c r="AE143" s="263" t="s">
        <v>237</v>
      </c>
      <c r="AF143" s="263" t="s">
        <v>237</v>
      </c>
      <c r="AG143" s="263" t="s">
        <v>237</v>
      </c>
      <c r="AH143" s="264" t="s">
        <v>237</v>
      </c>
    </row>
    <row r="144" spans="1:34" collapsed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A319-D14B-4F6B-B656-20A42BBDD429}">
  <sheetPr>
    <tabColor rgb="FFFF0000"/>
  </sheetPr>
  <dimension ref="A1:M15"/>
  <sheetViews>
    <sheetView topLeftCell="A4" workbookViewId="0">
      <selection activeCell="C13" sqref="C13"/>
    </sheetView>
  </sheetViews>
  <sheetFormatPr defaultColWidth="9.296875" defaultRowHeight="14.4"/>
  <cols>
    <col min="1" max="1" width="3.296875" style="3" customWidth="1"/>
    <col min="2" max="2" width="27.8984375" style="3" customWidth="1"/>
    <col min="3" max="5" width="11.59765625" style="3" customWidth="1"/>
    <col min="6" max="6" width="12.69921875" style="3" customWidth="1"/>
    <col min="7" max="7" width="11.59765625" style="3" customWidth="1"/>
    <col min="8" max="10" width="12.69921875" style="3" customWidth="1"/>
    <col min="11" max="12" width="13.59765625" style="3" hidden="1" customWidth="1"/>
    <col min="13" max="16" width="13.59765625" style="3" customWidth="1"/>
    <col min="17" max="16384" width="9.296875" style="3"/>
  </cols>
  <sheetData>
    <row r="1" spans="1:13" hidden="1">
      <c r="H1" s="3" t="s">
        <v>236</v>
      </c>
      <c r="I1" s="3" t="s">
        <v>14</v>
      </c>
    </row>
    <row r="2" spans="1:13" hidden="1">
      <c r="C2" s="3">
        <v>2</v>
      </c>
      <c r="D2" s="3">
        <v>4</v>
      </c>
      <c r="E2" s="3">
        <v>5</v>
      </c>
      <c r="F2" s="3">
        <v>6</v>
      </c>
      <c r="G2" s="3">
        <v>3</v>
      </c>
      <c r="H2" s="3">
        <v>15</v>
      </c>
      <c r="I2" s="3">
        <v>13</v>
      </c>
      <c r="J2" s="3">
        <v>16</v>
      </c>
    </row>
    <row r="3" spans="1:13" hidden="1">
      <c r="C3" s="3" t="s">
        <v>92</v>
      </c>
      <c r="D3" s="3" t="s">
        <v>93</v>
      </c>
      <c r="E3" s="3" t="s">
        <v>28</v>
      </c>
      <c r="F3" s="3" t="s">
        <v>94</v>
      </c>
      <c r="G3" s="3" t="s">
        <v>95</v>
      </c>
      <c r="H3" s="3" t="s">
        <v>96</v>
      </c>
      <c r="I3" s="3" t="s">
        <v>97</v>
      </c>
      <c r="J3" s="3" t="s">
        <v>98</v>
      </c>
    </row>
    <row r="5" spans="1:13" ht="15.6">
      <c r="B5" s="583" t="s">
        <v>391</v>
      </c>
      <c r="C5" s="583"/>
      <c r="D5" s="583"/>
      <c r="E5" s="583"/>
      <c r="F5" s="583"/>
      <c r="G5" s="583"/>
      <c r="H5" s="583"/>
      <c r="I5" s="583"/>
      <c r="J5" s="583"/>
    </row>
    <row r="7" spans="1:13" s="43" customFormat="1" ht="51" customHeight="1">
      <c r="B7" s="414" t="s">
        <v>132</v>
      </c>
      <c r="C7" s="52" t="s">
        <v>0</v>
      </c>
      <c r="D7" s="52" t="s">
        <v>1</v>
      </c>
      <c r="E7" s="52" t="s">
        <v>2</v>
      </c>
      <c r="F7" s="52" t="s">
        <v>3</v>
      </c>
      <c r="G7" s="52" t="s">
        <v>4</v>
      </c>
      <c r="H7" s="52" t="str">
        <f>DR!$H$4</f>
        <v>Lower of 90% confidence interval</v>
      </c>
      <c r="I7" s="52" t="s">
        <v>14</v>
      </c>
      <c r="J7" s="52" t="str">
        <f>DR!$J$4</f>
        <v>Upper of 90% confidence interval</v>
      </c>
    </row>
    <row r="8" spans="1:13">
      <c r="B8" s="376" t="s">
        <v>133</v>
      </c>
      <c r="C8" s="76">
        <v>1568</v>
      </c>
      <c r="D8" s="76">
        <v>31</v>
      </c>
      <c r="E8" s="76">
        <v>69</v>
      </c>
      <c r="F8" s="76">
        <v>3653</v>
      </c>
      <c r="G8" s="76">
        <v>66157.205988132962</v>
      </c>
      <c r="H8" s="390">
        <v>1.3902246564463429E-2</v>
      </c>
      <c r="I8" s="77">
        <v>1.888858472488366E-2</v>
      </c>
      <c r="J8" s="390">
        <v>2.3874922885303879E-2</v>
      </c>
      <c r="K8" s="3">
        <f t="shared" ref="K8" si="0">IF(ISERROR(J8),IF(L8="Grey",2,1),0)</f>
        <v>0</v>
      </c>
    </row>
    <row r="9" spans="1:13">
      <c r="B9" s="377" t="s">
        <v>134</v>
      </c>
      <c r="C9" s="74">
        <v>4484</v>
      </c>
      <c r="D9" s="74">
        <v>31</v>
      </c>
      <c r="E9" s="74">
        <v>654</v>
      </c>
      <c r="F9" s="74">
        <v>24407</v>
      </c>
      <c r="G9" s="74">
        <v>212846.16592587653</v>
      </c>
      <c r="H9" s="391">
        <v>2.2516289254290799E-2</v>
      </c>
      <c r="I9" s="75">
        <v>2.6795591428688492E-2</v>
      </c>
      <c r="J9" s="391">
        <v>3.1074893603086181E-2</v>
      </c>
      <c r="K9" s="3">
        <f>IF(ISERROR(J9),IF(L9="Grey",2,1),0)</f>
        <v>0</v>
      </c>
      <c r="L9" s="3" t="s">
        <v>101</v>
      </c>
    </row>
    <row r="10" spans="1:13">
      <c r="B10" s="376" t="s">
        <v>135</v>
      </c>
      <c r="C10" s="76">
        <v>3216</v>
      </c>
      <c r="D10" s="76">
        <v>31</v>
      </c>
      <c r="E10" s="76">
        <v>818</v>
      </c>
      <c r="F10" s="76">
        <v>21565</v>
      </c>
      <c r="G10" s="76">
        <v>109974.72570548719</v>
      </c>
      <c r="H10" s="390">
        <v>3.3851516910382823E-2</v>
      </c>
      <c r="I10" s="77">
        <v>3.7931833990262002E-2</v>
      </c>
      <c r="J10" s="390">
        <v>4.2012151070141182E-2</v>
      </c>
      <c r="K10" s="3">
        <f t="shared" ref="K10:K12" si="1">IF(ISERROR(J10),IF(L10="Grey",2,1),0)</f>
        <v>0</v>
      </c>
    </row>
    <row r="11" spans="1:13">
      <c r="B11" s="377" t="s">
        <v>136</v>
      </c>
      <c r="C11" s="74">
        <v>486</v>
      </c>
      <c r="D11" s="74">
        <v>31</v>
      </c>
      <c r="E11" s="74">
        <v>464</v>
      </c>
      <c r="F11" s="74">
        <v>6451</v>
      </c>
      <c r="G11" s="74">
        <v>9075.5865888236549</v>
      </c>
      <c r="H11" s="391">
        <v>6.2859264636415169E-2</v>
      </c>
      <c r="I11" s="75">
        <v>7.1926833049139674E-2</v>
      </c>
      <c r="J11" s="391">
        <v>8.0994401461864179E-2</v>
      </c>
      <c r="K11" s="3">
        <f t="shared" si="1"/>
        <v>0</v>
      </c>
      <c r="L11" s="3" t="s">
        <v>101</v>
      </c>
    </row>
    <row r="12" spans="1:13">
      <c r="B12" s="376" t="s">
        <v>137</v>
      </c>
      <c r="C12" s="76">
        <v>722</v>
      </c>
      <c r="D12" s="76">
        <v>31</v>
      </c>
      <c r="E12" s="76">
        <v>96</v>
      </c>
      <c r="F12" s="76">
        <v>3285</v>
      </c>
      <c r="G12" s="76">
        <v>48307.166640687887</v>
      </c>
      <c r="H12" s="390">
        <v>2.3909193577443168E-2</v>
      </c>
      <c r="I12" s="77">
        <v>2.9223744292237439E-2</v>
      </c>
      <c r="J12" s="390">
        <v>3.4538295007031712E-2</v>
      </c>
      <c r="K12" s="3">
        <f t="shared" si="1"/>
        <v>0</v>
      </c>
    </row>
    <row r="13" spans="1:13" s="17" customFormat="1" ht="21" customHeight="1">
      <c r="B13" s="436" t="s">
        <v>138</v>
      </c>
      <c r="C13" s="393">
        <v>10476</v>
      </c>
      <c r="D13" s="393">
        <v>31</v>
      </c>
      <c r="E13" s="393">
        <v>2101</v>
      </c>
      <c r="F13" s="393">
        <v>59361</v>
      </c>
      <c r="G13" s="393">
        <v>446360.85084900609</v>
      </c>
      <c r="H13" s="394">
        <v>3.1889332934405899E-2</v>
      </c>
      <c r="I13" s="394">
        <v>3.5393608598237897E-2</v>
      </c>
      <c r="J13" s="394">
        <v>3.8897884262069908E-2</v>
      </c>
      <c r="K13" s="3"/>
      <c r="L13" s="3"/>
      <c r="M13" s="559">
        <f>SUMPRODUCT(I8:I12,C8:C12)/SUM(C8:C12)</f>
        <v>3.1291857118023736E-2</v>
      </c>
    </row>
    <row r="14" spans="1:13" s="17" customFormat="1" ht="21" customHeight="1">
      <c r="A14" s="3"/>
      <c r="B14" s="550" t="s">
        <v>539</v>
      </c>
      <c r="C14" s="3"/>
      <c r="D14" s="3"/>
      <c r="E14" s="3"/>
      <c r="F14" s="3"/>
      <c r="G14" s="3"/>
      <c r="H14" s="3"/>
      <c r="I14" s="558">
        <f>SUMPRODUCT(I9:I11,C9:C11)/SUM(C9:C11)</f>
        <v>3.3850067302810122E-2</v>
      </c>
      <c r="J14" s="3"/>
      <c r="K14" s="3"/>
      <c r="L14" s="3"/>
      <c r="M14" s="3"/>
    </row>
    <row r="15" spans="1:13" s="17" customFormat="1" ht="21" customHeight="1">
      <c r="A15" s="3"/>
      <c r="B15" s="235" t="s">
        <v>392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mergeCells count="1">
    <mergeCell ref="B5:J5"/>
  </mergeCells>
  <conditionalFormatting sqref="C8:J11">
    <cfRule type="expression" dxfId="29" priority="1">
      <formula>$K8=2</formula>
    </cfRule>
    <cfRule type="expression" dxfId="28" priority="2">
      <formula>$K8=1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E2D8-1706-4541-BCB0-4D5FCA67B81E}">
  <dimension ref="A1:T71"/>
  <sheetViews>
    <sheetView workbookViewId="0"/>
  </sheetViews>
  <sheetFormatPr defaultColWidth="9.296875" defaultRowHeight="14.4"/>
  <cols>
    <col min="1" max="1" width="9" style="3" customWidth="1"/>
    <col min="2" max="2" width="2.296875" style="3" customWidth="1"/>
    <col min="3" max="3" width="26.59765625" style="4" bestFit="1" customWidth="1"/>
    <col min="4" max="4" width="11.59765625" style="8" customWidth="1"/>
    <col min="5" max="5" width="12.69921875" style="8" customWidth="1"/>
    <col min="6" max="8" width="12.296875" style="8" customWidth="1"/>
    <col min="9" max="9" width="13.3984375" style="8" customWidth="1"/>
    <col min="10" max="12" width="12.296875" style="3" customWidth="1"/>
    <col min="13" max="16384" width="9.296875" style="3"/>
  </cols>
  <sheetData>
    <row r="1" spans="1:20">
      <c r="J1" s="8"/>
      <c r="K1" s="8"/>
    </row>
    <row r="3" spans="1:20" ht="15.6">
      <c r="C3" s="583" t="s">
        <v>393</v>
      </c>
      <c r="D3" s="583"/>
      <c r="E3" s="583"/>
      <c r="F3" s="583"/>
      <c r="G3" s="583"/>
      <c r="H3" s="583"/>
      <c r="I3" s="583"/>
    </row>
    <row r="5" spans="1:20" ht="45.75" customHeight="1">
      <c r="C5" s="414" t="s">
        <v>132</v>
      </c>
      <c r="D5" s="52" t="s">
        <v>2</v>
      </c>
      <c r="E5" s="52" t="s">
        <v>3</v>
      </c>
      <c r="F5" s="52" t="s">
        <v>76</v>
      </c>
      <c r="G5" s="52" t="s">
        <v>77</v>
      </c>
      <c r="H5" s="52" t="s">
        <v>78</v>
      </c>
      <c r="I5" s="52" t="s">
        <v>79</v>
      </c>
      <c r="J5" s="52" t="s">
        <v>80</v>
      </c>
      <c r="K5" s="52" t="s">
        <v>81</v>
      </c>
    </row>
    <row r="6" spans="1:20" s="17" customFormat="1" ht="19.2" customHeight="1">
      <c r="A6" s="3"/>
      <c r="B6" s="3"/>
      <c r="C6" s="438" t="s">
        <v>133</v>
      </c>
      <c r="D6" s="439">
        <v>69</v>
      </c>
      <c r="E6" s="439">
        <v>3653</v>
      </c>
      <c r="F6" s="159" t="s">
        <v>237</v>
      </c>
      <c r="G6" s="159">
        <v>1.2900355871886119E-2</v>
      </c>
      <c r="H6" s="159">
        <v>3.2977691561590687E-2</v>
      </c>
      <c r="I6" s="159">
        <v>6.9444444444444441E-3</v>
      </c>
      <c r="J6" s="159" t="s">
        <v>237</v>
      </c>
      <c r="K6" s="159" t="s">
        <v>237</v>
      </c>
    </row>
    <row r="7" spans="1:20" s="17" customFormat="1" ht="19.2" customHeight="1">
      <c r="A7" s="3"/>
      <c r="B7" s="3"/>
      <c r="C7" s="440" t="s">
        <v>134</v>
      </c>
      <c r="D7" s="441">
        <v>654</v>
      </c>
      <c r="E7" s="441">
        <v>24407</v>
      </c>
      <c r="F7" s="437">
        <v>2.3174157303370791E-2</v>
      </c>
      <c r="G7" s="437">
        <v>2.409740424452524E-2</v>
      </c>
      <c r="H7" s="437">
        <v>2.740552939756127E-2</v>
      </c>
      <c r="I7" s="437">
        <v>5.2910052910052907E-2</v>
      </c>
      <c r="J7" s="437">
        <v>0</v>
      </c>
      <c r="K7" s="437">
        <v>2.9323758228605629E-2</v>
      </c>
    </row>
    <row r="8" spans="1:20" s="17" customFormat="1" ht="19.2" customHeight="1">
      <c r="A8" s="3"/>
      <c r="B8" s="3"/>
      <c r="C8" s="438" t="s">
        <v>135</v>
      </c>
      <c r="D8" s="439">
        <v>818</v>
      </c>
      <c r="E8" s="439">
        <v>21565</v>
      </c>
      <c r="F8" s="159">
        <v>4.0703690927906183E-2</v>
      </c>
      <c r="G8" s="159">
        <v>4.1993281075027998E-2</v>
      </c>
      <c r="H8" s="159">
        <v>2.8769497400346618E-2</v>
      </c>
      <c r="I8" s="159">
        <v>2.7407140281283809E-2</v>
      </c>
      <c r="J8" s="159">
        <v>2.6041666666666671E-2</v>
      </c>
      <c r="K8" s="159">
        <v>5.6692913385826771E-2</v>
      </c>
    </row>
    <row r="9" spans="1:20" s="17" customFormat="1" ht="19.2" customHeight="1">
      <c r="A9" s="3"/>
      <c r="B9" s="3"/>
      <c r="C9" s="440" t="s">
        <v>136</v>
      </c>
      <c r="D9" s="441">
        <v>464</v>
      </c>
      <c r="E9" s="441">
        <v>6451</v>
      </c>
      <c r="F9" s="437">
        <v>0.10332103321033211</v>
      </c>
      <c r="G9" s="437">
        <v>3.4941763727121461E-2</v>
      </c>
      <c r="H9" s="437">
        <v>7.3170731707317069E-2</v>
      </c>
      <c r="I9" s="437">
        <v>8.5106382978723402E-2</v>
      </c>
      <c r="J9" s="437">
        <v>6.2983425414364635E-2</v>
      </c>
      <c r="K9" s="437">
        <v>7.6598579040852571E-2</v>
      </c>
    </row>
    <row r="10" spans="1:20" s="17" customFormat="1" ht="19.2" customHeight="1">
      <c r="A10" s="3"/>
      <c r="B10" s="3"/>
      <c r="C10" s="438" t="s">
        <v>137</v>
      </c>
      <c r="D10" s="439">
        <v>96</v>
      </c>
      <c r="E10" s="439">
        <v>3285</v>
      </c>
      <c r="F10" s="159">
        <v>1.2500000000000001E-2</v>
      </c>
      <c r="G10" s="159">
        <v>1.5222482435597189E-2</v>
      </c>
      <c r="H10" s="159">
        <v>4.2316258351893087E-2</v>
      </c>
      <c r="I10" s="159">
        <v>5.0420168067226892E-2</v>
      </c>
      <c r="J10" s="159" t="s">
        <v>237</v>
      </c>
      <c r="K10" s="159">
        <v>4.7761194029850747E-2</v>
      </c>
    </row>
    <row r="12" spans="1:20">
      <c r="C12"/>
      <c r="D12"/>
      <c r="E12" s="3"/>
      <c r="F12" s="3"/>
      <c r="G12" s="3"/>
    </row>
    <row r="13" spans="1:20">
      <c r="C13"/>
      <c r="D13"/>
      <c r="E13" s="3"/>
      <c r="F13" s="3"/>
      <c r="G13" s="3"/>
    </row>
    <row r="14" spans="1:20" s="8" customFormat="1">
      <c r="A14" s="3"/>
      <c r="B14" s="3"/>
      <c r="C14"/>
      <c r="D14"/>
      <c r="E14" s="3"/>
      <c r="F14" s="3"/>
      <c r="G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s="8" customFormat="1">
      <c r="A15" s="3"/>
      <c r="B15" s="3"/>
      <c r="C15"/>
      <c r="D15"/>
      <c r="E15" s="3"/>
      <c r="F15" s="3"/>
      <c r="G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s="8" customFormat="1">
      <c r="A16" s="3"/>
      <c r="B16" s="3"/>
      <c r="C16"/>
      <c r="D16"/>
      <c r="E16" s="3"/>
      <c r="F16" s="3"/>
      <c r="G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s="8" customFormat="1">
      <c r="A17" s="3"/>
      <c r="B17" s="3"/>
      <c r="C17"/>
      <c r="D17"/>
      <c r="E17" s="3"/>
      <c r="F17" s="3"/>
      <c r="G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s="8" customFormat="1">
      <c r="A18" s="3"/>
      <c r="B18" s="3"/>
      <c r="C18"/>
      <c r="D18"/>
      <c r="E18" s="3"/>
      <c r="F18" s="3"/>
      <c r="G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s="8" customFormat="1">
      <c r="A19" s="3"/>
      <c r="B19" s="3"/>
      <c r="C19"/>
      <c r="D19"/>
      <c r="E19" s="3"/>
      <c r="F19" s="3"/>
      <c r="G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s="8" customFormat="1">
      <c r="A20" s="3"/>
      <c r="B20" s="3"/>
      <c r="C20"/>
      <c r="D20"/>
      <c r="E20" s="3"/>
      <c r="F20" s="3"/>
      <c r="G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s="8" customFormat="1">
      <c r="A21" s="3"/>
      <c r="B21" s="3"/>
      <c r="C21"/>
      <c r="D21"/>
      <c r="E21" s="3"/>
      <c r="F21" s="3"/>
      <c r="G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s="8" customFormat="1">
      <c r="A22" s="3"/>
      <c r="B22" s="3"/>
      <c r="C22"/>
      <c r="D22"/>
      <c r="E22" s="3"/>
      <c r="F22" s="3"/>
      <c r="G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s="8" customFormat="1">
      <c r="A23" s="3"/>
      <c r="B23" s="3"/>
      <c r="C23"/>
      <c r="D23"/>
      <c r="E23" s="3"/>
      <c r="F23" s="3"/>
      <c r="G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s="8" customFormat="1">
      <c r="A24" s="3"/>
      <c r="B24" s="3"/>
      <c r="C24"/>
      <c r="D24"/>
      <c r="E24" s="3"/>
      <c r="F24" s="3"/>
      <c r="G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s="8" customFormat="1">
      <c r="A25" s="3"/>
      <c r="B25" s="3"/>
      <c r="C25"/>
      <c r="D25"/>
      <c r="E25" s="3"/>
      <c r="F25" s="3"/>
      <c r="G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s="8" customFormat="1">
      <c r="A26" s="3"/>
      <c r="B26" s="3"/>
      <c r="C26"/>
      <c r="D26"/>
      <c r="E26" s="3"/>
      <c r="F26" s="3"/>
      <c r="G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s="8" customFormat="1">
      <c r="A27" s="3"/>
      <c r="B27" s="3"/>
      <c r="C27"/>
      <c r="D27"/>
      <c r="E27" s="3"/>
      <c r="F27" s="3"/>
      <c r="G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s="8" customFormat="1">
      <c r="A28" s="3"/>
      <c r="B28" s="3"/>
      <c r="C28"/>
      <c r="D28"/>
      <c r="E28" s="3"/>
      <c r="F28" s="3"/>
      <c r="G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s="8" customFormat="1">
      <c r="A29" s="3"/>
      <c r="B29" s="3"/>
      <c r="C29"/>
      <c r="D29"/>
      <c r="E29" s="3"/>
      <c r="F29" s="3"/>
      <c r="G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s="8" customFormat="1">
      <c r="A30" s="3"/>
      <c r="B30" s="3"/>
      <c r="C30"/>
      <c r="D30"/>
      <c r="E30" s="3"/>
      <c r="F30" s="3"/>
      <c r="G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s="8" customFormat="1">
      <c r="A31" s="3"/>
      <c r="B31" s="3"/>
      <c r="C31"/>
      <c r="D31"/>
      <c r="E31" s="3"/>
      <c r="F31" s="3"/>
      <c r="G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s="8" customFormat="1">
      <c r="A32" s="3"/>
      <c r="B32" s="3"/>
      <c r="C32"/>
      <c r="D32"/>
      <c r="E32" s="3"/>
      <c r="F32" s="3"/>
      <c r="G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8" customFormat="1">
      <c r="A33" s="3"/>
      <c r="B33" s="3"/>
      <c r="C33"/>
      <c r="D33"/>
      <c r="E33" s="3"/>
      <c r="F33" s="3"/>
      <c r="G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s="8" customFormat="1">
      <c r="A34" s="3"/>
      <c r="B34" s="3"/>
      <c r="C34"/>
      <c r="D34"/>
      <c r="E34" s="3"/>
      <c r="F34" s="3"/>
      <c r="G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s="8" customFormat="1">
      <c r="A35" s="3"/>
      <c r="B35" s="3"/>
      <c r="C35"/>
      <c r="D35"/>
      <c r="E35" s="3"/>
      <c r="F35" s="3"/>
      <c r="G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s="8" customFormat="1">
      <c r="A36" s="3"/>
      <c r="B36" s="3"/>
      <c r="C36"/>
      <c r="D36"/>
      <c r="E36" s="3"/>
      <c r="F36" s="3"/>
      <c r="G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s="8" customFormat="1">
      <c r="A37" s="3"/>
      <c r="B37" s="3"/>
      <c r="C37"/>
      <c r="D37"/>
      <c r="E37" s="3"/>
      <c r="F37" s="3"/>
      <c r="G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s="8" customFormat="1">
      <c r="A38" s="3"/>
      <c r="B38" s="3"/>
      <c r="C38"/>
      <c r="D38"/>
      <c r="E38" s="3"/>
      <c r="F38" s="3"/>
      <c r="G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s="8" customFormat="1">
      <c r="A39" s="3"/>
      <c r="B39" s="3"/>
      <c r="C39"/>
      <c r="D39"/>
      <c r="E39" s="3"/>
      <c r="F39" s="3"/>
      <c r="G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s="8" customFormat="1">
      <c r="A40" s="3"/>
      <c r="B40" s="3"/>
      <c r="C40"/>
      <c r="D40"/>
      <c r="E40" s="3"/>
      <c r="F40" s="3"/>
      <c r="G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s="8" customFormat="1">
      <c r="A41" s="3"/>
      <c r="B41" s="3"/>
      <c r="C41"/>
      <c r="D41"/>
      <c r="E41" s="3"/>
      <c r="F41" s="3"/>
      <c r="G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s="8" customFormat="1">
      <c r="A42" s="3"/>
      <c r="B42" s="3"/>
      <c r="C42"/>
      <c r="D42"/>
      <c r="E42" s="3"/>
      <c r="F42" s="3"/>
      <c r="G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s="8" customFormat="1">
      <c r="A43" s="3"/>
      <c r="B43" s="3"/>
      <c r="C43"/>
      <c r="D43"/>
      <c r="E43" s="3"/>
      <c r="F43" s="3"/>
      <c r="G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s="8" customFormat="1">
      <c r="A44" s="3"/>
      <c r="B44" s="3"/>
      <c r="C44"/>
      <c r="D44"/>
      <c r="E44" s="3"/>
      <c r="F44" s="3"/>
      <c r="G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s="8" customFormat="1">
      <c r="A45" s="3"/>
      <c r="B45" s="3"/>
      <c r="C45"/>
      <c r="D45"/>
      <c r="E45" s="3"/>
      <c r="F45" s="3"/>
      <c r="G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s="8" customFormat="1">
      <c r="A46" s="3"/>
      <c r="B46" s="3"/>
      <c r="C46"/>
      <c r="D46"/>
      <c r="E46" s="3"/>
      <c r="F46" s="3"/>
      <c r="G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s="8" customFormat="1">
      <c r="A47" s="3"/>
      <c r="B47" s="3"/>
      <c r="C47"/>
      <c r="D47"/>
      <c r="E47" s="3"/>
      <c r="F47" s="3"/>
      <c r="G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s="8" customFormat="1">
      <c r="A48" s="3"/>
      <c r="B48" s="3"/>
      <c r="C48"/>
      <c r="D48"/>
      <c r="E48" s="3"/>
      <c r="F48" s="3"/>
      <c r="G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s="8" customFormat="1">
      <c r="A49" s="3"/>
      <c r="B49" s="3"/>
      <c r="C49"/>
      <c r="D49"/>
      <c r="E49" s="3"/>
      <c r="F49" s="3"/>
      <c r="G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s="8" customFormat="1">
      <c r="A50" s="3"/>
      <c r="B50" s="3"/>
      <c r="C50"/>
      <c r="D50"/>
      <c r="E50" s="3"/>
      <c r="F50" s="3"/>
      <c r="G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s="8" customFormat="1">
      <c r="A51" s="3"/>
      <c r="B51" s="3"/>
      <c r="C51"/>
      <c r="D51"/>
      <c r="E51" s="3"/>
      <c r="F51" s="3"/>
      <c r="G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C52" s="5"/>
    </row>
    <row r="53" spans="1:20">
      <c r="C53" s="5"/>
    </row>
    <row r="54" spans="1:20">
      <c r="C54" s="5"/>
    </row>
    <row r="55" spans="1:20">
      <c r="C55" s="5"/>
    </row>
    <row r="56" spans="1:20">
      <c r="C56" s="5"/>
    </row>
    <row r="57" spans="1:20">
      <c r="C57" s="5"/>
    </row>
    <row r="58" spans="1:20">
      <c r="C58" s="5"/>
    </row>
    <row r="59" spans="1:20">
      <c r="C59" s="5"/>
    </row>
    <row r="60" spans="1:20">
      <c r="C60" s="5"/>
    </row>
    <row r="61" spans="1:20">
      <c r="C61" s="5"/>
    </row>
    <row r="62" spans="1:20">
      <c r="C62" s="5"/>
    </row>
    <row r="63" spans="1:20">
      <c r="C63" s="5"/>
    </row>
    <row r="64" spans="1:20">
      <c r="C64" s="5"/>
    </row>
    <row r="65" spans="1:20">
      <c r="C65" s="5"/>
    </row>
    <row r="66" spans="1:20">
      <c r="C66" s="5"/>
    </row>
    <row r="67" spans="1:20">
      <c r="C67" s="5"/>
    </row>
    <row r="68" spans="1:20" s="8" customFormat="1">
      <c r="A68" s="3"/>
      <c r="B68" s="3"/>
      <c r="C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s="8" customFormat="1">
      <c r="A69" s="3"/>
      <c r="B69" s="3"/>
      <c r="C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s="8" customFormat="1">
      <c r="A70" s="3"/>
      <c r="B70" s="3"/>
      <c r="C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s="8" customFormat="1">
      <c r="A71" s="3"/>
      <c r="B71" s="3"/>
      <c r="C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</sheetData>
  <mergeCells count="1">
    <mergeCell ref="C3:I3"/>
  </mergeCells>
  <conditionalFormatting sqref="D6:K10">
    <cfRule type="expression" dxfId="27" priority="1">
      <formula>ISERROR(D6)=TRUE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57D0-691F-4FAC-A691-0B0FBFCB8BC6}">
  <dimension ref="A1:O56"/>
  <sheetViews>
    <sheetView topLeftCell="A4" workbookViewId="0">
      <selection activeCell="A4" sqref="A4"/>
    </sheetView>
  </sheetViews>
  <sheetFormatPr defaultColWidth="9.296875" defaultRowHeight="14.4" outlineLevelRow="1"/>
  <cols>
    <col min="1" max="1" width="3.296875" style="3" customWidth="1"/>
    <col min="2" max="2" width="28.296875" style="3" customWidth="1"/>
    <col min="3" max="3" width="11.59765625" style="3" customWidth="1"/>
    <col min="4" max="7" width="12.69921875" style="3" customWidth="1"/>
    <col min="8" max="8" width="11.296875" style="3" customWidth="1"/>
    <col min="9" max="9" width="12.69921875" style="3" customWidth="1"/>
    <col min="10" max="10" width="11.69921875" style="3" customWidth="1"/>
    <col min="11" max="12" width="13.59765625" style="3" hidden="1" customWidth="1"/>
    <col min="13" max="16" width="13.59765625" style="3" customWidth="1"/>
    <col min="17" max="16384" width="9.296875" style="3"/>
  </cols>
  <sheetData>
    <row r="1" spans="1:12" hidden="1">
      <c r="H1" s="3" t="s">
        <v>236</v>
      </c>
      <c r="I1" s="3" t="s">
        <v>14</v>
      </c>
    </row>
    <row r="2" spans="1:12" hidden="1">
      <c r="C2" s="3">
        <v>3</v>
      </c>
      <c r="D2" s="3">
        <v>4</v>
      </c>
      <c r="E2" s="3">
        <v>13</v>
      </c>
      <c r="F2" s="3">
        <v>11</v>
      </c>
      <c r="G2" s="3">
        <v>14</v>
      </c>
    </row>
    <row r="3" spans="1:12" hidden="1">
      <c r="C3" s="148" t="s">
        <v>28</v>
      </c>
      <c r="D3" s="148" t="s">
        <v>94</v>
      </c>
      <c r="E3" s="148" t="s">
        <v>96</v>
      </c>
      <c r="F3" s="148" t="s">
        <v>97</v>
      </c>
      <c r="G3" s="148" t="s">
        <v>98</v>
      </c>
    </row>
    <row r="5" spans="1:12" ht="23.4">
      <c r="B5" s="583" t="s">
        <v>394</v>
      </c>
      <c r="C5" s="583"/>
      <c r="D5" s="583"/>
      <c r="E5" s="583"/>
      <c r="F5" s="583"/>
      <c r="G5" s="583"/>
      <c r="H5" s="583"/>
      <c r="I5" s="145"/>
      <c r="J5" s="145"/>
    </row>
    <row r="7" spans="1:12" s="43" customFormat="1" ht="51" customHeight="1">
      <c r="B7" s="414" t="s">
        <v>139</v>
      </c>
      <c r="C7" s="52" t="s">
        <v>2</v>
      </c>
      <c r="D7" s="52" t="s">
        <v>3</v>
      </c>
      <c r="E7" s="52" t="s">
        <v>234</v>
      </c>
      <c r="F7" s="52" t="s">
        <v>14</v>
      </c>
      <c r="G7" s="52" t="s">
        <v>235</v>
      </c>
    </row>
    <row r="8" spans="1:12">
      <c r="B8" s="376" t="s">
        <v>140</v>
      </c>
      <c r="C8" s="76">
        <v>628</v>
      </c>
      <c r="D8" s="76">
        <v>12891</v>
      </c>
      <c r="E8" s="390">
        <v>4.4564872828862817E-2</v>
      </c>
      <c r="F8" s="77">
        <v>4.8716158560235832E-2</v>
      </c>
      <c r="G8" s="390">
        <v>5.2867444291608827E-2</v>
      </c>
      <c r="K8" s="3">
        <v>0</v>
      </c>
    </row>
    <row r="9" spans="1:12">
      <c r="B9" s="377" t="s">
        <v>141</v>
      </c>
      <c r="C9" s="74">
        <v>351</v>
      </c>
      <c r="D9" s="74">
        <v>15326</v>
      </c>
      <c r="E9" s="391">
        <v>1.949330894757988E-2</v>
      </c>
      <c r="F9" s="75">
        <v>2.290225760146157E-2</v>
      </c>
      <c r="G9" s="391">
        <v>2.6311206255343261E-2</v>
      </c>
      <c r="K9" s="3">
        <v>0</v>
      </c>
      <c r="L9" s="3" t="s">
        <v>101</v>
      </c>
    </row>
    <row r="10" spans="1:12">
      <c r="B10" s="442" t="s">
        <v>142</v>
      </c>
      <c r="C10" s="146">
        <v>278</v>
      </c>
      <c r="D10" s="146">
        <v>7825</v>
      </c>
      <c r="E10" s="443">
        <v>3.2133524918870372E-2</v>
      </c>
      <c r="F10" s="147">
        <v>3.5527156549520773E-2</v>
      </c>
      <c r="G10" s="443">
        <v>3.8920788180171167E-2</v>
      </c>
    </row>
    <row r="11" spans="1:12">
      <c r="B11" s="377" t="s">
        <v>143</v>
      </c>
      <c r="C11" s="74">
        <v>4</v>
      </c>
      <c r="D11" s="74">
        <v>385</v>
      </c>
      <c r="E11" s="391">
        <v>0</v>
      </c>
      <c r="F11" s="75">
        <v>1.038961038961039E-2</v>
      </c>
      <c r="G11" s="391">
        <v>2.082668800341524E-2</v>
      </c>
    </row>
    <row r="12" spans="1:12">
      <c r="B12" s="442" t="s">
        <v>82</v>
      </c>
      <c r="C12" s="146">
        <v>826</v>
      </c>
      <c r="D12" s="146">
        <v>22672</v>
      </c>
      <c r="E12" s="443">
        <v>3.077622401925682E-2</v>
      </c>
      <c r="F12" s="147">
        <v>3.6432604093154547E-2</v>
      </c>
      <c r="G12" s="443">
        <v>4.2088984167052292E-2</v>
      </c>
    </row>
    <row r="13" spans="1:12" hidden="1" outlineLevel="1">
      <c r="B13" s="377"/>
      <c r="C13" s="74">
        <v>0</v>
      </c>
      <c r="D13" s="74">
        <v>0</v>
      </c>
      <c r="E13" s="391">
        <v>0</v>
      </c>
      <c r="F13" s="75">
        <v>0</v>
      </c>
      <c r="G13" s="391">
        <v>0</v>
      </c>
    </row>
    <row r="14" spans="1:12" hidden="1" outlineLevel="1">
      <c r="B14" s="376" t="s">
        <v>144</v>
      </c>
      <c r="C14" s="76">
        <v>4</v>
      </c>
      <c r="D14" s="76">
        <v>190</v>
      </c>
      <c r="E14" s="390">
        <v>0</v>
      </c>
      <c r="F14" s="77">
        <v>2.1052631578947371E-2</v>
      </c>
      <c r="G14" s="390">
        <v>5.1894865626539902E-2</v>
      </c>
      <c r="K14" s="3">
        <v>0</v>
      </c>
    </row>
    <row r="15" spans="1:12" s="17" customFormat="1" ht="21" customHeight="1" collapsed="1">
      <c r="B15" s="436" t="s">
        <v>145</v>
      </c>
      <c r="C15" s="393">
        <v>2101</v>
      </c>
      <c r="D15" s="393">
        <v>59361</v>
      </c>
      <c r="E15" s="394">
        <v>3.1889332934405899E-2</v>
      </c>
      <c r="F15" s="394">
        <v>3.5393608598237897E-2</v>
      </c>
      <c r="G15" s="394">
        <v>3.8897884262069908E-2</v>
      </c>
      <c r="K15" s="3"/>
      <c r="L15" s="3"/>
    </row>
    <row r="16" spans="1:12" s="17" customFormat="1" ht="21" customHeight="1">
      <c r="A16" s="3"/>
      <c r="B16" s="3"/>
      <c r="C16" s="3"/>
      <c r="D16" s="3"/>
      <c r="E16" s="3"/>
      <c r="F16" s="3"/>
      <c r="G16" s="3"/>
      <c r="I16" s="3"/>
      <c r="J16" s="3"/>
      <c r="K16" s="3"/>
      <c r="L16" s="3"/>
    </row>
    <row r="17" spans="1:12" s="17" customFormat="1" ht="21" customHeight="1">
      <c r="A17" s="3"/>
      <c r="B17" s="36" t="s">
        <v>395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49" spans="2:15"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2:15"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2:15"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2:15"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2:15"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2:15"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2:15"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2:15"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</sheetData>
  <mergeCells count="1">
    <mergeCell ref="B5:H5"/>
  </mergeCells>
  <conditionalFormatting sqref="C8:G14">
    <cfRule type="expression" dxfId="26" priority="1">
      <formula>$K8=2</formula>
    </cfRule>
    <cfRule type="expression" dxfId="25" priority="2">
      <formula>$K8=1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DCF8-4C56-483E-93F3-01FF258C72E4}">
  <dimension ref="B2:C25"/>
  <sheetViews>
    <sheetView workbookViewId="0">
      <selection activeCell="M11" sqref="M11"/>
    </sheetView>
  </sheetViews>
  <sheetFormatPr defaultRowHeight="13.8"/>
  <cols>
    <col min="1" max="1" width="0.3984375" customWidth="1"/>
    <col min="2" max="2" width="11.69921875" style="92" customWidth="1"/>
    <col min="3" max="3" width="14.296875" customWidth="1"/>
  </cols>
  <sheetData>
    <row r="2" spans="2:3">
      <c r="B2" s="158" t="s">
        <v>396</v>
      </c>
    </row>
    <row r="3" spans="2:3">
      <c r="B3" s="158"/>
    </row>
    <row r="4" spans="2:3" ht="2.1" customHeight="1" thickBot="1">
      <c r="B4" s="158"/>
    </row>
    <row r="5" spans="2:3" ht="37.950000000000003" customHeight="1" thickBot="1">
      <c r="B5" s="151" t="s">
        <v>345</v>
      </c>
      <c r="C5" s="1" t="s">
        <v>346</v>
      </c>
    </row>
    <row r="6" spans="2:3">
      <c r="B6" s="152" t="s">
        <v>147</v>
      </c>
      <c r="C6" s="335">
        <v>9.9999999999999995E-7</v>
      </c>
    </row>
    <row r="7" spans="2:3">
      <c r="B7" s="153" t="s">
        <v>148</v>
      </c>
      <c r="C7" s="336">
        <v>6.0000000000000002E-6</v>
      </c>
    </row>
    <row r="8" spans="2:3">
      <c r="B8" s="153" t="s">
        <v>149</v>
      </c>
      <c r="C8" s="336">
        <v>1.4E-5</v>
      </c>
    </row>
    <row r="9" spans="2:3">
      <c r="B9" s="153" t="s">
        <v>150</v>
      </c>
      <c r="C9" s="336">
        <v>3.0000000000000001E-5</v>
      </c>
    </row>
    <row r="10" spans="2:3">
      <c r="B10" s="153" t="s">
        <v>151</v>
      </c>
      <c r="C10" s="336">
        <v>5.8E-5</v>
      </c>
    </row>
    <row r="11" spans="2:3">
      <c r="B11" s="153" t="s">
        <v>152</v>
      </c>
      <c r="C11" s="336">
        <v>1.0900000000000001E-4</v>
      </c>
    </row>
    <row r="12" spans="2:3">
      <c r="B12" s="153" t="s">
        <v>153</v>
      </c>
      <c r="C12" s="336">
        <v>2.5555E-4</v>
      </c>
    </row>
    <row r="13" spans="2:3">
      <c r="B13" s="153" t="s">
        <v>154</v>
      </c>
      <c r="C13" s="336">
        <v>8.4174999999999994E-4</v>
      </c>
    </row>
    <row r="14" spans="2:3">
      <c r="B14" s="153" t="s">
        <v>155</v>
      </c>
      <c r="C14" s="336">
        <v>2.1606999999999998E-3</v>
      </c>
    </row>
    <row r="15" spans="2:3">
      <c r="B15" s="153" t="s">
        <v>156</v>
      </c>
      <c r="C15" s="336">
        <v>4.5054999999999991E-3</v>
      </c>
    </row>
    <row r="16" spans="2:3">
      <c r="B16" s="153" t="s">
        <v>157</v>
      </c>
      <c r="C16" s="336">
        <v>8.1692499999999994E-3</v>
      </c>
    </row>
    <row r="17" spans="2:3">
      <c r="B17" s="153" t="s">
        <v>158</v>
      </c>
      <c r="C17" s="336">
        <v>1.344505E-2</v>
      </c>
    </row>
    <row r="18" spans="2:3">
      <c r="B18" s="153" t="s">
        <v>159</v>
      </c>
      <c r="C18" s="336">
        <v>2.0625999999999999E-2</v>
      </c>
    </row>
    <row r="19" spans="2:3">
      <c r="B19" s="153" t="s">
        <v>160</v>
      </c>
      <c r="C19" s="336">
        <v>2.7432000000000002E-2</v>
      </c>
    </row>
    <row r="20" spans="2:3">
      <c r="B20" s="153" t="s">
        <v>161</v>
      </c>
      <c r="C20" s="336">
        <v>3.4840000000000003E-2</v>
      </c>
    </row>
    <row r="21" spans="2:3">
      <c r="B21" s="153" t="s">
        <v>162</v>
      </c>
      <c r="C21" s="336">
        <v>4.6081999999999998E-2</v>
      </c>
    </row>
    <row r="22" spans="2:3">
      <c r="B22" s="153" t="s">
        <v>163</v>
      </c>
      <c r="C22" s="336">
        <v>7.0003999999999997E-2</v>
      </c>
    </row>
    <row r="23" spans="2:3">
      <c r="B23" s="153" t="s">
        <v>164</v>
      </c>
      <c r="C23" s="336">
        <v>9.4600000000000004E-2</v>
      </c>
    </row>
    <row r="24" spans="2:3">
      <c r="B24" s="153" t="s">
        <v>165</v>
      </c>
      <c r="C24" s="336">
        <v>0.15460000000000002</v>
      </c>
    </row>
    <row r="25" spans="2:3" ht="14.4" thickBot="1">
      <c r="B25" s="154" t="s">
        <v>166</v>
      </c>
      <c r="C25" s="337">
        <v>0.25460000000000005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E8D1-637A-40D7-A2CE-E35BABD8708F}">
  <dimension ref="B2:S30"/>
  <sheetViews>
    <sheetView workbookViewId="0"/>
  </sheetViews>
  <sheetFormatPr defaultRowHeight="13.8"/>
  <cols>
    <col min="3" max="3" width="10" bestFit="1" customWidth="1"/>
    <col min="4" max="4" width="8.3984375" bestFit="1" customWidth="1"/>
  </cols>
  <sheetData>
    <row r="2" spans="2:19">
      <c r="B2" s="235" t="s">
        <v>397</v>
      </c>
    </row>
    <row r="4" spans="2:19">
      <c r="R4" t="s">
        <v>146</v>
      </c>
    </row>
    <row r="5" spans="2:19">
      <c r="Q5" s="407" t="s">
        <v>147</v>
      </c>
      <c r="R5" s="540">
        <v>1.9213403270121237E-4</v>
      </c>
      <c r="S5" s="541">
        <v>10</v>
      </c>
    </row>
    <row r="6" spans="2:19">
      <c r="Q6" s="407" t="s">
        <v>148</v>
      </c>
      <c r="R6" s="540">
        <v>2.3056083924145483E-4</v>
      </c>
      <c r="S6" s="541">
        <v>12</v>
      </c>
    </row>
    <row r="7" spans="2:19">
      <c r="Q7" s="407" t="s">
        <v>149</v>
      </c>
      <c r="R7" s="540">
        <v>9.6067016350606183E-4</v>
      </c>
      <c r="S7" s="541">
        <v>50</v>
      </c>
    </row>
    <row r="8" spans="2:19">
      <c r="Q8" s="407" t="s">
        <v>150</v>
      </c>
      <c r="R8" s="540">
        <v>4.8417776240705515E-3</v>
      </c>
      <c r="S8" s="541">
        <v>252</v>
      </c>
    </row>
    <row r="9" spans="2:19">
      <c r="Q9" s="407" t="s">
        <v>151</v>
      </c>
      <c r="R9" s="540">
        <v>8.453897438853344E-4</v>
      </c>
      <c r="S9" s="541">
        <v>44</v>
      </c>
    </row>
    <row r="10" spans="2:19">
      <c r="Q10" s="407" t="s">
        <v>152</v>
      </c>
      <c r="R10" s="540">
        <v>2.4977424251157606E-3</v>
      </c>
      <c r="S10" s="541">
        <v>130</v>
      </c>
    </row>
    <row r="11" spans="2:19">
      <c r="Q11" s="407" t="s">
        <v>153</v>
      </c>
      <c r="R11" s="540">
        <v>2.4401022153053972E-3</v>
      </c>
      <c r="S11" s="541">
        <v>127</v>
      </c>
    </row>
    <row r="12" spans="2:19">
      <c r="Q12" s="407" t="s">
        <v>154</v>
      </c>
      <c r="R12" s="540">
        <v>1.9328683689741964E-2</v>
      </c>
      <c r="S12" s="541">
        <v>1006</v>
      </c>
    </row>
    <row r="13" spans="2:19">
      <c r="Q13" s="407" t="s">
        <v>155</v>
      </c>
      <c r="R13" s="540">
        <v>2.4612369589025303E-2</v>
      </c>
      <c r="S13" s="541">
        <v>1281</v>
      </c>
    </row>
    <row r="14" spans="2:19">
      <c r="Q14" s="407" t="s">
        <v>156</v>
      </c>
      <c r="R14" s="540">
        <v>7.016734874248276E-2</v>
      </c>
      <c r="S14" s="541">
        <v>3652</v>
      </c>
    </row>
    <row r="15" spans="2:19">
      <c r="Q15" s="407" t="s">
        <v>157</v>
      </c>
      <c r="R15" s="540">
        <v>0.14435029876842084</v>
      </c>
      <c r="S15" s="541">
        <v>7513</v>
      </c>
    </row>
    <row r="16" spans="2:19">
      <c r="Q16" s="407" t="s">
        <v>158</v>
      </c>
      <c r="R16" s="540">
        <v>0.1657540300113359</v>
      </c>
      <c r="S16" s="541">
        <v>8627</v>
      </c>
    </row>
    <row r="17" spans="5:19">
      <c r="Q17" s="407" t="s">
        <v>159</v>
      </c>
      <c r="R17" s="540">
        <v>0.14673276077391589</v>
      </c>
      <c r="S17" s="541">
        <v>7637</v>
      </c>
    </row>
    <row r="18" spans="5:19">
      <c r="Q18" s="407" t="s">
        <v>160</v>
      </c>
      <c r="R18" s="540">
        <v>5.0204622744826788E-2</v>
      </c>
      <c r="S18" s="541">
        <v>2613</v>
      </c>
    </row>
    <row r="19" spans="5:19">
      <c r="Q19" s="407" t="s">
        <v>161</v>
      </c>
      <c r="R19" s="540">
        <v>6.9821507483620579E-2</v>
      </c>
      <c r="S19" s="541">
        <v>3634</v>
      </c>
    </row>
    <row r="20" spans="5:19">
      <c r="Q20" s="407" t="s">
        <v>162</v>
      </c>
      <c r="R20" s="540">
        <v>7.8986300843468402E-2</v>
      </c>
      <c r="S20" s="541">
        <v>4111</v>
      </c>
    </row>
    <row r="21" spans="5:19">
      <c r="Q21" s="407" t="s">
        <v>163</v>
      </c>
      <c r="R21" s="540">
        <v>9.8142063903779275E-2</v>
      </c>
      <c r="S21" s="541">
        <v>5108</v>
      </c>
    </row>
    <row r="22" spans="5:19">
      <c r="Q22" s="407" t="s">
        <v>164</v>
      </c>
      <c r="R22" s="540">
        <v>7.3875535573616161E-2</v>
      </c>
      <c r="S22" s="541">
        <v>3845</v>
      </c>
    </row>
    <row r="23" spans="5:19">
      <c r="Q23" s="407" t="s">
        <v>165</v>
      </c>
      <c r="R23" s="540">
        <v>3.4026937191384707E-2</v>
      </c>
      <c r="S23" s="541">
        <v>1771</v>
      </c>
    </row>
    <row r="24" spans="5:19">
      <c r="Q24" s="407" t="s">
        <v>166</v>
      </c>
      <c r="R24" s="540">
        <v>1.1989163640555651E-2</v>
      </c>
      <c r="S24" s="541">
        <v>624</v>
      </c>
    </row>
    <row r="25" spans="5:19">
      <c r="Q25" s="79"/>
      <c r="S25" s="157">
        <v>52047</v>
      </c>
    </row>
    <row r="30" spans="5:19">
      <c r="E30" s="338"/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9541-E535-41AD-803A-7E9D1A5A5512}">
  <dimension ref="A1:U33"/>
  <sheetViews>
    <sheetView workbookViewId="0"/>
  </sheetViews>
  <sheetFormatPr defaultRowHeight="13.8"/>
  <cols>
    <col min="1" max="1" width="25" bestFit="1" customWidth="1"/>
    <col min="21" max="21" width="9" customWidth="1"/>
  </cols>
  <sheetData>
    <row r="1" spans="2:21"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</row>
    <row r="2" spans="2:21">
      <c r="B2" s="237" t="s">
        <v>398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</row>
    <row r="30" spans="1:21">
      <c r="A30" s="149"/>
      <c r="B30" s="475" t="str">
        <f>DR_Rt_Y!F4</f>
        <v>Gi1</v>
      </c>
      <c r="C30" s="475" t="str">
        <f>DR_Rt_Y!G4</f>
        <v>Gi2</v>
      </c>
      <c r="D30" s="475" t="str">
        <f>DR_Rt_Y!H4</f>
        <v>Gi3</v>
      </c>
      <c r="E30" s="475" t="str">
        <f>DR_Rt_Y!I4</f>
        <v>Gi4</v>
      </c>
      <c r="F30" s="475" t="str">
        <f>DR_Rt_Y!J4</f>
        <v>Gi5</v>
      </c>
      <c r="G30" s="475" t="str">
        <f>DR_Rt_Y!K4</f>
        <v>Gi6</v>
      </c>
      <c r="H30" s="475" t="str">
        <f>DR_Rt_Y!L4</f>
        <v>Gi7</v>
      </c>
      <c r="I30" s="475" t="str">
        <f>DR_Rt_Y!M4</f>
        <v>Gi8</v>
      </c>
      <c r="J30" s="475" t="str">
        <f>DR_Rt_Y!N4</f>
        <v>Gi9</v>
      </c>
      <c r="K30" s="475" t="str">
        <f>DR_Rt_Y!O4</f>
        <v>Gi10</v>
      </c>
      <c r="L30" s="475" t="str">
        <f>DR_Rt_Y!P4</f>
        <v>Gs1</v>
      </c>
      <c r="M30" s="475" t="str">
        <f>DR_Rt_Y!Q4</f>
        <v>Gs2</v>
      </c>
      <c r="N30" s="475" t="str">
        <f>DR_Rt_Y!R4</f>
        <v>Gs3</v>
      </c>
      <c r="O30" s="475" t="str">
        <f>DR_Rt_Y!S4</f>
        <v>Gs4</v>
      </c>
      <c r="P30" s="475" t="str">
        <f>DR_Rt_Y!T4</f>
        <v>Gs5</v>
      </c>
      <c r="Q30" s="475" t="str">
        <f>DR_Rt_Y!U4</f>
        <v>Gs6</v>
      </c>
      <c r="R30" s="475" t="str">
        <f>DR_Rt_Y!V4</f>
        <v>Gs7</v>
      </c>
      <c r="S30" s="475" t="str">
        <f>DR_Rt_Y!W4</f>
        <v>Gs8</v>
      </c>
      <c r="T30" s="475" t="str">
        <f>DR_Rt_Y!X4</f>
        <v>Gs9</v>
      </c>
      <c r="U30" s="475" t="str">
        <f>DR_Rt_Y!Y4</f>
        <v>Gs10</v>
      </c>
    </row>
    <row r="31" spans="1:21">
      <c r="A31" s="81" t="s">
        <v>167</v>
      </c>
      <c r="B31" s="81">
        <f>DR_Rt_Y!F5</f>
        <v>0</v>
      </c>
      <c r="C31" s="81">
        <f>DR_Rt_Y!G5</f>
        <v>0</v>
      </c>
      <c r="D31" s="81">
        <f>DR_Rt_Y!H5</f>
        <v>0</v>
      </c>
      <c r="E31" s="81">
        <f>DR_Rt_Y!I5</f>
        <v>0</v>
      </c>
      <c r="F31" s="81">
        <f>DR_Rt_Y!J5</f>
        <v>0</v>
      </c>
      <c r="G31" s="81">
        <f>DR_Rt_Y!K5</f>
        <v>0</v>
      </c>
      <c r="H31" s="81">
        <f>DR_Rt_Y!L5</f>
        <v>0</v>
      </c>
      <c r="I31" s="81">
        <f>DR_Rt_Y!M5</f>
        <v>1E-3</v>
      </c>
      <c r="J31" s="81">
        <f>DR_Rt_Y!N5</f>
        <v>2.5000000000000001E-3</v>
      </c>
      <c r="K31" s="81">
        <f>DR_Rt_Y!O5</f>
        <v>4.3E-3</v>
      </c>
      <c r="L31" s="81">
        <f>DR_Rt_Y!P5</f>
        <v>7.4999999999999997E-3</v>
      </c>
      <c r="M31" s="81">
        <f>DR_Rt_Y!Q5</f>
        <v>1.2800000000000001E-2</v>
      </c>
      <c r="N31" s="81">
        <f>DR_Rt_Y!R5</f>
        <v>1.9900000000000001E-2</v>
      </c>
      <c r="O31" s="81">
        <f>DR_Rt_Y!S5</f>
        <v>2.69E-2</v>
      </c>
      <c r="P31" s="81">
        <f>DR_Rt_Y!T5</f>
        <v>3.3599999999999998E-2</v>
      </c>
      <c r="Q31" s="81">
        <f>DR_Rt_Y!U5</f>
        <v>4.8099999999999997E-2</v>
      </c>
      <c r="R31" s="81">
        <f>DR_Rt_Y!V5</f>
        <v>7.1400000000000005E-2</v>
      </c>
      <c r="S31" s="81">
        <f>DR_Rt_Y!W5</f>
        <v>0.10589999999999999</v>
      </c>
      <c r="T31" s="81">
        <f>DR_Rt_Y!X5</f>
        <v>0.16450000000000001</v>
      </c>
      <c r="U31" s="81">
        <f>DR_Rt_Y!Y5</f>
        <v>0.2462</v>
      </c>
    </row>
    <row r="32" spans="1:21">
      <c r="A32" t="s">
        <v>14</v>
      </c>
      <c r="B32" s="82">
        <f>DR_Rt_Y!C5</f>
        <v>3.7206279575133498E-2</v>
      </c>
      <c r="C32" s="82">
        <f>+B32</f>
        <v>3.7206279575133498E-2</v>
      </c>
      <c r="D32" s="82">
        <f t="shared" ref="D32:U32" si="0">+C32</f>
        <v>3.7206279575133498E-2</v>
      </c>
      <c r="E32" s="82">
        <f t="shared" si="0"/>
        <v>3.7206279575133498E-2</v>
      </c>
      <c r="F32" s="82">
        <f t="shared" si="0"/>
        <v>3.7206279575133498E-2</v>
      </c>
      <c r="G32" s="82">
        <f t="shared" si="0"/>
        <v>3.7206279575133498E-2</v>
      </c>
      <c r="H32" s="82">
        <f t="shared" si="0"/>
        <v>3.7206279575133498E-2</v>
      </c>
      <c r="I32" s="82">
        <f t="shared" si="0"/>
        <v>3.7206279575133498E-2</v>
      </c>
      <c r="J32" s="82">
        <f t="shared" si="0"/>
        <v>3.7206279575133498E-2</v>
      </c>
      <c r="K32" s="82">
        <f t="shared" si="0"/>
        <v>3.7206279575133498E-2</v>
      </c>
      <c r="L32" s="82">
        <f t="shared" si="0"/>
        <v>3.7206279575133498E-2</v>
      </c>
      <c r="M32" s="82">
        <f t="shared" si="0"/>
        <v>3.7206279575133498E-2</v>
      </c>
      <c r="N32" s="82">
        <f t="shared" si="0"/>
        <v>3.7206279575133498E-2</v>
      </c>
      <c r="O32" s="82">
        <f t="shared" si="0"/>
        <v>3.7206279575133498E-2</v>
      </c>
      <c r="P32" s="82">
        <f t="shared" si="0"/>
        <v>3.7206279575133498E-2</v>
      </c>
      <c r="Q32" s="82">
        <f t="shared" si="0"/>
        <v>3.7206279575133498E-2</v>
      </c>
      <c r="R32" s="82">
        <f t="shared" si="0"/>
        <v>3.7206279575133498E-2</v>
      </c>
      <c r="S32" s="82">
        <f t="shared" si="0"/>
        <v>3.7206279575133498E-2</v>
      </c>
      <c r="T32" s="82">
        <f t="shared" si="0"/>
        <v>3.7206279575133498E-2</v>
      </c>
      <c r="U32" s="82">
        <f t="shared" si="0"/>
        <v>3.7206279575133498E-2</v>
      </c>
    </row>
    <row r="33" spans="1:21">
      <c r="A33" t="s">
        <v>168</v>
      </c>
      <c r="B33" s="119" cm="1">
        <f t="array" ref="B33:U33">TRANSPOSE(MasterPD!C6:C25)</f>
        <v>9.9999999999999995E-7</v>
      </c>
      <c r="C33" s="119">
        <v>6.0000000000000002E-6</v>
      </c>
      <c r="D33" s="119">
        <v>1.4E-5</v>
      </c>
      <c r="E33" s="119">
        <v>3.0000000000000001E-5</v>
      </c>
      <c r="F33" s="119">
        <v>5.8E-5</v>
      </c>
      <c r="G33" s="119">
        <v>1.0900000000000001E-4</v>
      </c>
      <c r="H33" s="119">
        <v>2.5555E-4</v>
      </c>
      <c r="I33" s="119">
        <v>8.4174999999999994E-4</v>
      </c>
      <c r="J33" s="119">
        <v>2.1606999999999998E-3</v>
      </c>
      <c r="K33" s="119">
        <v>4.5054999999999991E-3</v>
      </c>
      <c r="L33" s="119">
        <v>8.1692499999999994E-3</v>
      </c>
      <c r="M33" s="119">
        <v>1.344505E-2</v>
      </c>
      <c r="N33" s="119">
        <v>2.0625999999999999E-2</v>
      </c>
      <c r="O33" s="119">
        <v>2.7432000000000002E-2</v>
      </c>
      <c r="P33" s="119">
        <v>3.4840000000000003E-2</v>
      </c>
      <c r="Q33" s="119">
        <v>4.6081999999999998E-2</v>
      </c>
      <c r="R33" s="119">
        <v>7.0003999999999997E-2</v>
      </c>
      <c r="S33" s="119">
        <v>9.4600000000000004E-2</v>
      </c>
      <c r="T33" s="119">
        <v>0.15460000000000002</v>
      </c>
      <c r="U33" s="119">
        <v>0.25460000000000005</v>
      </c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3C46-E996-45B8-9698-9070F76A2F58}">
  <sheetPr>
    <tabColor theme="4" tint="0.59999389629810485"/>
  </sheetPr>
  <dimension ref="B2:Y34"/>
  <sheetViews>
    <sheetView workbookViewId="0">
      <selection activeCell="C5" sqref="C5:C14"/>
    </sheetView>
  </sheetViews>
  <sheetFormatPr defaultRowHeight="13.8"/>
  <cols>
    <col min="2" max="3" width="9" style="79"/>
    <col min="4" max="4" width="9.296875" style="79" bestFit="1" customWidth="1"/>
    <col min="5" max="5" width="12.69921875" style="79" customWidth="1"/>
    <col min="6" max="25" width="7.59765625" customWidth="1"/>
  </cols>
  <sheetData>
    <row r="2" spans="2:25">
      <c r="B2" s="158" t="s">
        <v>399</v>
      </c>
      <c r="C2" s="158"/>
      <c r="D2" s="158"/>
      <c r="E2" s="158"/>
    </row>
    <row r="3" spans="2:25">
      <c r="B3" s="158"/>
      <c r="C3" s="158"/>
      <c r="D3" s="158"/>
      <c r="E3" s="158"/>
    </row>
    <row r="4" spans="2:25" s="150" customFormat="1" ht="41.4">
      <c r="B4" s="404" t="s">
        <v>169</v>
      </c>
      <c r="C4" s="404" t="s">
        <v>14</v>
      </c>
      <c r="D4" s="444" t="s">
        <v>28</v>
      </c>
      <c r="E4" s="404" t="s">
        <v>94</v>
      </c>
      <c r="F4" s="444" t="s">
        <v>147</v>
      </c>
      <c r="G4" s="444" t="s">
        <v>148</v>
      </c>
      <c r="H4" s="444" t="s">
        <v>149</v>
      </c>
      <c r="I4" s="444" t="s">
        <v>150</v>
      </c>
      <c r="J4" s="444" t="s">
        <v>151</v>
      </c>
      <c r="K4" s="444" t="s">
        <v>152</v>
      </c>
      <c r="L4" s="444" t="s">
        <v>153</v>
      </c>
      <c r="M4" s="444" t="s">
        <v>154</v>
      </c>
      <c r="N4" s="444" t="s">
        <v>155</v>
      </c>
      <c r="O4" s="444" t="s">
        <v>156</v>
      </c>
      <c r="P4" s="444" t="s">
        <v>157</v>
      </c>
      <c r="Q4" s="444" t="s">
        <v>158</v>
      </c>
      <c r="R4" s="444" t="s">
        <v>159</v>
      </c>
      <c r="S4" s="444" t="s">
        <v>160</v>
      </c>
      <c r="T4" s="444" t="s">
        <v>161</v>
      </c>
      <c r="U4" s="444" t="s">
        <v>162</v>
      </c>
      <c r="V4" s="444" t="s">
        <v>163</v>
      </c>
      <c r="W4" s="444" t="s">
        <v>164</v>
      </c>
      <c r="X4" s="444" t="s">
        <v>165</v>
      </c>
      <c r="Y4" s="444" t="s">
        <v>166</v>
      </c>
    </row>
    <row r="5" spans="2:25" ht="14.4">
      <c r="B5" s="445">
        <v>1</v>
      </c>
      <c r="C5" s="160">
        <v>3.7206279575133498E-2</v>
      </c>
      <c r="D5" s="244">
        <v>1832</v>
      </c>
      <c r="E5" s="446">
        <v>49239</v>
      </c>
      <c r="F5" s="160">
        <v>0</v>
      </c>
      <c r="G5" s="160">
        <v>0</v>
      </c>
      <c r="H5" s="160">
        <v>0</v>
      </c>
      <c r="I5" s="160">
        <v>0</v>
      </c>
      <c r="J5" s="160">
        <v>0</v>
      </c>
      <c r="K5" s="160">
        <v>0</v>
      </c>
      <c r="L5" s="160">
        <v>0</v>
      </c>
      <c r="M5" s="160">
        <v>1E-3</v>
      </c>
      <c r="N5" s="160">
        <v>2.5000000000000001E-3</v>
      </c>
      <c r="O5" s="160">
        <v>4.3E-3</v>
      </c>
      <c r="P5" s="160">
        <v>7.4999999999999997E-3</v>
      </c>
      <c r="Q5" s="160">
        <v>1.2800000000000001E-2</v>
      </c>
      <c r="R5" s="160">
        <v>1.9900000000000001E-2</v>
      </c>
      <c r="S5" s="160">
        <v>2.69E-2</v>
      </c>
      <c r="T5" s="160">
        <v>3.3599999999999998E-2</v>
      </c>
      <c r="U5" s="160">
        <v>4.8099999999999997E-2</v>
      </c>
      <c r="V5" s="160">
        <v>7.1400000000000005E-2</v>
      </c>
      <c r="W5" s="160">
        <v>0.10589999999999999</v>
      </c>
      <c r="X5" s="160">
        <v>0.16450000000000001</v>
      </c>
      <c r="Y5" s="160">
        <v>0.2462</v>
      </c>
    </row>
    <row r="6" spans="2:25" ht="14.4">
      <c r="B6" s="445">
        <v>2</v>
      </c>
      <c r="C6" s="159">
        <v>3.9268684499069298E-2</v>
      </c>
      <c r="D6" s="245">
        <v>1540</v>
      </c>
      <c r="E6" s="447">
        <v>39217</v>
      </c>
      <c r="F6" s="159">
        <v>0</v>
      </c>
      <c r="G6" s="159">
        <v>0</v>
      </c>
      <c r="H6" s="159">
        <v>0</v>
      </c>
      <c r="I6" s="159">
        <v>0</v>
      </c>
      <c r="J6" s="159">
        <v>0</v>
      </c>
      <c r="K6" s="159">
        <v>0</v>
      </c>
      <c r="L6" s="159">
        <v>0</v>
      </c>
      <c r="M6" s="159">
        <v>3.8E-3</v>
      </c>
      <c r="N6" s="159">
        <v>3.0000000000000001E-3</v>
      </c>
      <c r="O6" s="159">
        <v>7.4000000000000003E-3</v>
      </c>
      <c r="P6" s="159">
        <v>1.0800000000000001E-2</v>
      </c>
      <c r="Q6" s="159">
        <v>1.9400000000000001E-2</v>
      </c>
      <c r="R6" s="159">
        <v>3.09E-2</v>
      </c>
      <c r="S6" s="159">
        <v>3.8399999999999997E-2</v>
      </c>
      <c r="T6" s="159">
        <v>5.1799999999999999E-2</v>
      </c>
      <c r="U6" s="159">
        <v>6.3E-2</v>
      </c>
      <c r="V6" s="159">
        <v>7.3499999999999996E-2</v>
      </c>
      <c r="W6" s="159">
        <v>0.1031</v>
      </c>
      <c r="X6" s="159">
        <v>0.122</v>
      </c>
      <c r="Y6" s="159">
        <v>0.158</v>
      </c>
    </row>
    <row r="7" spans="2:25" ht="14.4">
      <c r="B7" s="445">
        <v>3</v>
      </c>
      <c r="C7" s="160">
        <v>3.8122351478263698E-2</v>
      </c>
      <c r="D7" s="244">
        <v>1165</v>
      </c>
      <c r="E7" s="446">
        <v>30559.5</v>
      </c>
      <c r="F7" s="160">
        <v>0</v>
      </c>
      <c r="G7" s="160">
        <v>0</v>
      </c>
      <c r="H7" s="160">
        <v>0</v>
      </c>
      <c r="I7" s="160">
        <v>5.4999999999999997E-3</v>
      </c>
      <c r="J7" s="160">
        <v>0</v>
      </c>
      <c r="K7" s="160">
        <v>1.2E-2</v>
      </c>
      <c r="L7" s="160">
        <v>1.2E-2</v>
      </c>
      <c r="M7" s="160">
        <v>1.5E-3</v>
      </c>
      <c r="N7" s="160">
        <v>4.8999999999999998E-3</v>
      </c>
      <c r="O7" s="160">
        <v>7.0000000000000001E-3</v>
      </c>
      <c r="P7" s="160">
        <v>1.4E-2</v>
      </c>
      <c r="Q7" s="160">
        <v>1.9699999999999999E-2</v>
      </c>
      <c r="R7" s="160">
        <v>3.6400000000000002E-2</v>
      </c>
      <c r="S7" s="160">
        <v>4.5999999999999999E-2</v>
      </c>
      <c r="T7" s="160">
        <v>5.0599999999999999E-2</v>
      </c>
      <c r="U7" s="160">
        <v>6.9199999999999998E-2</v>
      </c>
      <c r="V7" s="160">
        <v>6.7299999999999999E-2</v>
      </c>
      <c r="W7" s="160">
        <v>8.7499999999999994E-2</v>
      </c>
      <c r="X7" s="160">
        <v>0.113</v>
      </c>
      <c r="Y7" s="160">
        <v>0.1416</v>
      </c>
    </row>
    <row r="8" spans="2:25" ht="14.4">
      <c r="B8" s="445">
        <v>4</v>
      </c>
      <c r="C8" s="159">
        <v>3.3958547447756102E-2</v>
      </c>
      <c r="D8" s="245">
        <v>793</v>
      </c>
      <c r="E8" s="447">
        <v>23352</v>
      </c>
      <c r="F8" s="159">
        <v>0</v>
      </c>
      <c r="G8" s="159">
        <v>0</v>
      </c>
      <c r="H8" s="159">
        <v>0</v>
      </c>
      <c r="I8" s="159">
        <v>0</v>
      </c>
      <c r="J8" s="159">
        <v>0</v>
      </c>
      <c r="K8" s="159">
        <v>2.9899999999999999E-2</v>
      </c>
      <c r="L8" s="159">
        <v>0</v>
      </c>
      <c r="M8" s="159">
        <v>1.9E-3</v>
      </c>
      <c r="N8" s="159">
        <v>4.5999999999999999E-3</v>
      </c>
      <c r="O8" s="159">
        <v>8.9999999999999993E-3</v>
      </c>
      <c r="P8" s="159">
        <v>1.4500000000000001E-2</v>
      </c>
      <c r="Q8" s="159">
        <v>2.12E-2</v>
      </c>
      <c r="R8" s="159">
        <v>3.2599999999999997E-2</v>
      </c>
      <c r="S8" s="159">
        <v>5.33E-2</v>
      </c>
      <c r="T8" s="159">
        <v>4.7100000000000003E-2</v>
      </c>
      <c r="U8" s="159">
        <v>5.96E-2</v>
      </c>
      <c r="V8" s="159">
        <v>6.2600000000000003E-2</v>
      </c>
      <c r="W8" s="159">
        <v>6.7699999999999996E-2</v>
      </c>
      <c r="X8" s="159">
        <v>8.7499999999999994E-2</v>
      </c>
      <c r="Y8" s="159">
        <v>0.11940000000000001</v>
      </c>
    </row>
    <row r="9" spans="2:25" ht="14.4">
      <c r="B9" s="445">
        <v>5</v>
      </c>
      <c r="C9" s="160">
        <v>3.0483990217824001E-2</v>
      </c>
      <c r="D9" s="244">
        <v>536</v>
      </c>
      <c r="E9" s="446">
        <v>17583</v>
      </c>
      <c r="F9" s="160">
        <v>0</v>
      </c>
      <c r="G9" s="160">
        <v>0</v>
      </c>
      <c r="H9" s="160">
        <v>0</v>
      </c>
      <c r="I9" s="160">
        <v>8.0000000000000002E-3</v>
      </c>
      <c r="J9" s="160">
        <v>0</v>
      </c>
      <c r="K9" s="160">
        <v>3.9600000000000003E-2</v>
      </c>
      <c r="L9" s="160">
        <v>0</v>
      </c>
      <c r="M9" s="160">
        <v>4.7000000000000002E-3</v>
      </c>
      <c r="N9" s="160">
        <v>1.9E-3</v>
      </c>
      <c r="O9" s="160">
        <v>8.3999999999999995E-3</v>
      </c>
      <c r="P9" s="160">
        <v>1.46E-2</v>
      </c>
      <c r="Q9" s="160">
        <v>2.81E-2</v>
      </c>
      <c r="R9" s="160">
        <v>2.8000000000000001E-2</v>
      </c>
      <c r="S9" s="160">
        <v>2.93E-2</v>
      </c>
      <c r="T9" s="160">
        <v>4.7300000000000002E-2</v>
      </c>
      <c r="U9" s="160">
        <v>5.6899999999999999E-2</v>
      </c>
      <c r="V9" s="160">
        <v>5.5500000000000001E-2</v>
      </c>
      <c r="W9" s="160">
        <v>5.3400000000000003E-2</v>
      </c>
      <c r="X9" s="160">
        <v>8.9200000000000002E-2</v>
      </c>
      <c r="Y9" s="160">
        <v>7.9500000000000001E-2</v>
      </c>
    </row>
    <row r="10" spans="2:25" ht="14.4">
      <c r="B10" s="445">
        <v>6</v>
      </c>
      <c r="C10" s="159">
        <v>2.6814786439379401E-2</v>
      </c>
      <c r="D10" s="245">
        <v>350</v>
      </c>
      <c r="E10" s="447">
        <v>13052.5</v>
      </c>
      <c r="F10" s="159">
        <v>0</v>
      </c>
      <c r="G10" s="159">
        <v>0</v>
      </c>
      <c r="H10" s="159">
        <v>0</v>
      </c>
      <c r="I10" s="159">
        <v>0</v>
      </c>
      <c r="J10" s="159">
        <v>0</v>
      </c>
      <c r="K10" s="159">
        <v>5.33E-2</v>
      </c>
      <c r="L10" s="159">
        <v>0</v>
      </c>
      <c r="M10" s="159">
        <v>6.1000000000000004E-3</v>
      </c>
      <c r="N10" s="159">
        <v>4.7999999999999996E-3</v>
      </c>
      <c r="O10" s="159">
        <v>6.6E-3</v>
      </c>
      <c r="P10" s="159">
        <v>1.32E-2</v>
      </c>
      <c r="Q10" s="159">
        <v>2.3800000000000002E-2</v>
      </c>
      <c r="R10" s="159">
        <v>3.0599999999999999E-2</v>
      </c>
      <c r="S10" s="159">
        <v>3.2300000000000002E-2</v>
      </c>
      <c r="T10" s="159">
        <v>4.4200000000000003E-2</v>
      </c>
      <c r="U10" s="159">
        <v>4.9799999999999997E-2</v>
      </c>
      <c r="V10" s="159">
        <v>3.8600000000000002E-2</v>
      </c>
      <c r="W10" s="159">
        <v>4.24E-2</v>
      </c>
      <c r="X10" s="159">
        <v>8.3500000000000005E-2</v>
      </c>
      <c r="Y10" s="159">
        <v>9.8799999999999999E-2</v>
      </c>
    </row>
    <row r="11" spans="2:25" ht="14.4">
      <c r="B11" s="445">
        <v>7</v>
      </c>
      <c r="C11" s="160">
        <v>2.4086335436108601E-2</v>
      </c>
      <c r="D11" s="244">
        <v>231</v>
      </c>
      <c r="E11" s="446">
        <v>9590.5</v>
      </c>
      <c r="F11" s="160">
        <v>0</v>
      </c>
      <c r="G11" s="160">
        <v>0</v>
      </c>
      <c r="H11" s="160">
        <v>0</v>
      </c>
      <c r="I11" s="160">
        <v>0</v>
      </c>
      <c r="J11" s="160">
        <v>0</v>
      </c>
      <c r="K11" s="160">
        <v>3.7699999999999997E-2</v>
      </c>
      <c r="L11" s="160">
        <v>0</v>
      </c>
      <c r="M11" s="160">
        <v>3.8999999999999998E-3</v>
      </c>
      <c r="N11" s="160">
        <v>3.0000000000000001E-3</v>
      </c>
      <c r="O11" s="160">
        <v>5.4000000000000003E-3</v>
      </c>
      <c r="P11" s="160">
        <v>1.6799999999999999E-2</v>
      </c>
      <c r="Q11" s="160">
        <v>1.9599999999999999E-2</v>
      </c>
      <c r="R11" s="160">
        <v>2.8199999999999999E-2</v>
      </c>
      <c r="S11" s="160">
        <v>3.1899999999999998E-2</v>
      </c>
      <c r="T11" s="160">
        <v>3.7499999999999999E-2</v>
      </c>
      <c r="U11" s="160">
        <v>4.0399999999999998E-2</v>
      </c>
      <c r="V11" s="160">
        <v>3.4700000000000002E-2</v>
      </c>
      <c r="W11" s="160">
        <v>0.04</v>
      </c>
      <c r="X11" s="160">
        <v>7.9200000000000007E-2</v>
      </c>
      <c r="Y11" s="160">
        <v>0.125</v>
      </c>
    </row>
    <row r="12" spans="2:25" ht="14.4">
      <c r="B12" s="445">
        <v>8</v>
      </c>
      <c r="C12" s="159">
        <v>2.4454396815241301E-2</v>
      </c>
      <c r="D12" s="245">
        <v>172</v>
      </c>
      <c r="E12" s="447">
        <v>7033.5</v>
      </c>
      <c r="F12" s="159">
        <v>0</v>
      </c>
      <c r="G12" s="159">
        <v>0</v>
      </c>
      <c r="H12" s="159">
        <v>0</v>
      </c>
      <c r="I12" s="159">
        <v>0</v>
      </c>
      <c r="J12" s="159">
        <v>0.1176</v>
      </c>
      <c r="K12" s="159">
        <v>0</v>
      </c>
      <c r="L12" s="159">
        <v>4.65E-2</v>
      </c>
      <c r="M12" s="159">
        <v>0</v>
      </c>
      <c r="N12" s="159">
        <v>7.4999999999999997E-3</v>
      </c>
      <c r="O12" s="159">
        <v>4.4999999999999997E-3</v>
      </c>
      <c r="P12" s="159">
        <v>1.2E-2</v>
      </c>
      <c r="Q12" s="159">
        <v>1.7999999999999999E-2</v>
      </c>
      <c r="R12" s="159">
        <v>2.8899999999999999E-2</v>
      </c>
      <c r="S12" s="159">
        <v>5.5399999999999998E-2</v>
      </c>
      <c r="T12" s="159">
        <v>4.9000000000000002E-2</v>
      </c>
      <c r="U12" s="159">
        <v>4.9700000000000001E-2</v>
      </c>
      <c r="V12" s="159">
        <v>3.1E-2</v>
      </c>
      <c r="W12" s="159">
        <v>4.5499999999999999E-2</v>
      </c>
      <c r="X12" s="159">
        <v>6.3100000000000003E-2</v>
      </c>
      <c r="Y12" s="159">
        <v>0.1333</v>
      </c>
    </row>
    <row r="13" spans="2:25" ht="14.4">
      <c r="B13" s="445">
        <v>9</v>
      </c>
      <c r="C13" s="160">
        <v>2.2917071275975899E-2</v>
      </c>
      <c r="D13" s="244">
        <v>118</v>
      </c>
      <c r="E13" s="446">
        <v>5149</v>
      </c>
      <c r="F13" s="160">
        <v>0</v>
      </c>
      <c r="G13" s="160" t="s">
        <v>237</v>
      </c>
      <c r="H13" s="160">
        <v>0</v>
      </c>
      <c r="I13" s="160">
        <v>0</v>
      </c>
      <c r="J13" s="160">
        <v>0</v>
      </c>
      <c r="K13" s="160">
        <v>0</v>
      </c>
      <c r="L13" s="160">
        <v>0</v>
      </c>
      <c r="M13" s="160">
        <v>0</v>
      </c>
      <c r="N13" s="160">
        <v>9.7999999999999997E-3</v>
      </c>
      <c r="O13" s="160">
        <v>5.8999999999999999E-3</v>
      </c>
      <c r="P13" s="160">
        <v>1.1900000000000001E-2</v>
      </c>
      <c r="Q13" s="160">
        <v>2.0899999999999998E-2</v>
      </c>
      <c r="R13" s="160">
        <v>2.76E-2</v>
      </c>
      <c r="S13" s="160">
        <v>6.54E-2</v>
      </c>
      <c r="T13" s="160">
        <v>3.8699999999999998E-2</v>
      </c>
      <c r="U13" s="160">
        <v>4.3200000000000002E-2</v>
      </c>
      <c r="V13" s="160">
        <v>3.8600000000000002E-2</v>
      </c>
      <c r="W13" s="160">
        <v>2.6800000000000001E-2</v>
      </c>
      <c r="X13" s="160">
        <v>6.2100000000000002E-2</v>
      </c>
      <c r="Y13" s="160">
        <v>0.1111</v>
      </c>
    </row>
    <row r="14" spans="2:25" ht="14.4">
      <c r="B14" s="445">
        <v>10</v>
      </c>
      <c r="C14" s="159">
        <v>1.8181818181818198E-2</v>
      </c>
      <c r="D14" s="245">
        <v>68</v>
      </c>
      <c r="E14" s="447">
        <v>3740</v>
      </c>
      <c r="F14" s="159" t="s">
        <v>237</v>
      </c>
      <c r="G14" s="159" t="s">
        <v>237</v>
      </c>
      <c r="H14" s="159">
        <v>0</v>
      </c>
      <c r="I14" s="159">
        <v>0</v>
      </c>
      <c r="J14" s="159">
        <v>0</v>
      </c>
      <c r="K14" s="159">
        <v>0</v>
      </c>
      <c r="L14" s="159">
        <v>0</v>
      </c>
      <c r="M14" s="159">
        <v>0</v>
      </c>
      <c r="N14" s="159">
        <v>2.6200000000000001E-2</v>
      </c>
      <c r="O14" s="159">
        <v>9.5999999999999992E-3</v>
      </c>
      <c r="P14" s="159">
        <v>6.7000000000000002E-3</v>
      </c>
      <c r="Q14" s="159">
        <v>1.47E-2</v>
      </c>
      <c r="R14" s="159">
        <v>2.1000000000000001E-2</v>
      </c>
      <c r="S14" s="159">
        <v>7.1900000000000006E-2</v>
      </c>
      <c r="T14" s="159">
        <v>3.61E-2</v>
      </c>
      <c r="U14" s="159">
        <v>4.3200000000000002E-2</v>
      </c>
      <c r="V14" s="159">
        <v>2.35E-2</v>
      </c>
      <c r="W14" s="159">
        <v>5.1000000000000004E-3</v>
      </c>
      <c r="X14" s="159">
        <v>7.1400000000000005E-2</v>
      </c>
      <c r="Y14" s="159">
        <v>0.1333</v>
      </c>
    </row>
    <row r="15" spans="2:25" ht="14.4">
      <c r="B15" s="445">
        <v>11</v>
      </c>
      <c r="C15" s="160">
        <v>1.48604566872055E-2</v>
      </c>
      <c r="D15" s="244">
        <v>41</v>
      </c>
      <c r="E15" s="446">
        <v>2759</v>
      </c>
      <c r="F15" s="160" t="s">
        <v>237</v>
      </c>
      <c r="G15" s="160" t="s">
        <v>237</v>
      </c>
      <c r="H15" s="160">
        <v>0</v>
      </c>
      <c r="I15" s="160">
        <v>0</v>
      </c>
      <c r="J15" s="160">
        <v>0</v>
      </c>
      <c r="K15" s="160">
        <v>0</v>
      </c>
      <c r="L15" s="160">
        <v>0</v>
      </c>
      <c r="M15" s="160">
        <v>0</v>
      </c>
      <c r="N15" s="160">
        <v>2.7099999999999999E-2</v>
      </c>
      <c r="O15" s="160">
        <v>2.5000000000000001E-3</v>
      </c>
      <c r="P15" s="160">
        <v>1.04E-2</v>
      </c>
      <c r="Q15" s="160">
        <v>2.75E-2</v>
      </c>
      <c r="R15" s="160">
        <v>1.24E-2</v>
      </c>
      <c r="S15" s="160">
        <v>0</v>
      </c>
      <c r="T15" s="160">
        <v>2.0899999999999998E-2</v>
      </c>
      <c r="U15" s="160">
        <v>5.7099999999999998E-2</v>
      </c>
      <c r="V15" s="160">
        <v>1.5299999999999999E-2</v>
      </c>
      <c r="W15" s="160">
        <v>0</v>
      </c>
      <c r="X15" s="160">
        <v>5.4100000000000002E-2</v>
      </c>
      <c r="Y15" s="160">
        <v>0.16669999999999999</v>
      </c>
    </row>
    <row r="16" spans="2:25" ht="14.4">
      <c r="B16" s="445">
        <v>12</v>
      </c>
      <c r="C16" s="159">
        <v>1.39423076923077E-2</v>
      </c>
      <c r="D16" s="245">
        <v>29</v>
      </c>
      <c r="E16" s="447">
        <v>2080</v>
      </c>
      <c r="F16" s="159" t="s">
        <v>237</v>
      </c>
      <c r="G16" s="159" t="s">
        <v>237</v>
      </c>
      <c r="H16" s="159">
        <v>0</v>
      </c>
      <c r="I16" s="159">
        <v>0</v>
      </c>
      <c r="J16" s="159">
        <v>0</v>
      </c>
      <c r="K16" s="159">
        <v>0</v>
      </c>
      <c r="L16" s="159">
        <v>0</v>
      </c>
      <c r="M16" s="159">
        <v>0</v>
      </c>
      <c r="N16" s="159">
        <v>0</v>
      </c>
      <c r="O16" s="159">
        <v>1.32E-2</v>
      </c>
      <c r="P16" s="159">
        <v>1.5299999999999999E-2</v>
      </c>
      <c r="Q16" s="159">
        <v>1.72E-2</v>
      </c>
      <c r="R16" s="159">
        <v>1.15E-2</v>
      </c>
      <c r="S16" s="159">
        <v>2.35E-2</v>
      </c>
      <c r="T16" s="159">
        <v>3.0800000000000001E-2</v>
      </c>
      <c r="U16" s="159">
        <v>4.3499999999999997E-2</v>
      </c>
      <c r="V16" s="159">
        <v>5.0000000000000001E-3</v>
      </c>
      <c r="W16" s="159">
        <v>7.9000000000000008E-3</v>
      </c>
      <c r="X16" s="159">
        <v>0.04</v>
      </c>
      <c r="Y16" s="159">
        <v>0</v>
      </c>
    </row>
    <row r="17" spans="2:25" ht="14.4">
      <c r="B17" s="445">
        <v>13</v>
      </c>
      <c r="C17" s="160">
        <v>8.2096621408272799E-3</v>
      </c>
      <c r="D17" s="244">
        <v>13</v>
      </c>
      <c r="E17" s="446">
        <v>1583.5</v>
      </c>
      <c r="F17" s="160" t="s">
        <v>237</v>
      </c>
      <c r="G17" s="160" t="s">
        <v>237</v>
      </c>
      <c r="H17" s="160">
        <v>0</v>
      </c>
      <c r="I17" s="160">
        <v>0</v>
      </c>
      <c r="J17" s="160" t="s">
        <v>237</v>
      </c>
      <c r="K17" s="160">
        <v>0</v>
      </c>
      <c r="L17" s="160">
        <v>0</v>
      </c>
      <c r="M17" s="160">
        <v>0</v>
      </c>
      <c r="N17" s="160">
        <v>1.9400000000000001E-2</v>
      </c>
      <c r="O17" s="160">
        <v>0</v>
      </c>
      <c r="P17" s="160">
        <v>1.3599999999999999E-2</v>
      </c>
      <c r="Q17" s="160">
        <v>0</v>
      </c>
      <c r="R17" s="160">
        <v>4.1000000000000003E-3</v>
      </c>
      <c r="S17" s="160">
        <v>0</v>
      </c>
      <c r="T17" s="160">
        <v>2.35E-2</v>
      </c>
      <c r="U17" s="160">
        <v>2.3800000000000002E-2</v>
      </c>
      <c r="V17" s="160">
        <v>1.23E-2</v>
      </c>
      <c r="W17" s="160">
        <v>0</v>
      </c>
      <c r="X17" s="160">
        <v>0.05</v>
      </c>
      <c r="Y17" s="160">
        <v>0</v>
      </c>
    </row>
    <row r="18" spans="2:25" ht="14.4">
      <c r="B18" s="445">
        <v>14</v>
      </c>
      <c r="C18" s="159">
        <v>9.8119378577268997E-3</v>
      </c>
      <c r="D18" s="245">
        <v>12</v>
      </c>
      <c r="E18" s="447">
        <v>1223</v>
      </c>
      <c r="F18" s="159" t="s">
        <v>237</v>
      </c>
      <c r="G18" s="159" t="s">
        <v>237</v>
      </c>
      <c r="H18" s="159">
        <v>0</v>
      </c>
      <c r="I18" s="159">
        <v>0</v>
      </c>
      <c r="J18" s="159" t="s">
        <v>237</v>
      </c>
      <c r="K18" s="159" t="s">
        <v>237</v>
      </c>
      <c r="L18" s="159">
        <v>0</v>
      </c>
      <c r="M18" s="159">
        <v>0</v>
      </c>
      <c r="N18" s="159">
        <v>2.6700000000000002E-2</v>
      </c>
      <c r="O18" s="159">
        <v>0</v>
      </c>
      <c r="P18" s="159">
        <v>1.01E-2</v>
      </c>
      <c r="Q18" s="159">
        <v>0</v>
      </c>
      <c r="R18" s="159">
        <v>5.3E-3</v>
      </c>
      <c r="S18" s="159">
        <v>0</v>
      </c>
      <c r="T18" s="159">
        <v>0</v>
      </c>
      <c r="U18" s="159">
        <v>5.0799999999999998E-2</v>
      </c>
      <c r="V18" s="159">
        <v>8.0999999999999996E-3</v>
      </c>
      <c r="W18" s="159">
        <v>0</v>
      </c>
      <c r="X18" s="159">
        <v>0.19350000000000001</v>
      </c>
      <c r="Y18" s="159">
        <v>0</v>
      </c>
    </row>
    <row r="19" spans="2:25" ht="14.4">
      <c r="B19" s="445">
        <v>15</v>
      </c>
      <c r="C19" s="160">
        <v>7.3645449763282498E-3</v>
      </c>
      <c r="D19" s="244">
        <v>7</v>
      </c>
      <c r="E19" s="446">
        <v>950.5</v>
      </c>
      <c r="F19" s="160" t="s">
        <v>237</v>
      </c>
      <c r="G19" s="160" t="s">
        <v>237</v>
      </c>
      <c r="H19" s="160">
        <v>0</v>
      </c>
      <c r="I19" s="160">
        <v>0</v>
      </c>
      <c r="J19" s="160" t="s">
        <v>237</v>
      </c>
      <c r="K19" s="160" t="s">
        <v>237</v>
      </c>
      <c r="L19" s="160">
        <v>0</v>
      </c>
      <c r="M19" s="160">
        <v>0</v>
      </c>
      <c r="N19" s="160">
        <v>0</v>
      </c>
      <c r="O19" s="160">
        <v>6.8999999999999999E-3</v>
      </c>
      <c r="P19" s="160">
        <v>8.0000000000000002E-3</v>
      </c>
      <c r="Q19" s="160">
        <v>0</v>
      </c>
      <c r="R19" s="160">
        <v>0</v>
      </c>
      <c r="S19" s="160">
        <v>0</v>
      </c>
      <c r="T19" s="160">
        <v>0</v>
      </c>
      <c r="U19" s="160">
        <v>2.53E-2</v>
      </c>
      <c r="V19" s="160">
        <v>1.1599999999999999E-2</v>
      </c>
      <c r="W19" s="160">
        <v>0</v>
      </c>
      <c r="X19" s="160">
        <v>0.25</v>
      </c>
      <c r="Y19" s="160">
        <v>0</v>
      </c>
    </row>
    <row r="20" spans="2:25" ht="14.4">
      <c r="B20" s="445">
        <v>16</v>
      </c>
      <c r="C20" s="159">
        <v>5.4347826086956503E-3</v>
      </c>
      <c r="D20" s="245">
        <v>4</v>
      </c>
      <c r="E20" s="447">
        <v>736</v>
      </c>
      <c r="F20" s="159" t="s">
        <v>237</v>
      </c>
      <c r="G20" s="159" t="s">
        <v>237</v>
      </c>
      <c r="H20" s="159">
        <v>0</v>
      </c>
      <c r="I20" s="159">
        <v>0</v>
      </c>
      <c r="J20" s="159" t="s">
        <v>237</v>
      </c>
      <c r="K20" s="159" t="s">
        <v>237</v>
      </c>
      <c r="L20" s="159">
        <v>0</v>
      </c>
      <c r="M20" s="159">
        <v>0</v>
      </c>
      <c r="N20" s="159">
        <v>6.9000000000000006E-2</v>
      </c>
      <c r="O20" s="159">
        <v>0</v>
      </c>
      <c r="P20" s="159">
        <v>1.43E-2</v>
      </c>
      <c r="Q20" s="159">
        <v>0</v>
      </c>
      <c r="R20" s="159">
        <v>0</v>
      </c>
      <c r="S20" s="159">
        <v>0</v>
      </c>
      <c r="T20" s="159">
        <v>0</v>
      </c>
      <c r="U20" s="159">
        <v>0</v>
      </c>
      <c r="V20" s="159">
        <v>0</v>
      </c>
      <c r="W20" s="159">
        <v>0</v>
      </c>
      <c r="X20" s="159">
        <v>0</v>
      </c>
      <c r="Y20" s="159">
        <v>0</v>
      </c>
    </row>
    <row r="21" spans="2:25" ht="14.4">
      <c r="B21" s="445">
        <v>17</v>
      </c>
      <c r="C21" s="160">
        <v>7.1174377224199302E-3</v>
      </c>
      <c r="D21" s="244">
        <v>4</v>
      </c>
      <c r="E21" s="446">
        <v>562</v>
      </c>
      <c r="F21" s="160" t="s">
        <v>237</v>
      </c>
      <c r="G21" s="160" t="s">
        <v>237</v>
      </c>
      <c r="H21" s="160">
        <v>0</v>
      </c>
      <c r="I21" s="160">
        <v>0</v>
      </c>
      <c r="J21" s="160" t="s">
        <v>237</v>
      </c>
      <c r="K21" s="160" t="s">
        <v>237</v>
      </c>
      <c r="L21" s="160">
        <v>0</v>
      </c>
      <c r="M21" s="160">
        <v>0</v>
      </c>
      <c r="N21" s="160">
        <v>0.1333</v>
      </c>
      <c r="O21" s="160">
        <v>0</v>
      </c>
      <c r="P21" s="160">
        <v>1.7000000000000001E-2</v>
      </c>
      <c r="Q21" s="160">
        <v>0</v>
      </c>
      <c r="R21" s="160">
        <v>0</v>
      </c>
      <c r="S21" s="160">
        <v>0</v>
      </c>
      <c r="T21" s="160">
        <v>0</v>
      </c>
      <c r="U21" s="160">
        <v>0</v>
      </c>
      <c r="V21" s="160">
        <v>0</v>
      </c>
      <c r="W21" s="160">
        <v>0</v>
      </c>
      <c r="X21" s="160">
        <v>0</v>
      </c>
      <c r="Y21" s="160">
        <v>0</v>
      </c>
    </row>
    <row r="22" spans="2:25" ht="14.4">
      <c r="B22" s="445">
        <v>18</v>
      </c>
      <c r="C22" s="159">
        <v>4.6893317702227403E-3</v>
      </c>
      <c r="D22" s="245">
        <v>2</v>
      </c>
      <c r="E22" s="447">
        <v>426.5</v>
      </c>
      <c r="F22" s="159" t="s">
        <v>237</v>
      </c>
      <c r="G22" s="159" t="s">
        <v>237</v>
      </c>
      <c r="H22" s="159">
        <v>0</v>
      </c>
      <c r="I22" s="159">
        <v>0</v>
      </c>
      <c r="J22" s="159" t="s">
        <v>237</v>
      </c>
      <c r="K22" s="159" t="s">
        <v>237</v>
      </c>
      <c r="L22" s="159" t="s">
        <v>237</v>
      </c>
      <c r="M22" s="159">
        <v>0</v>
      </c>
      <c r="N22" s="159">
        <v>0</v>
      </c>
      <c r="O22" s="159">
        <v>0</v>
      </c>
      <c r="P22" s="159">
        <v>1.3299999999999999E-2</v>
      </c>
      <c r="Q22" s="159">
        <v>0</v>
      </c>
      <c r="R22" s="159">
        <v>0</v>
      </c>
      <c r="S22" s="159">
        <v>0</v>
      </c>
      <c r="T22" s="159">
        <v>0</v>
      </c>
      <c r="U22" s="159">
        <v>0</v>
      </c>
      <c r="V22" s="159">
        <v>0</v>
      </c>
      <c r="W22" s="159">
        <v>0</v>
      </c>
      <c r="X22" s="159" t="s">
        <v>237</v>
      </c>
      <c r="Y22" s="159">
        <v>0</v>
      </c>
    </row>
    <row r="23" spans="2:25" ht="14.4">
      <c r="B23" s="445">
        <v>19</v>
      </c>
      <c r="C23" s="160">
        <v>3.0303030303030299E-3</v>
      </c>
      <c r="D23" s="244">
        <v>1</v>
      </c>
      <c r="E23" s="446">
        <v>330</v>
      </c>
      <c r="F23" s="160" t="s">
        <v>237</v>
      </c>
      <c r="G23" s="160" t="s">
        <v>237</v>
      </c>
      <c r="H23" s="160">
        <v>0</v>
      </c>
      <c r="I23" s="160">
        <v>0</v>
      </c>
      <c r="J23" s="160" t="s">
        <v>237</v>
      </c>
      <c r="K23" s="160" t="s">
        <v>237</v>
      </c>
      <c r="L23" s="160" t="s">
        <v>237</v>
      </c>
      <c r="M23" s="160">
        <v>0</v>
      </c>
      <c r="N23" s="160" t="s">
        <v>237</v>
      </c>
      <c r="O23" s="160">
        <v>0</v>
      </c>
      <c r="P23" s="160">
        <v>7.7999999999999996E-3</v>
      </c>
      <c r="Q23" s="160">
        <v>0</v>
      </c>
      <c r="R23" s="160">
        <v>0</v>
      </c>
      <c r="S23" s="160">
        <v>0</v>
      </c>
      <c r="T23" s="160">
        <v>0</v>
      </c>
      <c r="U23" s="160">
        <v>0</v>
      </c>
      <c r="V23" s="160">
        <v>0</v>
      </c>
      <c r="W23" s="160">
        <v>0</v>
      </c>
      <c r="X23" s="160" t="s">
        <v>237</v>
      </c>
      <c r="Y23" s="160" t="s">
        <v>237</v>
      </c>
    </row>
    <row r="24" spans="2:25" ht="14.4">
      <c r="B24" s="445">
        <v>20</v>
      </c>
      <c r="C24" s="159">
        <v>7.9522862823061605E-3</v>
      </c>
      <c r="D24" s="245">
        <v>2</v>
      </c>
      <c r="E24" s="447">
        <v>251.5</v>
      </c>
      <c r="F24" s="159" t="s">
        <v>237</v>
      </c>
      <c r="G24" s="159" t="s">
        <v>237</v>
      </c>
      <c r="H24" s="159">
        <v>0</v>
      </c>
      <c r="I24" s="159">
        <v>0</v>
      </c>
      <c r="J24" s="159" t="s">
        <v>237</v>
      </c>
      <c r="K24" s="159" t="s">
        <v>237</v>
      </c>
      <c r="L24" s="159" t="s">
        <v>237</v>
      </c>
      <c r="M24" s="159">
        <v>0</v>
      </c>
      <c r="N24" s="159" t="s">
        <v>237</v>
      </c>
      <c r="O24" s="159">
        <v>0</v>
      </c>
      <c r="P24" s="159">
        <v>9.4999999999999998E-3</v>
      </c>
      <c r="Q24" s="159">
        <v>0</v>
      </c>
      <c r="R24" s="159">
        <v>0</v>
      </c>
      <c r="S24" s="159">
        <v>0</v>
      </c>
      <c r="T24" s="159">
        <v>0</v>
      </c>
      <c r="U24" s="159">
        <v>0</v>
      </c>
      <c r="V24" s="159">
        <v>0</v>
      </c>
      <c r="W24" s="159">
        <v>2.9000000000000001E-2</v>
      </c>
      <c r="X24" s="159" t="s">
        <v>237</v>
      </c>
      <c r="Y24" s="159" t="s">
        <v>237</v>
      </c>
    </row>
    <row r="25" spans="2:25" ht="14.4">
      <c r="B25" s="445">
        <v>21</v>
      </c>
      <c r="C25" s="160">
        <v>1.0498687664042E-2</v>
      </c>
      <c r="D25" s="244">
        <v>2</v>
      </c>
      <c r="E25" s="446">
        <v>190.5</v>
      </c>
      <c r="F25" s="160" t="s">
        <v>237</v>
      </c>
      <c r="G25" s="160" t="s">
        <v>237</v>
      </c>
      <c r="H25" s="160">
        <v>0</v>
      </c>
      <c r="I25" s="160" t="s">
        <v>237</v>
      </c>
      <c r="J25" s="160" t="s">
        <v>237</v>
      </c>
      <c r="K25" s="160" t="s">
        <v>237</v>
      </c>
      <c r="L25" s="160" t="s">
        <v>237</v>
      </c>
      <c r="M25" s="160">
        <v>0</v>
      </c>
      <c r="N25" s="160" t="s">
        <v>237</v>
      </c>
      <c r="O25" s="160">
        <v>0</v>
      </c>
      <c r="P25" s="160">
        <v>1.15E-2</v>
      </c>
      <c r="Q25" s="160">
        <v>0</v>
      </c>
      <c r="R25" s="160">
        <v>0</v>
      </c>
      <c r="S25" s="160">
        <v>0</v>
      </c>
      <c r="T25" s="160">
        <v>0</v>
      </c>
      <c r="U25" s="160">
        <v>0</v>
      </c>
      <c r="V25" s="160">
        <v>0</v>
      </c>
      <c r="W25" s="160">
        <v>3.5700000000000003E-2</v>
      </c>
      <c r="X25" s="160" t="s">
        <v>237</v>
      </c>
      <c r="Y25" s="160" t="s">
        <v>237</v>
      </c>
    </row>
    <row r="26" spans="2:25" ht="14.4">
      <c r="B26" s="445">
        <v>22</v>
      </c>
      <c r="C26" s="159">
        <v>1.39372822299652E-2</v>
      </c>
      <c r="D26" s="245">
        <v>2</v>
      </c>
      <c r="E26" s="447">
        <v>143.5</v>
      </c>
      <c r="F26" s="159" t="s">
        <v>237</v>
      </c>
      <c r="G26" s="159" t="s">
        <v>237</v>
      </c>
      <c r="H26" s="159" t="s">
        <v>237</v>
      </c>
      <c r="I26" s="159" t="s">
        <v>237</v>
      </c>
      <c r="J26" s="159" t="s">
        <v>237</v>
      </c>
      <c r="K26" s="159" t="s">
        <v>237</v>
      </c>
      <c r="L26" s="159" t="s">
        <v>237</v>
      </c>
      <c r="M26" s="159">
        <v>0</v>
      </c>
      <c r="N26" s="159" t="s">
        <v>237</v>
      </c>
      <c r="O26" s="159">
        <v>0</v>
      </c>
      <c r="P26" s="159">
        <v>1.4500000000000001E-2</v>
      </c>
      <c r="Q26" s="159">
        <v>0</v>
      </c>
      <c r="R26" s="159">
        <v>0</v>
      </c>
      <c r="S26" s="159">
        <v>0</v>
      </c>
      <c r="T26" s="159">
        <v>0</v>
      </c>
      <c r="U26" s="159">
        <v>0</v>
      </c>
      <c r="V26" s="159">
        <v>0</v>
      </c>
      <c r="W26" s="159">
        <v>4.5499999999999999E-2</v>
      </c>
      <c r="X26" s="159" t="s">
        <v>237</v>
      </c>
      <c r="Y26" s="159" t="s">
        <v>237</v>
      </c>
    </row>
    <row r="27" spans="2:25" ht="14.4">
      <c r="B27" s="445">
        <v>23</v>
      </c>
      <c r="C27" s="160">
        <v>1.8433179723502301E-2</v>
      </c>
      <c r="D27" s="244">
        <v>2</v>
      </c>
      <c r="E27" s="446">
        <v>108.5</v>
      </c>
      <c r="F27" s="160" t="s">
        <v>237</v>
      </c>
      <c r="G27" s="160" t="s">
        <v>237</v>
      </c>
      <c r="H27" s="160" t="s">
        <v>237</v>
      </c>
      <c r="I27" s="160" t="s">
        <v>237</v>
      </c>
      <c r="J27" s="160" t="s">
        <v>237</v>
      </c>
      <c r="K27" s="160" t="s">
        <v>237</v>
      </c>
      <c r="L27" s="160" t="s">
        <v>237</v>
      </c>
      <c r="M27" s="160">
        <v>0</v>
      </c>
      <c r="N27" s="160" t="s">
        <v>237</v>
      </c>
      <c r="O27" s="160">
        <v>0</v>
      </c>
      <c r="P27" s="160">
        <v>1.83E-2</v>
      </c>
      <c r="Q27" s="160">
        <v>0</v>
      </c>
      <c r="R27" s="160">
        <v>0</v>
      </c>
      <c r="S27" s="160">
        <v>0</v>
      </c>
      <c r="T27" s="160">
        <v>0</v>
      </c>
      <c r="U27" s="160" t="s">
        <v>237</v>
      </c>
      <c r="V27" s="160">
        <v>0</v>
      </c>
      <c r="W27" s="160">
        <v>6.25E-2</v>
      </c>
      <c r="X27" s="160" t="s">
        <v>237</v>
      </c>
      <c r="Y27" s="160" t="s">
        <v>237</v>
      </c>
    </row>
    <row r="28" spans="2:25" ht="14.4">
      <c r="B28" s="445">
        <v>24</v>
      </c>
      <c r="C28" s="159">
        <v>1.2345679012345699E-2</v>
      </c>
      <c r="D28" s="245">
        <v>1</v>
      </c>
      <c r="E28" s="447">
        <v>81</v>
      </c>
      <c r="F28" s="159" t="s">
        <v>237</v>
      </c>
      <c r="G28" s="159" t="s">
        <v>237</v>
      </c>
      <c r="H28" s="159" t="s">
        <v>237</v>
      </c>
      <c r="I28" s="159" t="s">
        <v>237</v>
      </c>
      <c r="J28" s="159" t="s">
        <v>237</v>
      </c>
      <c r="K28" s="159" t="s">
        <v>237</v>
      </c>
      <c r="L28" s="159" t="s">
        <v>237</v>
      </c>
      <c r="M28" s="159">
        <v>0</v>
      </c>
      <c r="N28" s="159" t="s">
        <v>237</v>
      </c>
      <c r="O28" s="159">
        <v>0</v>
      </c>
      <c r="P28" s="159">
        <v>0</v>
      </c>
      <c r="Q28" s="159" t="s">
        <v>237</v>
      </c>
      <c r="R28" s="159">
        <v>0</v>
      </c>
      <c r="S28" s="159">
        <v>0</v>
      </c>
      <c r="T28" s="159">
        <v>0</v>
      </c>
      <c r="U28" s="159" t="s">
        <v>237</v>
      </c>
      <c r="V28" s="159">
        <v>0</v>
      </c>
      <c r="W28" s="159">
        <v>0.08</v>
      </c>
      <c r="X28" s="159" t="s">
        <v>237</v>
      </c>
      <c r="Y28" s="159" t="s">
        <v>237</v>
      </c>
    </row>
    <row r="29" spans="2:25" ht="14.4">
      <c r="B29" s="445">
        <v>25</v>
      </c>
      <c r="C29" s="160">
        <v>1.7094017094017099E-2</v>
      </c>
      <c r="D29" s="244">
        <v>1</v>
      </c>
      <c r="E29" s="446">
        <v>58.5</v>
      </c>
      <c r="F29" s="160" t="s">
        <v>237</v>
      </c>
      <c r="G29" s="160" t="s">
        <v>237</v>
      </c>
      <c r="H29" s="160" t="s">
        <v>237</v>
      </c>
      <c r="I29" s="160" t="s">
        <v>237</v>
      </c>
      <c r="J29" s="160" t="s">
        <v>237</v>
      </c>
      <c r="K29" s="160" t="s">
        <v>237</v>
      </c>
      <c r="L29" s="160" t="s">
        <v>237</v>
      </c>
      <c r="M29" s="160" t="s">
        <v>237</v>
      </c>
      <c r="N29" s="160" t="s">
        <v>237</v>
      </c>
      <c r="O29" s="160">
        <v>0</v>
      </c>
      <c r="P29" s="160">
        <v>0</v>
      </c>
      <c r="Q29" s="160" t="s">
        <v>237</v>
      </c>
      <c r="R29" s="160" t="s">
        <v>237</v>
      </c>
      <c r="S29" s="160">
        <v>0</v>
      </c>
      <c r="T29" s="160">
        <v>0</v>
      </c>
      <c r="U29" s="160" t="s">
        <v>237</v>
      </c>
      <c r="V29" s="160">
        <v>0</v>
      </c>
      <c r="W29" s="160">
        <v>0.1053</v>
      </c>
      <c r="X29" s="160" t="s">
        <v>237</v>
      </c>
      <c r="Y29" s="160" t="s">
        <v>237</v>
      </c>
    </row>
    <row r="30" spans="2:25" ht="14.4">
      <c r="B30" s="445">
        <v>26</v>
      </c>
      <c r="C30" s="159">
        <v>2.2988505747126398E-2</v>
      </c>
      <c r="D30" s="245">
        <v>1</v>
      </c>
      <c r="E30" s="447">
        <v>43.5</v>
      </c>
      <c r="F30" s="159" t="s">
        <v>237</v>
      </c>
      <c r="G30" s="159" t="s">
        <v>237</v>
      </c>
      <c r="H30" s="159" t="s">
        <v>237</v>
      </c>
      <c r="I30" s="159" t="s">
        <v>237</v>
      </c>
      <c r="J30" s="159" t="s">
        <v>237</v>
      </c>
      <c r="K30" s="159" t="s">
        <v>237</v>
      </c>
      <c r="L30" s="159" t="s">
        <v>237</v>
      </c>
      <c r="M30" s="159" t="s">
        <v>237</v>
      </c>
      <c r="N30" s="159" t="s">
        <v>237</v>
      </c>
      <c r="O30" s="159">
        <v>0</v>
      </c>
      <c r="P30" s="159">
        <v>0</v>
      </c>
      <c r="Q30" s="159" t="s">
        <v>237</v>
      </c>
      <c r="R30" s="159" t="s">
        <v>237</v>
      </c>
      <c r="S30" s="159">
        <v>0</v>
      </c>
      <c r="T30" s="159">
        <v>0</v>
      </c>
      <c r="U30" s="159" t="s">
        <v>237</v>
      </c>
      <c r="V30" s="159" t="s">
        <v>237</v>
      </c>
      <c r="W30" s="159">
        <v>0.1333</v>
      </c>
      <c r="X30" s="159" t="s">
        <v>237</v>
      </c>
      <c r="Y30" s="159" t="s">
        <v>237</v>
      </c>
    </row>
    <row r="31" spans="2:25" ht="14.4">
      <c r="B31" s="445">
        <v>27</v>
      </c>
      <c r="C31" s="160">
        <v>3.2786885245901599E-2</v>
      </c>
      <c r="D31" s="244">
        <v>1</v>
      </c>
      <c r="E31" s="446">
        <v>30.5</v>
      </c>
      <c r="F31" s="160" t="s">
        <v>237</v>
      </c>
      <c r="G31" s="160" t="s">
        <v>237</v>
      </c>
      <c r="H31" s="160" t="s">
        <v>237</v>
      </c>
      <c r="I31" s="160" t="s">
        <v>237</v>
      </c>
      <c r="J31" s="160" t="s">
        <v>237</v>
      </c>
      <c r="K31" s="160" t="s">
        <v>237</v>
      </c>
      <c r="L31" s="160" t="s">
        <v>237</v>
      </c>
      <c r="M31" s="160" t="s">
        <v>237</v>
      </c>
      <c r="N31" s="160" t="s">
        <v>237</v>
      </c>
      <c r="O31" s="160">
        <v>0</v>
      </c>
      <c r="P31" s="160">
        <v>0</v>
      </c>
      <c r="Q31" s="160" t="s">
        <v>237</v>
      </c>
      <c r="R31" s="160" t="s">
        <v>237</v>
      </c>
      <c r="S31" s="160">
        <v>0</v>
      </c>
      <c r="T31" s="160" t="s">
        <v>237</v>
      </c>
      <c r="U31" s="160" t="s">
        <v>237</v>
      </c>
      <c r="V31" s="160" t="s">
        <v>237</v>
      </c>
      <c r="W31" s="160">
        <v>0.18179999999999999</v>
      </c>
      <c r="X31" s="160" t="s">
        <v>237</v>
      </c>
      <c r="Y31" s="160" t="s">
        <v>237</v>
      </c>
    </row>
    <row r="32" spans="2:25" ht="14.4">
      <c r="B32" s="445">
        <v>28</v>
      </c>
      <c r="C32" s="159">
        <v>0</v>
      </c>
      <c r="D32" s="245">
        <v>0</v>
      </c>
      <c r="E32" s="447">
        <v>19.5</v>
      </c>
      <c r="F32" s="159" t="s">
        <v>237</v>
      </c>
      <c r="G32" s="159" t="s">
        <v>237</v>
      </c>
      <c r="H32" s="159" t="s">
        <v>237</v>
      </c>
      <c r="I32" s="159" t="s">
        <v>237</v>
      </c>
      <c r="J32" s="159" t="s">
        <v>237</v>
      </c>
      <c r="K32" s="159" t="s">
        <v>237</v>
      </c>
      <c r="L32" s="159" t="s">
        <v>237</v>
      </c>
      <c r="M32" s="159" t="s">
        <v>237</v>
      </c>
      <c r="N32" s="159" t="s">
        <v>237</v>
      </c>
      <c r="O32" s="159">
        <v>0</v>
      </c>
      <c r="P32" s="159">
        <v>0</v>
      </c>
      <c r="Q32" s="159" t="s">
        <v>237</v>
      </c>
      <c r="R32" s="159" t="s">
        <v>237</v>
      </c>
      <c r="S32" s="159">
        <v>0</v>
      </c>
      <c r="T32" s="159" t="s">
        <v>237</v>
      </c>
      <c r="U32" s="159" t="s">
        <v>237</v>
      </c>
      <c r="V32" s="159" t="s">
        <v>237</v>
      </c>
      <c r="W32" s="159">
        <v>0</v>
      </c>
      <c r="X32" s="159" t="s">
        <v>237</v>
      </c>
      <c r="Y32" s="159" t="s">
        <v>237</v>
      </c>
    </row>
    <row r="33" spans="2:25" ht="14.4">
      <c r="B33" s="445">
        <v>29</v>
      </c>
      <c r="C33" s="160">
        <v>0</v>
      </c>
      <c r="D33" s="244">
        <v>0</v>
      </c>
      <c r="E33" s="446">
        <v>9.5</v>
      </c>
      <c r="F33" s="160" t="s">
        <v>237</v>
      </c>
      <c r="G33" s="160" t="s">
        <v>237</v>
      </c>
      <c r="H33" s="160" t="s">
        <v>237</v>
      </c>
      <c r="I33" s="160" t="s">
        <v>237</v>
      </c>
      <c r="J33" s="160" t="s">
        <v>237</v>
      </c>
      <c r="K33" s="160" t="s">
        <v>237</v>
      </c>
      <c r="L33" s="160" t="s">
        <v>237</v>
      </c>
      <c r="M33" s="160" t="s">
        <v>237</v>
      </c>
      <c r="N33" s="160" t="s">
        <v>237</v>
      </c>
      <c r="O33" s="160">
        <v>0</v>
      </c>
      <c r="P33" s="160">
        <v>0</v>
      </c>
      <c r="Q33" s="160" t="s">
        <v>237</v>
      </c>
      <c r="R33" s="160" t="s">
        <v>237</v>
      </c>
      <c r="S33" s="160">
        <v>0</v>
      </c>
      <c r="T33" s="160" t="s">
        <v>237</v>
      </c>
      <c r="U33" s="160" t="s">
        <v>237</v>
      </c>
      <c r="V33" s="160" t="s">
        <v>237</v>
      </c>
      <c r="W33" s="160">
        <v>0</v>
      </c>
      <c r="X33" s="160" t="s">
        <v>237</v>
      </c>
      <c r="Y33" s="160" t="s">
        <v>237</v>
      </c>
    </row>
    <row r="34" spans="2:25" ht="14.4">
      <c r="B34" s="445">
        <v>30</v>
      </c>
      <c r="C34" s="159">
        <v>0</v>
      </c>
      <c r="D34" s="245">
        <v>0</v>
      </c>
      <c r="E34" s="447">
        <v>3</v>
      </c>
      <c r="F34" s="159" t="s">
        <v>237</v>
      </c>
      <c r="G34" s="159" t="s">
        <v>237</v>
      </c>
      <c r="H34" s="159" t="s">
        <v>237</v>
      </c>
      <c r="I34" s="159" t="s">
        <v>237</v>
      </c>
      <c r="J34" s="159" t="s">
        <v>237</v>
      </c>
      <c r="K34" s="159" t="s">
        <v>237</v>
      </c>
      <c r="L34" s="159" t="s">
        <v>237</v>
      </c>
      <c r="M34" s="159" t="s">
        <v>237</v>
      </c>
      <c r="N34" s="159" t="s">
        <v>237</v>
      </c>
      <c r="O34" s="159" t="s">
        <v>237</v>
      </c>
      <c r="P34" s="159">
        <v>0</v>
      </c>
      <c r="Q34" s="159" t="s">
        <v>237</v>
      </c>
      <c r="R34" s="159" t="s">
        <v>237</v>
      </c>
      <c r="S34" s="159" t="s">
        <v>237</v>
      </c>
      <c r="T34" s="159" t="s">
        <v>237</v>
      </c>
      <c r="U34" s="159" t="s">
        <v>237</v>
      </c>
      <c r="V34" s="159" t="s">
        <v>237</v>
      </c>
      <c r="W34" s="159">
        <v>0</v>
      </c>
      <c r="X34" s="159" t="s">
        <v>237</v>
      </c>
      <c r="Y34" s="159" t="s">
        <v>237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6F16E-A922-41B1-9BB4-C63C552824BB}">
  <sheetPr>
    <tabColor theme="4" tint="0.59999389629810485"/>
  </sheetPr>
  <dimension ref="B2:W34"/>
  <sheetViews>
    <sheetView workbookViewId="0">
      <selection activeCell="P12" sqref="P12"/>
    </sheetView>
  </sheetViews>
  <sheetFormatPr defaultRowHeight="13.8"/>
  <cols>
    <col min="2" max="2" width="9" style="79"/>
    <col min="3" max="22" width="7.59765625" customWidth="1"/>
  </cols>
  <sheetData>
    <row r="2" spans="2:23">
      <c r="B2" s="158" t="s">
        <v>400</v>
      </c>
    </row>
    <row r="4" spans="2:23" s="150" customFormat="1" ht="41.4">
      <c r="B4" s="404" t="s">
        <v>169</v>
      </c>
      <c r="C4" s="444" t="s">
        <v>147</v>
      </c>
      <c r="D4" s="444" t="s">
        <v>148</v>
      </c>
      <c r="E4" s="444" t="s">
        <v>149</v>
      </c>
      <c r="F4" s="444" t="s">
        <v>150</v>
      </c>
      <c r="G4" s="444" t="s">
        <v>151</v>
      </c>
      <c r="H4" s="444" t="s">
        <v>152</v>
      </c>
      <c r="I4" s="444" t="s">
        <v>153</v>
      </c>
      <c r="J4" s="444" t="s">
        <v>154</v>
      </c>
      <c r="K4" s="444" t="s">
        <v>155</v>
      </c>
      <c r="L4" s="444" t="s">
        <v>156</v>
      </c>
      <c r="M4" s="444" t="s">
        <v>157</v>
      </c>
      <c r="N4" s="444" t="s">
        <v>158</v>
      </c>
      <c r="O4" s="444" t="s">
        <v>159</v>
      </c>
      <c r="P4" s="444" t="s">
        <v>160</v>
      </c>
      <c r="Q4" s="444" t="s">
        <v>161</v>
      </c>
      <c r="R4" s="444" t="s">
        <v>162</v>
      </c>
      <c r="S4" s="444" t="s">
        <v>163</v>
      </c>
      <c r="T4" s="444" t="s">
        <v>164</v>
      </c>
      <c r="U4" s="444" t="s">
        <v>165</v>
      </c>
      <c r="V4" s="444" t="s">
        <v>166</v>
      </c>
      <c r="W4"/>
    </row>
    <row r="5" spans="2:23" ht="14.4">
      <c r="B5" s="445">
        <v>1</v>
      </c>
      <c r="C5" s="160">
        <v>0</v>
      </c>
      <c r="D5" s="160">
        <v>0</v>
      </c>
      <c r="E5" s="160">
        <v>0</v>
      </c>
      <c r="F5" s="160">
        <v>0</v>
      </c>
      <c r="G5" s="160">
        <v>0</v>
      </c>
      <c r="H5" s="160">
        <v>0</v>
      </c>
      <c r="I5" s="160">
        <v>0</v>
      </c>
      <c r="J5" s="160">
        <v>1E-3</v>
      </c>
      <c r="K5" s="160">
        <v>2.5000000000000001E-3</v>
      </c>
      <c r="L5" s="160">
        <v>4.3E-3</v>
      </c>
      <c r="M5" s="160">
        <v>7.4999999999999997E-3</v>
      </c>
      <c r="N5" s="160">
        <v>1.2800000000000001E-2</v>
      </c>
      <c r="O5" s="160">
        <v>1.9900000000000001E-2</v>
      </c>
      <c r="P5" s="160">
        <v>2.69E-2</v>
      </c>
      <c r="Q5" s="160">
        <v>3.3599999999999998E-2</v>
      </c>
      <c r="R5" s="160">
        <v>4.8099999999999997E-2</v>
      </c>
      <c r="S5" s="160">
        <v>7.1400000000000005E-2</v>
      </c>
      <c r="T5" s="160">
        <v>0.10589999999999999</v>
      </c>
      <c r="U5" s="160">
        <v>0.16450000000000001</v>
      </c>
      <c r="V5" s="160">
        <v>0.2462</v>
      </c>
    </row>
    <row r="6" spans="2:23" ht="14.4">
      <c r="B6" s="445">
        <v>2</v>
      </c>
      <c r="C6" s="159">
        <v>0</v>
      </c>
      <c r="D6" s="159">
        <v>0</v>
      </c>
      <c r="E6" s="159">
        <v>0</v>
      </c>
      <c r="F6" s="159">
        <v>0</v>
      </c>
      <c r="G6" s="159">
        <v>0</v>
      </c>
      <c r="H6" s="159">
        <v>0</v>
      </c>
      <c r="I6" s="159">
        <v>0</v>
      </c>
      <c r="J6" s="159">
        <v>4.7962000000000005E-3</v>
      </c>
      <c r="K6" s="159">
        <v>5.4925000000000009E-3</v>
      </c>
      <c r="L6" s="159">
        <v>1.166818E-2</v>
      </c>
      <c r="M6" s="159">
        <v>1.8218999999999999E-2</v>
      </c>
      <c r="N6" s="159">
        <v>3.1951680000000003E-2</v>
      </c>
      <c r="O6" s="159">
        <v>5.0185090000000002E-2</v>
      </c>
      <c r="P6" s="159">
        <v>6.4267039999999998E-2</v>
      </c>
      <c r="Q6" s="159">
        <v>8.3659520000000001E-2</v>
      </c>
      <c r="R6" s="159">
        <v>0.10806969999999999</v>
      </c>
      <c r="S6" s="159">
        <v>0.1396521</v>
      </c>
      <c r="T6" s="159">
        <v>0.19808170999999999</v>
      </c>
      <c r="U6" s="159">
        <v>0.26643099999999997</v>
      </c>
      <c r="V6" s="159">
        <v>0.36530040000000003</v>
      </c>
    </row>
    <row r="7" spans="2:23" ht="14.4">
      <c r="B7" s="445">
        <v>3</v>
      </c>
      <c r="C7" s="160">
        <v>0</v>
      </c>
      <c r="D7" s="160">
        <v>0</v>
      </c>
      <c r="E7" s="160">
        <v>0</v>
      </c>
      <c r="F7" s="160">
        <v>5.4999999999999997E-3</v>
      </c>
      <c r="G7" s="160">
        <v>0</v>
      </c>
      <c r="H7" s="160">
        <v>1.2E-2</v>
      </c>
      <c r="I7" s="160">
        <v>1.2E-2</v>
      </c>
      <c r="J7" s="160">
        <v>6.289005700000001E-3</v>
      </c>
      <c r="K7" s="160">
        <v>1.0365586750000001E-2</v>
      </c>
      <c r="L7" s="160">
        <v>1.858650274E-2</v>
      </c>
      <c r="M7" s="160">
        <v>3.1963933999999999E-2</v>
      </c>
      <c r="N7" s="160">
        <v>5.1022231904000001E-2</v>
      </c>
      <c r="O7" s="160">
        <v>8.4758352724000008E-2</v>
      </c>
      <c r="P7" s="160">
        <v>0.10731075615999999</v>
      </c>
      <c r="Q7" s="160">
        <v>0.130026348288</v>
      </c>
      <c r="R7" s="160">
        <v>0.16979127676</v>
      </c>
      <c r="S7" s="160">
        <v>0.19755351367000001</v>
      </c>
      <c r="T7" s="160">
        <v>0.26824956037499997</v>
      </c>
      <c r="U7" s="160">
        <v>0.34932429700000001</v>
      </c>
      <c r="V7" s="160">
        <v>0.45517386336000004</v>
      </c>
    </row>
    <row r="8" spans="2:23" ht="14.4">
      <c r="B8" s="445">
        <v>4</v>
      </c>
      <c r="C8" s="159">
        <v>0</v>
      </c>
      <c r="D8" s="159">
        <v>0</v>
      </c>
      <c r="E8" s="159">
        <v>0</v>
      </c>
      <c r="F8" s="159">
        <v>5.4999999999999997E-3</v>
      </c>
      <c r="G8" s="159">
        <v>0</v>
      </c>
      <c r="H8" s="159">
        <v>4.15412E-2</v>
      </c>
      <c r="I8" s="159">
        <v>1.2E-2</v>
      </c>
      <c r="J8" s="159">
        <v>8.1770565891700012E-3</v>
      </c>
      <c r="K8" s="159">
        <v>1.491790505095E-2</v>
      </c>
      <c r="L8" s="159">
        <v>2.7419224215340002E-2</v>
      </c>
      <c r="M8" s="159">
        <v>4.6000456957000002E-2</v>
      </c>
      <c r="N8" s="159">
        <v>7.1140560587635196E-2</v>
      </c>
      <c r="O8" s="159">
        <v>0.11459523042519761</v>
      </c>
      <c r="P8" s="159">
        <v>0.15489109285667199</v>
      </c>
      <c r="Q8" s="159">
        <v>0.17100210728363521</v>
      </c>
      <c r="R8" s="159">
        <v>0.21927171666510401</v>
      </c>
      <c r="S8" s="159">
        <v>0.247786663714258</v>
      </c>
      <c r="T8" s="159">
        <v>0.31778906513761246</v>
      </c>
      <c r="U8" s="159">
        <v>0.40625842101249998</v>
      </c>
      <c r="V8" s="159">
        <v>0.52022610407481606</v>
      </c>
    </row>
    <row r="9" spans="2:23" ht="14.4">
      <c r="B9" s="445">
        <v>5</v>
      </c>
      <c r="C9" s="160">
        <v>0</v>
      </c>
      <c r="D9" s="160">
        <v>0</v>
      </c>
      <c r="E9" s="160">
        <v>0</v>
      </c>
      <c r="F9" s="160">
        <v>1.3456000000000001E-2</v>
      </c>
      <c r="G9" s="160">
        <v>0</v>
      </c>
      <c r="H9" s="160">
        <v>7.9496168480000004E-2</v>
      </c>
      <c r="I9" s="160">
        <v>1.2E-2</v>
      </c>
      <c r="J9" s="160">
        <v>1.2838624423200901E-2</v>
      </c>
      <c r="K9" s="160">
        <v>1.6789561031353196E-2</v>
      </c>
      <c r="L9" s="160">
        <v>3.5588902731931146E-2</v>
      </c>
      <c r="M9" s="160">
        <v>5.9928850285427798E-2</v>
      </c>
      <c r="N9" s="160">
        <v>9.7241510835122641E-2</v>
      </c>
      <c r="O9" s="160">
        <v>0.13938656397329208</v>
      </c>
      <c r="P9" s="160">
        <v>0.1796527838359715</v>
      </c>
      <c r="Q9" s="160">
        <v>0.21021370760911928</v>
      </c>
      <c r="R9" s="160">
        <v>0.26369515598685961</v>
      </c>
      <c r="S9" s="160">
        <v>0.28953450387811669</v>
      </c>
      <c r="T9" s="160">
        <v>0.35421912905926395</v>
      </c>
      <c r="U9" s="160">
        <v>0.45922016985818498</v>
      </c>
      <c r="V9" s="160">
        <v>0.55836812880086817</v>
      </c>
    </row>
    <row r="10" spans="2:23" ht="14.4">
      <c r="B10" s="445">
        <v>6</v>
      </c>
      <c r="C10" s="159">
        <v>0</v>
      </c>
      <c r="D10" s="159">
        <v>0</v>
      </c>
      <c r="E10" s="159">
        <v>0</v>
      </c>
      <c r="F10" s="159">
        <v>1.3456000000000001E-2</v>
      </c>
      <c r="G10" s="159">
        <v>0</v>
      </c>
      <c r="H10" s="159">
        <v>0.12855902270001601</v>
      </c>
      <c r="I10" s="159">
        <v>1.2E-2</v>
      </c>
      <c r="J10" s="159">
        <v>1.8860308814219375E-2</v>
      </c>
      <c r="K10" s="159">
        <v>2.1508971138402701E-2</v>
      </c>
      <c r="L10" s="159">
        <v>4.1954015973900402E-2</v>
      </c>
      <c r="M10" s="159">
        <v>7.2337789461660154E-2</v>
      </c>
      <c r="N10" s="159">
        <v>0.11872716287724672</v>
      </c>
      <c r="O10" s="159">
        <v>0.16572133511570933</v>
      </c>
      <c r="P10" s="159">
        <v>0.20614999891806962</v>
      </c>
      <c r="Q10" s="159">
        <v>0.24512226173279622</v>
      </c>
      <c r="R10" s="159">
        <v>0.30036313721871399</v>
      </c>
      <c r="S10" s="159">
        <v>0.31695847202842137</v>
      </c>
      <c r="T10" s="159">
        <v>0.38160023798715115</v>
      </c>
      <c r="U10" s="159">
        <v>0.50437528567502654</v>
      </c>
      <c r="V10" s="159">
        <v>0.60200135767534235</v>
      </c>
    </row>
    <row r="11" spans="2:23" ht="14.4">
      <c r="B11" s="445">
        <v>7</v>
      </c>
      <c r="C11" s="160">
        <v>0</v>
      </c>
      <c r="D11" s="160">
        <v>0</v>
      </c>
      <c r="E11" s="160">
        <v>0</v>
      </c>
      <c r="F11" s="160">
        <v>1.3456000000000001E-2</v>
      </c>
      <c r="G11" s="160">
        <v>0</v>
      </c>
      <c r="H11" s="160">
        <v>0.1614123475442254</v>
      </c>
      <c r="I11" s="160">
        <v>1.2E-2</v>
      </c>
      <c r="J11" s="160">
        <v>2.2686753609843919E-2</v>
      </c>
      <c r="K11" s="160">
        <v>2.4444444224987493E-2</v>
      </c>
      <c r="L11" s="160">
        <v>4.7127464287641342E-2</v>
      </c>
      <c r="M11" s="160">
        <v>8.792251459870426E-2</v>
      </c>
      <c r="N11" s="160">
        <v>0.13600011048485267</v>
      </c>
      <c r="O11" s="160">
        <v>0.18924799346544632</v>
      </c>
      <c r="P11" s="160">
        <v>0.23147381395258321</v>
      </c>
      <c r="Q11" s="160">
        <v>0.27343017691781635</v>
      </c>
      <c r="R11" s="160">
        <v>0.32862846647507793</v>
      </c>
      <c r="S11" s="160">
        <v>0.34066001304903515</v>
      </c>
      <c r="T11" s="160">
        <v>0.40633622846766509</v>
      </c>
      <c r="U11" s="160">
        <v>0.54362876304956442</v>
      </c>
      <c r="V11" s="160">
        <v>0.65175118796592457</v>
      </c>
    </row>
    <row r="12" spans="2:23" ht="14.4">
      <c r="B12" s="445">
        <v>8</v>
      </c>
      <c r="C12" s="159">
        <v>0</v>
      </c>
      <c r="D12" s="159">
        <v>0</v>
      </c>
      <c r="E12" s="159">
        <v>0</v>
      </c>
      <c r="F12" s="159">
        <v>1.3456000000000001E-2</v>
      </c>
      <c r="G12" s="159">
        <v>0.1176</v>
      </c>
      <c r="H12" s="159">
        <v>0.1614123475442254</v>
      </c>
      <c r="I12" s="159">
        <v>5.7941999999999994E-2</v>
      </c>
      <c r="J12" s="159">
        <v>2.2686753609843919E-2</v>
      </c>
      <c r="K12" s="159">
        <v>3.1761110893300089E-2</v>
      </c>
      <c r="L12" s="159">
        <v>5.1415390698346955E-2</v>
      </c>
      <c r="M12" s="159">
        <v>9.8867444423519801E-2</v>
      </c>
      <c r="N12" s="159">
        <v>0.15155210849612533</v>
      </c>
      <c r="O12" s="159">
        <v>0.21267872645429492</v>
      </c>
      <c r="P12" s="159">
        <v>0.27405016465961007</v>
      </c>
      <c r="Q12" s="159">
        <v>0.30903209824884337</v>
      </c>
      <c r="R12" s="159">
        <v>0.36199563169126658</v>
      </c>
      <c r="S12" s="159">
        <v>0.36109955264451504</v>
      </c>
      <c r="T12" s="159">
        <v>0.43334793007238631</v>
      </c>
      <c r="U12" s="159">
        <v>0.57242578810113687</v>
      </c>
      <c r="V12" s="159">
        <v>0.69817275461006678</v>
      </c>
    </row>
    <row r="13" spans="2:23" ht="14.4">
      <c r="B13" s="445">
        <v>9</v>
      </c>
      <c r="C13" s="160">
        <v>0</v>
      </c>
      <c r="D13" s="160" t="s">
        <v>237</v>
      </c>
      <c r="E13" s="160">
        <v>0</v>
      </c>
      <c r="F13" s="160">
        <v>1.3456000000000001E-2</v>
      </c>
      <c r="G13" s="160">
        <v>0.1176</v>
      </c>
      <c r="H13" s="160">
        <v>0.1614123475442254</v>
      </c>
      <c r="I13" s="160">
        <v>5.7941999999999994E-2</v>
      </c>
      <c r="J13" s="160">
        <v>2.2686753609843919E-2</v>
      </c>
      <c r="K13" s="160">
        <v>4.1249852006545747E-2</v>
      </c>
      <c r="L13" s="160">
        <v>5.7012039893226708E-2</v>
      </c>
      <c r="M13" s="160">
        <v>0.10959092183487992</v>
      </c>
      <c r="N13" s="160">
        <v>0.1692846694285563</v>
      </c>
      <c r="O13" s="160">
        <v>0.2344087936041564</v>
      </c>
      <c r="P13" s="160">
        <v>0.3215272838908716</v>
      </c>
      <c r="Q13" s="160">
        <v>0.33577255604661316</v>
      </c>
      <c r="R13" s="160">
        <v>0.38955742040220387</v>
      </c>
      <c r="S13" s="160">
        <v>0.38576110991243678</v>
      </c>
      <c r="T13" s="160">
        <v>0.44853420554644635</v>
      </c>
      <c r="U13" s="160">
        <v>0.59897814666005622</v>
      </c>
      <c r="V13" s="160">
        <v>0.73170576157288836</v>
      </c>
    </row>
    <row r="14" spans="2:23" ht="14.4">
      <c r="B14" s="445">
        <v>10</v>
      </c>
      <c r="C14" s="159" t="s">
        <v>237</v>
      </c>
      <c r="D14" s="159" t="s">
        <v>237</v>
      </c>
      <c r="E14" s="159">
        <v>0</v>
      </c>
      <c r="F14" s="159">
        <v>1.3456000000000001E-2</v>
      </c>
      <c r="G14" s="159">
        <v>0.1176</v>
      </c>
      <c r="H14" s="159">
        <v>0.1614123475442254</v>
      </c>
      <c r="I14" s="159">
        <v>5.7941999999999994E-2</v>
      </c>
      <c r="J14" s="159">
        <v>2.2686753609843919E-2</v>
      </c>
      <c r="K14" s="159">
        <v>6.6369105883974253E-2</v>
      </c>
      <c r="L14" s="159">
        <v>6.6064724310251732E-2</v>
      </c>
      <c r="M14" s="159">
        <v>0.11555666265858623</v>
      </c>
      <c r="N14" s="159">
        <v>0.18149618478795651</v>
      </c>
      <c r="O14" s="159">
        <v>0.25048620893846912</v>
      </c>
      <c r="P14" s="159">
        <v>0.37030947217911792</v>
      </c>
      <c r="Q14" s="159">
        <v>0.35975116677333041</v>
      </c>
      <c r="R14" s="159">
        <v>0.41592853984082867</v>
      </c>
      <c r="S14" s="159">
        <v>0.40019572382949453</v>
      </c>
      <c r="T14" s="159">
        <v>0.45134668109815945</v>
      </c>
      <c r="U14" s="159">
        <v>0.62761110698852818</v>
      </c>
      <c r="V14" s="159">
        <v>0.76746938355522232</v>
      </c>
    </row>
    <row r="15" spans="2:23" ht="14.4">
      <c r="B15" s="445">
        <v>11</v>
      </c>
      <c r="C15" s="160" t="s">
        <v>237</v>
      </c>
      <c r="D15" s="160" t="s">
        <v>237</v>
      </c>
      <c r="E15" s="160">
        <v>0</v>
      </c>
      <c r="F15" s="160">
        <v>1.3456000000000001E-2</v>
      </c>
      <c r="G15" s="160">
        <v>0.1176</v>
      </c>
      <c r="H15" s="160">
        <v>0.1614123475442254</v>
      </c>
      <c r="I15" s="160">
        <v>5.7941999999999994E-2</v>
      </c>
      <c r="J15" s="160">
        <v>2.2686753609843919E-2</v>
      </c>
      <c r="K15" s="160">
        <v>9.1670503114518548E-2</v>
      </c>
      <c r="L15" s="160">
        <v>6.8399562499476096E-2</v>
      </c>
      <c r="M15" s="160">
        <v>0.12475487336693694</v>
      </c>
      <c r="N15" s="160">
        <v>0.20400503970628769</v>
      </c>
      <c r="O15" s="160">
        <v>0.25978017994763208</v>
      </c>
      <c r="P15" s="160">
        <v>0.37030947217911792</v>
      </c>
      <c r="Q15" s="160">
        <v>0.37313236738776778</v>
      </c>
      <c r="R15" s="160">
        <v>0.44927902021591737</v>
      </c>
      <c r="S15" s="160">
        <v>0.40937272925490326</v>
      </c>
      <c r="T15" s="160">
        <v>0.45134668109815945</v>
      </c>
      <c r="U15" s="160">
        <v>0.64775734610044877</v>
      </c>
      <c r="V15" s="160">
        <v>0.80623223731656679</v>
      </c>
    </row>
    <row r="16" spans="2:23" ht="14.4">
      <c r="B16" s="445">
        <v>12</v>
      </c>
      <c r="C16" s="159" t="s">
        <v>237</v>
      </c>
      <c r="D16" s="159" t="s">
        <v>237</v>
      </c>
      <c r="E16" s="159">
        <v>0</v>
      </c>
      <c r="F16" s="159">
        <v>1.3456000000000001E-2</v>
      </c>
      <c r="G16" s="159">
        <v>0.1176</v>
      </c>
      <c r="H16" s="159">
        <v>0.1614123475442254</v>
      </c>
      <c r="I16" s="159">
        <v>5.7941999999999994E-2</v>
      </c>
      <c r="J16" s="159">
        <v>2.2686753609843919E-2</v>
      </c>
      <c r="K16" s="159">
        <v>9.1670503114518548E-2</v>
      </c>
      <c r="L16" s="159">
        <v>8.0696688274483008E-2</v>
      </c>
      <c r="M16" s="159">
        <v>0.13814612380442282</v>
      </c>
      <c r="N16" s="159">
        <v>0.21769615302333956</v>
      </c>
      <c r="O16" s="159">
        <v>0.26829270787823434</v>
      </c>
      <c r="P16" s="159">
        <v>0.38510719958290862</v>
      </c>
      <c r="Q16" s="159">
        <v>0.39243989047222455</v>
      </c>
      <c r="R16" s="159">
        <v>0.47323538283652494</v>
      </c>
      <c r="S16" s="159">
        <v>0.41232586560862872</v>
      </c>
      <c r="T16" s="159">
        <v>0.45568104231748402</v>
      </c>
      <c r="U16" s="159">
        <v>0.66184705225643081</v>
      </c>
      <c r="V16" s="159">
        <v>0.80623223731656679</v>
      </c>
    </row>
    <row r="17" spans="2:22" ht="14.4">
      <c r="B17" s="445">
        <v>13</v>
      </c>
      <c r="C17" s="160" t="s">
        <v>237</v>
      </c>
      <c r="D17" s="160" t="s">
        <v>237</v>
      </c>
      <c r="E17" s="160">
        <v>0</v>
      </c>
      <c r="F17" s="160">
        <v>1.3456000000000001E-2</v>
      </c>
      <c r="G17" s="160" t="s">
        <v>237</v>
      </c>
      <c r="H17" s="160">
        <v>0.1614123475442254</v>
      </c>
      <c r="I17" s="160">
        <v>5.7941999999999994E-2</v>
      </c>
      <c r="J17" s="160">
        <v>2.2686753609843919E-2</v>
      </c>
      <c r="K17" s="160">
        <v>0.1092920953540969</v>
      </c>
      <c r="L17" s="160">
        <v>8.0696688274483008E-2</v>
      </c>
      <c r="M17" s="160">
        <v>0.14986733652068265</v>
      </c>
      <c r="N17" s="160">
        <v>0.21769615302333956</v>
      </c>
      <c r="O17" s="160">
        <v>0.27129270777593356</v>
      </c>
      <c r="P17" s="160">
        <v>0.38510719958290862</v>
      </c>
      <c r="Q17" s="160">
        <v>0.40671755304612728</v>
      </c>
      <c r="R17" s="160">
        <v>0.48577238072501566</v>
      </c>
      <c r="S17" s="160">
        <v>0.4195542574616426</v>
      </c>
      <c r="T17" s="160">
        <v>0.45568104231748402</v>
      </c>
      <c r="U17" s="160">
        <v>0.67875469964360924</v>
      </c>
      <c r="V17" s="160">
        <v>0.80623223731656679</v>
      </c>
    </row>
    <row r="18" spans="2:22" ht="14.4">
      <c r="B18" s="445">
        <v>14</v>
      </c>
      <c r="C18" s="159" t="s">
        <v>237</v>
      </c>
      <c r="D18" s="159" t="s">
        <v>237</v>
      </c>
      <c r="E18" s="159">
        <v>0</v>
      </c>
      <c r="F18" s="159">
        <v>1.3456000000000001E-2</v>
      </c>
      <c r="G18" s="159" t="s">
        <v>237</v>
      </c>
      <c r="H18" s="159" t="s">
        <v>237</v>
      </c>
      <c r="I18" s="159">
        <v>5.7941999999999994E-2</v>
      </c>
      <c r="J18" s="159">
        <v>2.2686753609843919E-2</v>
      </c>
      <c r="K18" s="159">
        <v>0.13307399640814252</v>
      </c>
      <c r="L18" s="159">
        <v>8.0696688274483008E-2</v>
      </c>
      <c r="M18" s="159">
        <v>0.15845367642182376</v>
      </c>
      <c r="N18" s="159">
        <v>0.21769615302333956</v>
      </c>
      <c r="O18" s="159">
        <v>0.27515485642472109</v>
      </c>
      <c r="P18" s="159">
        <v>0.38510719958290862</v>
      </c>
      <c r="Q18" s="159">
        <v>0.40671755304612728</v>
      </c>
      <c r="R18" s="159">
        <v>0.51189514378418488</v>
      </c>
      <c r="S18" s="159">
        <v>0.42425586797620329</v>
      </c>
      <c r="T18" s="159">
        <v>0.45568104231748402</v>
      </c>
      <c r="U18" s="159">
        <v>0.7409156652625708</v>
      </c>
      <c r="V18" s="159">
        <v>0.80623223731656679</v>
      </c>
    </row>
    <row r="19" spans="2:22" ht="14.4">
      <c r="B19" s="445">
        <v>15</v>
      </c>
      <c r="C19" s="160" t="s">
        <v>237</v>
      </c>
      <c r="D19" s="160" t="s">
        <v>237</v>
      </c>
      <c r="E19" s="160">
        <v>0</v>
      </c>
      <c r="F19" s="160">
        <v>1.3456000000000001E-2</v>
      </c>
      <c r="G19" s="160" t="s">
        <v>237</v>
      </c>
      <c r="H19" s="160" t="s">
        <v>237</v>
      </c>
      <c r="I19" s="160">
        <v>5.7941999999999994E-2</v>
      </c>
      <c r="J19" s="160">
        <v>2.2686753609843919E-2</v>
      </c>
      <c r="K19" s="160">
        <v>0.13307399640814252</v>
      </c>
      <c r="L19" s="160">
        <v>8.7039881125389074E-2</v>
      </c>
      <c r="M19" s="160">
        <v>0.16518604701044917</v>
      </c>
      <c r="N19" s="160">
        <v>0.21769615302333956</v>
      </c>
      <c r="O19" s="160">
        <v>0.27515485642472109</v>
      </c>
      <c r="P19" s="160">
        <v>0.38510719958290862</v>
      </c>
      <c r="Q19" s="160">
        <v>0.40671755304612728</v>
      </c>
      <c r="R19" s="160">
        <v>0.52424419664644495</v>
      </c>
      <c r="S19" s="160">
        <v>0.43093449990767935</v>
      </c>
      <c r="T19" s="160">
        <v>0.45568104231748402</v>
      </c>
      <c r="U19" s="160">
        <v>0.80568674894692816</v>
      </c>
      <c r="V19" s="160">
        <v>0.80623223731656679</v>
      </c>
    </row>
    <row r="20" spans="2:22" ht="14.4">
      <c r="B20" s="445">
        <v>16</v>
      </c>
      <c r="C20" s="159" t="s">
        <v>237</v>
      </c>
      <c r="D20" s="159" t="s">
        <v>237</v>
      </c>
      <c r="E20" s="159">
        <v>0</v>
      </c>
      <c r="F20" s="159">
        <v>1.3456000000000001E-2</v>
      </c>
      <c r="G20" s="159" t="s">
        <v>237</v>
      </c>
      <c r="H20" s="159" t="s">
        <v>237</v>
      </c>
      <c r="I20" s="159">
        <v>5.7941999999999994E-2</v>
      </c>
      <c r="J20" s="159">
        <v>2.2686753609843919E-2</v>
      </c>
      <c r="K20" s="159">
        <v>0.1928918906559807</v>
      </c>
      <c r="L20" s="159">
        <v>8.7039881125389074E-2</v>
      </c>
      <c r="M20" s="159">
        <v>0.17712388653819974</v>
      </c>
      <c r="N20" s="159">
        <v>0.21769615302333956</v>
      </c>
      <c r="O20" s="159">
        <v>0.27515485642472109</v>
      </c>
      <c r="P20" s="159">
        <v>0.38510719958290862</v>
      </c>
      <c r="Q20" s="159">
        <v>0.40671755304612728</v>
      </c>
      <c r="R20" s="159">
        <v>0.52424419664644495</v>
      </c>
      <c r="S20" s="159">
        <v>0.43093449990767935</v>
      </c>
      <c r="T20" s="159">
        <v>0.45568104231748402</v>
      </c>
      <c r="U20" s="159">
        <v>0.80568674894692816</v>
      </c>
      <c r="V20" s="159">
        <v>0.80623223731656679</v>
      </c>
    </row>
    <row r="21" spans="2:22" ht="14.4">
      <c r="B21" s="445">
        <v>17</v>
      </c>
      <c r="C21" s="160" t="s">
        <v>237</v>
      </c>
      <c r="D21" s="160" t="s">
        <v>237</v>
      </c>
      <c r="E21" s="160">
        <v>0</v>
      </c>
      <c r="F21" s="160">
        <v>1.3456000000000001E-2</v>
      </c>
      <c r="G21" s="160" t="s">
        <v>237</v>
      </c>
      <c r="H21" s="160" t="s">
        <v>237</v>
      </c>
      <c r="I21" s="160">
        <v>5.7941999999999994E-2</v>
      </c>
      <c r="J21" s="160">
        <v>2.2686753609843919E-2</v>
      </c>
      <c r="K21" s="160">
        <v>0.30047940163153847</v>
      </c>
      <c r="L21" s="160">
        <v>8.7039881125389074E-2</v>
      </c>
      <c r="M21" s="160">
        <v>0.19111278046705035</v>
      </c>
      <c r="N21" s="160">
        <v>0.21769615302333956</v>
      </c>
      <c r="O21" s="160">
        <v>0.27515485642472109</v>
      </c>
      <c r="P21" s="160">
        <v>0.38510719958290862</v>
      </c>
      <c r="Q21" s="160">
        <v>0.40671755304612728</v>
      </c>
      <c r="R21" s="160">
        <v>0.52424419664644495</v>
      </c>
      <c r="S21" s="160">
        <v>0.43093449990767935</v>
      </c>
      <c r="T21" s="160">
        <v>0.45568104231748402</v>
      </c>
      <c r="U21" s="160">
        <v>0.80568674894692816</v>
      </c>
      <c r="V21" s="160">
        <v>0.80623223731656679</v>
      </c>
    </row>
    <row r="22" spans="2:22" ht="14.4">
      <c r="B22" s="445">
        <v>18</v>
      </c>
      <c r="C22" s="159" t="s">
        <v>237</v>
      </c>
      <c r="D22" s="159" t="s">
        <v>237</v>
      </c>
      <c r="E22" s="159">
        <v>0</v>
      </c>
      <c r="F22" s="159">
        <v>1.3456000000000001E-2</v>
      </c>
      <c r="G22" s="159" t="s">
        <v>237</v>
      </c>
      <c r="H22" s="159" t="s">
        <v>237</v>
      </c>
      <c r="I22" s="159" t="s">
        <v>237</v>
      </c>
      <c r="J22" s="159">
        <v>2.2686753609843919E-2</v>
      </c>
      <c r="K22" s="159">
        <v>0.30047940163153847</v>
      </c>
      <c r="L22" s="159">
        <v>8.7039881125389074E-2</v>
      </c>
      <c r="M22" s="159">
        <v>0.20187098048683857</v>
      </c>
      <c r="N22" s="159">
        <v>0.21769615302333956</v>
      </c>
      <c r="O22" s="159">
        <v>0.27515485642472109</v>
      </c>
      <c r="P22" s="159">
        <v>0.38510719958290862</v>
      </c>
      <c r="Q22" s="159">
        <v>0.40671755304612728</v>
      </c>
      <c r="R22" s="159">
        <v>0.52424419664644495</v>
      </c>
      <c r="S22" s="159">
        <v>0.43093449990767935</v>
      </c>
      <c r="T22" s="159">
        <v>0.45568104231748402</v>
      </c>
      <c r="U22" s="159" t="s">
        <v>237</v>
      </c>
      <c r="V22" s="159">
        <v>0.80623223731656679</v>
      </c>
    </row>
    <row r="23" spans="2:22" ht="14.4">
      <c r="B23" s="445">
        <v>19</v>
      </c>
      <c r="C23" s="160" t="s">
        <v>237</v>
      </c>
      <c r="D23" s="160" t="s">
        <v>237</v>
      </c>
      <c r="E23" s="160">
        <v>0</v>
      </c>
      <c r="F23" s="160">
        <v>1.3456000000000001E-2</v>
      </c>
      <c r="G23" s="160" t="s">
        <v>237</v>
      </c>
      <c r="H23" s="160" t="s">
        <v>237</v>
      </c>
      <c r="I23" s="160" t="s">
        <v>237</v>
      </c>
      <c r="J23" s="160">
        <v>2.2686753609843919E-2</v>
      </c>
      <c r="K23" s="160" t="s">
        <v>237</v>
      </c>
      <c r="L23" s="160">
        <v>8.7039881125389074E-2</v>
      </c>
      <c r="M23" s="160">
        <v>0.20809638683904125</v>
      </c>
      <c r="N23" s="160">
        <v>0.21769615302333956</v>
      </c>
      <c r="O23" s="160">
        <v>0.27515485642472109</v>
      </c>
      <c r="P23" s="160">
        <v>0.38510719958290862</v>
      </c>
      <c r="Q23" s="160">
        <v>0.40671755304612728</v>
      </c>
      <c r="R23" s="160">
        <v>0.52424419664644495</v>
      </c>
      <c r="S23" s="160">
        <v>0.43093449990767935</v>
      </c>
      <c r="T23" s="160">
        <v>0.45568104231748402</v>
      </c>
      <c r="U23" s="160" t="s">
        <v>237</v>
      </c>
      <c r="V23" s="160" t="s">
        <v>237</v>
      </c>
    </row>
    <row r="24" spans="2:22" ht="14.4">
      <c r="B24" s="445">
        <v>20</v>
      </c>
      <c r="C24" s="159" t="s">
        <v>237</v>
      </c>
      <c r="D24" s="159" t="s">
        <v>237</v>
      </c>
      <c r="E24" s="159">
        <v>0</v>
      </c>
      <c r="F24" s="159">
        <v>1.3456000000000001E-2</v>
      </c>
      <c r="G24" s="159" t="s">
        <v>237</v>
      </c>
      <c r="H24" s="159" t="s">
        <v>237</v>
      </c>
      <c r="I24" s="159" t="s">
        <v>237</v>
      </c>
      <c r="J24" s="159">
        <v>2.2686753609843919E-2</v>
      </c>
      <c r="K24" s="159" t="s">
        <v>237</v>
      </c>
      <c r="L24" s="159">
        <v>8.7039881125389074E-2</v>
      </c>
      <c r="M24" s="159">
        <v>0.21561947116407035</v>
      </c>
      <c r="N24" s="159">
        <v>0.21769615302333956</v>
      </c>
      <c r="O24" s="159">
        <v>0.27515485642472109</v>
      </c>
      <c r="P24" s="159">
        <v>0.38510719958290862</v>
      </c>
      <c r="Q24" s="159">
        <v>0.40671755304612728</v>
      </c>
      <c r="R24" s="159">
        <v>0.52424419664644495</v>
      </c>
      <c r="S24" s="159">
        <v>0.43093449990767935</v>
      </c>
      <c r="T24" s="159">
        <v>0.47146629209027696</v>
      </c>
      <c r="U24" s="159" t="s">
        <v>237</v>
      </c>
      <c r="V24" s="159" t="s">
        <v>237</v>
      </c>
    </row>
    <row r="25" spans="2:22" ht="14.4">
      <c r="B25" s="445">
        <v>21</v>
      </c>
      <c r="C25" s="160" t="s">
        <v>237</v>
      </c>
      <c r="D25" s="160" t="s">
        <v>237</v>
      </c>
      <c r="E25" s="160">
        <v>0</v>
      </c>
      <c r="F25" s="160" t="s">
        <v>237</v>
      </c>
      <c r="G25" s="160" t="s">
        <v>237</v>
      </c>
      <c r="H25" s="160" t="s">
        <v>237</v>
      </c>
      <c r="I25" s="160" t="s">
        <v>237</v>
      </c>
      <c r="J25" s="160">
        <v>2.2686753609843919E-2</v>
      </c>
      <c r="K25" s="160" t="s">
        <v>237</v>
      </c>
      <c r="L25" s="160">
        <v>8.7039881125389074E-2</v>
      </c>
      <c r="M25" s="160">
        <v>0.22463984724568353</v>
      </c>
      <c r="N25" s="160">
        <v>0.21769615302333956</v>
      </c>
      <c r="O25" s="160">
        <v>0.27515485642472109</v>
      </c>
      <c r="P25" s="160">
        <v>0.38510719958290862</v>
      </c>
      <c r="Q25" s="160">
        <v>0.40671755304612728</v>
      </c>
      <c r="R25" s="160">
        <v>0.52424419664644495</v>
      </c>
      <c r="S25" s="160">
        <v>0.43093449990767935</v>
      </c>
      <c r="T25" s="160">
        <v>0.49033494546265405</v>
      </c>
      <c r="U25" s="160" t="s">
        <v>237</v>
      </c>
      <c r="V25" s="160" t="s">
        <v>237</v>
      </c>
    </row>
    <row r="26" spans="2:22" ht="14.4">
      <c r="B26" s="445">
        <v>22</v>
      </c>
      <c r="C26" s="159" t="s">
        <v>237</v>
      </c>
      <c r="D26" s="159" t="s">
        <v>237</v>
      </c>
      <c r="E26" s="159" t="s">
        <v>237</v>
      </c>
      <c r="F26" s="159" t="s">
        <v>237</v>
      </c>
      <c r="G26" s="159" t="s">
        <v>237</v>
      </c>
      <c r="H26" s="159" t="s">
        <v>237</v>
      </c>
      <c r="I26" s="159" t="s">
        <v>237</v>
      </c>
      <c r="J26" s="159">
        <v>2.2686753609843919E-2</v>
      </c>
      <c r="K26" s="159" t="s">
        <v>237</v>
      </c>
      <c r="L26" s="159">
        <v>8.7039881125389074E-2</v>
      </c>
      <c r="M26" s="159">
        <v>0.23588256946062111</v>
      </c>
      <c r="N26" s="159">
        <v>0.21769615302333956</v>
      </c>
      <c r="O26" s="159">
        <v>0.27515485642472109</v>
      </c>
      <c r="P26" s="159">
        <v>0.38510719958290862</v>
      </c>
      <c r="Q26" s="159">
        <v>0.40671755304612728</v>
      </c>
      <c r="R26" s="159">
        <v>0.52424419664644495</v>
      </c>
      <c r="S26" s="159">
        <v>0.43093449990767935</v>
      </c>
      <c r="T26" s="159">
        <v>0.51352470544410334</v>
      </c>
      <c r="U26" s="159" t="s">
        <v>237</v>
      </c>
      <c r="V26" s="159" t="s">
        <v>237</v>
      </c>
    </row>
    <row r="27" spans="2:22" ht="14.4">
      <c r="B27" s="445">
        <v>23</v>
      </c>
      <c r="C27" s="160" t="s">
        <v>237</v>
      </c>
      <c r="D27" s="160" t="s">
        <v>237</v>
      </c>
      <c r="E27" s="160" t="s">
        <v>237</v>
      </c>
      <c r="F27" s="160" t="s">
        <v>237</v>
      </c>
      <c r="G27" s="160" t="s">
        <v>237</v>
      </c>
      <c r="H27" s="160" t="s">
        <v>237</v>
      </c>
      <c r="I27" s="160" t="s">
        <v>237</v>
      </c>
      <c r="J27" s="160">
        <v>2.2686753609843919E-2</v>
      </c>
      <c r="K27" s="160" t="s">
        <v>237</v>
      </c>
      <c r="L27" s="160">
        <v>8.7039881125389074E-2</v>
      </c>
      <c r="M27" s="160">
        <v>0.24986591843949174</v>
      </c>
      <c r="N27" s="160">
        <v>0.21769615302333956</v>
      </c>
      <c r="O27" s="160">
        <v>0.27515485642472109</v>
      </c>
      <c r="P27" s="160">
        <v>0.38510719958290862</v>
      </c>
      <c r="Q27" s="160">
        <v>0.40671755304612728</v>
      </c>
      <c r="R27" s="160" t="s">
        <v>237</v>
      </c>
      <c r="S27" s="160">
        <v>0.43093449990767935</v>
      </c>
      <c r="T27" s="160">
        <v>0.54392941135384687</v>
      </c>
      <c r="U27" s="160" t="s">
        <v>237</v>
      </c>
      <c r="V27" s="160" t="s">
        <v>237</v>
      </c>
    </row>
    <row r="28" spans="2:22" ht="14.4">
      <c r="B28" s="445">
        <v>24</v>
      </c>
      <c r="C28" s="159" t="s">
        <v>237</v>
      </c>
      <c r="D28" s="159" t="s">
        <v>237</v>
      </c>
      <c r="E28" s="159" t="s">
        <v>237</v>
      </c>
      <c r="F28" s="159" t="s">
        <v>237</v>
      </c>
      <c r="G28" s="159" t="s">
        <v>237</v>
      </c>
      <c r="H28" s="159" t="s">
        <v>237</v>
      </c>
      <c r="I28" s="159" t="s">
        <v>237</v>
      </c>
      <c r="J28" s="159">
        <v>2.2686753609843919E-2</v>
      </c>
      <c r="K28" s="159" t="s">
        <v>237</v>
      </c>
      <c r="L28" s="159">
        <v>8.7039881125389074E-2</v>
      </c>
      <c r="M28" s="159">
        <v>0.24986591843949174</v>
      </c>
      <c r="N28" s="159" t="s">
        <v>237</v>
      </c>
      <c r="O28" s="159">
        <v>0.27515485642472109</v>
      </c>
      <c r="P28" s="159">
        <v>0.38510719958290862</v>
      </c>
      <c r="Q28" s="159">
        <v>0.40671755304612728</v>
      </c>
      <c r="R28" s="159" t="s">
        <v>237</v>
      </c>
      <c r="S28" s="159">
        <v>0.43093449990767935</v>
      </c>
      <c r="T28" s="159">
        <v>0.58041505844553909</v>
      </c>
      <c r="U28" s="159" t="s">
        <v>237</v>
      </c>
      <c r="V28" s="159" t="s">
        <v>237</v>
      </c>
    </row>
    <row r="29" spans="2:22" ht="14.4">
      <c r="B29" s="445">
        <v>25</v>
      </c>
      <c r="C29" s="160" t="s">
        <v>237</v>
      </c>
      <c r="D29" s="160" t="s">
        <v>237</v>
      </c>
      <c r="E29" s="160" t="s">
        <v>237</v>
      </c>
      <c r="F29" s="160" t="s">
        <v>237</v>
      </c>
      <c r="G29" s="160" t="s">
        <v>237</v>
      </c>
      <c r="H29" s="160" t="s">
        <v>237</v>
      </c>
      <c r="I29" s="160" t="s">
        <v>237</v>
      </c>
      <c r="J29" s="160" t="s">
        <v>237</v>
      </c>
      <c r="K29" s="160" t="s">
        <v>237</v>
      </c>
      <c r="L29" s="160">
        <v>8.7039881125389074E-2</v>
      </c>
      <c r="M29" s="160">
        <v>0.24986591843949174</v>
      </c>
      <c r="N29" s="160" t="s">
        <v>237</v>
      </c>
      <c r="O29" s="160" t="s">
        <v>237</v>
      </c>
      <c r="P29" s="160">
        <v>0.38510719958290862</v>
      </c>
      <c r="Q29" s="160">
        <v>0.40671755304612728</v>
      </c>
      <c r="R29" s="160" t="s">
        <v>237</v>
      </c>
      <c r="S29" s="160">
        <v>0.43093449990767935</v>
      </c>
      <c r="T29" s="160">
        <v>0.62459735279122386</v>
      </c>
      <c r="U29" s="160" t="s">
        <v>237</v>
      </c>
      <c r="V29" s="160" t="s">
        <v>237</v>
      </c>
    </row>
    <row r="30" spans="2:22" ht="14.4">
      <c r="B30" s="445">
        <v>26</v>
      </c>
      <c r="C30" s="159" t="s">
        <v>237</v>
      </c>
      <c r="D30" s="159" t="s">
        <v>237</v>
      </c>
      <c r="E30" s="159" t="s">
        <v>237</v>
      </c>
      <c r="F30" s="159" t="s">
        <v>237</v>
      </c>
      <c r="G30" s="159" t="s">
        <v>237</v>
      </c>
      <c r="H30" s="159" t="s">
        <v>237</v>
      </c>
      <c r="I30" s="159" t="s">
        <v>237</v>
      </c>
      <c r="J30" s="159" t="s">
        <v>237</v>
      </c>
      <c r="K30" s="159" t="s">
        <v>237</v>
      </c>
      <c r="L30" s="159">
        <v>8.7039881125389074E-2</v>
      </c>
      <c r="M30" s="159">
        <v>0.24986591843949174</v>
      </c>
      <c r="N30" s="159" t="s">
        <v>237</v>
      </c>
      <c r="O30" s="159" t="s">
        <v>237</v>
      </c>
      <c r="P30" s="159">
        <v>0.38510719958290862</v>
      </c>
      <c r="Q30" s="159">
        <v>0.40671755304612728</v>
      </c>
      <c r="R30" s="159" t="s">
        <v>237</v>
      </c>
      <c r="S30" s="159" t="s">
        <v>237</v>
      </c>
      <c r="T30" s="159">
        <v>0.67463852566415372</v>
      </c>
      <c r="U30" s="159" t="s">
        <v>237</v>
      </c>
      <c r="V30" s="159" t="s">
        <v>237</v>
      </c>
    </row>
    <row r="31" spans="2:22" ht="14.4">
      <c r="B31" s="445">
        <v>27</v>
      </c>
      <c r="C31" s="160" t="s">
        <v>237</v>
      </c>
      <c r="D31" s="160" t="s">
        <v>237</v>
      </c>
      <c r="E31" s="160" t="s">
        <v>237</v>
      </c>
      <c r="F31" s="160" t="s">
        <v>237</v>
      </c>
      <c r="G31" s="160" t="s">
        <v>237</v>
      </c>
      <c r="H31" s="160" t="s">
        <v>237</v>
      </c>
      <c r="I31" s="160" t="s">
        <v>237</v>
      </c>
      <c r="J31" s="160" t="s">
        <v>237</v>
      </c>
      <c r="K31" s="160" t="s">
        <v>237</v>
      </c>
      <c r="L31" s="160">
        <v>8.7039881125389074E-2</v>
      </c>
      <c r="M31" s="160">
        <v>0.24986591843949174</v>
      </c>
      <c r="N31" s="160" t="s">
        <v>237</v>
      </c>
      <c r="O31" s="160" t="s">
        <v>237</v>
      </c>
      <c r="P31" s="160">
        <v>0.38510719958290862</v>
      </c>
      <c r="Q31" s="160" t="s">
        <v>237</v>
      </c>
      <c r="R31" s="160" t="s">
        <v>237</v>
      </c>
      <c r="S31" s="160" t="s">
        <v>237</v>
      </c>
      <c r="T31" s="160">
        <v>0.73378924169841053</v>
      </c>
      <c r="U31" s="160" t="s">
        <v>237</v>
      </c>
      <c r="V31" s="160" t="s">
        <v>237</v>
      </c>
    </row>
    <row r="32" spans="2:22" ht="14.4">
      <c r="B32" s="445">
        <v>28</v>
      </c>
      <c r="C32" s="159" t="s">
        <v>237</v>
      </c>
      <c r="D32" s="159" t="s">
        <v>237</v>
      </c>
      <c r="E32" s="159" t="s">
        <v>237</v>
      </c>
      <c r="F32" s="159" t="s">
        <v>237</v>
      </c>
      <c r="G32" s="159" t="s">
        <v>237</v>
      </c>
      <c r="H32" s="159" t="s">
        <v>237</v>
      </c>
      <c r="I32" s="159" t="s">
        <v>237</v>
      </c>
      <c r="J32" s="159" t="s">
        <v>237</v>
      </c>
      <c r="K32" s="159" t="s">
        <v>237</v>
      </c>
      <c r="L32" s="159">
        <v>8.7039881125389074E-2</v>
      </c>
      <c r="M32" s="159">
        <v>0.24986591843949174</v>
      </c>
      <c r="N32" s="159" t="s">
        <v>237</v>
      </c>
      <c r="O32" s="159" t="s">
        <v>237</v>
      </c>
      <c r="P32" s="159">
        <v>0.38510719958290862</v>
      </c>
      <c r="Q32" s="159" t="s">
        <v>237</v>
      </c>
      <c r="R32" s="159" t="s">
        <v>237</v>
      </c>
      <c r="S32" s="159" t="s">
        <v>237</v>
      </c>
      <c r="T32" s="159">
        <v>0.73378924169841053</v>
      </c>
      <c r="U32" s="159" t="s">
        <v>237</v>
      </c>
      <c r="V32" s="159" t="s">
        <v>237</v>
      </c>
    </row>
    <row r="33" spans="2:22" ht="14.4">
      <c r="B33" s="445">
        <v>29</v>
      </c>
      <c r="C33" s="160" t="s">
        <v>237</v>
      </c>
      <c r="D33" s="160" t="s">
        <v>237</v>
      </c>
      <c r="E33" s="160" t="s">
        <v>237</v>
      </c>
      <c r="F33" s="160" t="s">
        <v>237</v>
      </c>
      <c r="G33" s="160" t="s">
        <v>237</v>
      </c>
      <c r="H33" s="160" t="s">
        <v>237</v>
      </c>
      <c r="I33" s="160" t="s">
        <v>237</v>
      </c>
      <c r="J33" s="160" t="s">
        <v>237</v>
      </c>
      <c r="K33" s="160" t="s">
        <v>237</v>
      </c>
      <c r="L33" s="160">
        <v>8.7039881125389074E-2</v>
      </c>
      <c r="M33" s="160">
        <v>0.24986591843949174</v>
      </c>
      <c r="N33" s="160" t="s">
        <v>237</v>
      </c>
      <c r="O33" s="160" t="s">
        <v>237</v>
      </c>
      <c r="P33" s="160">
        <v>0.38510719958290862</v>
      </c>
      <c r="Q33" s="160" t="s">
        <v>237</v>
      </c>
      <c r="R33" s="160" t="s">
        <v>237</v>
      </c>
      <c r="S33" s="160" t="s">
        <v>237</v>
      </c>
      <c r="T33" s="160">
        <v>0.73378924169841053</v>
      </c>
      <c r="U33" s="160" t="s">
        <v>237</v>
      </c>
      <c r="V33" s="160" t="s">
        <v>237</v>
      </c>
    </row>
    <row r="34" spans="2:22" ht="14.4">
      <c r="B34" s="445">
        <v>30</v>
      </c>
      <c r="C34" s="159" t="s">
        <v>237</v>
      </c>
      <c r="D34" s="159" t="s">
        <v>237</v>
      </c>
      <c r="E34" s="159" t="s">
        <v>237</v>
      </c>
      <c r="F34" s="159" t="s">
        <v>237</v>
      </c>
      <c r="G34" s="159" t="s">
        <v>237</v>
      </c>
      <c r="H34" s="159" t="s">
        <v>237</v>
      </c>
      <c r="I34" s="159" t="s">
        <v>237</v>
      </c>
      <c r="J34" s="159" t="s">
        <v>237</v>
      </c>
      <c r="K34" s="159" t="s">
        <v>237</v>
      </c>
      <c r="L34" s="159" t="s">
        <v>237</v>
      </c>
      <c r="M34" s="159">
        <v>0.24986591843949174</v>
      </c>
      <c r="N34" s="159" t="s">
        <v>237</v>
      </c>
      <c r="O34" s="159" t="s">
        <v>237</v>
      </c>
      <c r="P34" s="159" t="s">
        <v>237</v>
      </c>
      <c r="Q34" s="159" t="s">
        <v>237</v>
      </c>
      <c r="R34" s="159" t="s">
        <v>237</v>
      </c>
      <c r="S34" s="159" t="s">
        <v>237</v>
      </c>
      <c r="T34" s="159">
        <v>0.73378924169841053</v>
      </c>
      <c r="U34" s="159" t="s">
        <v>237</v>
      </c>
      <c r="V34" s="159" t="s">
        <v>237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0B4D-8C20-4BC8-A61C-7312E98DCCE7}">
  <dimension ref="B1:O18"/>
  <sheetViews>
    <sheetView topLeftCell="A4" workbookViewId="0">
      <selection activeCell="A4" sqref="A4"/>
    </sheetView>
  </sheetViews>
  <sheetFormatPr defaultColWidth="9.296875" defaultRowHeight="14.4" outlineLevelRow="1"/>
  <cols>
    <col min="1" max="1" width="3.296875" style="3" customWidth="1"/>
    <col min="2" max="2" width="29.69921875" style="3" customWidth="1"/>
    <col min="3" max="5" width="10.296875" style="3" customWidth="1"/>
    <col min="6" max="6" width="11.69921875" style="3" customWidth="1"/>
    <col min="7" max="11" width="10.296875" style="3" customWidth="1"/>
    <col min="12" max="12" width="11.69921875" style="3" customWidth="1"/>
    <col min="13" max="15" width="13.59765625" style="3" hidden="1" customWidth="1"/>
    <col min="16" max="18" width="13.59765625" style="3" customWidth="1"/>
    <col min="19" max="16384" width="9.296875" style="3"/>
  </cols>
  <sheetData>
    <row r="1" spans="2:15" hidden="1">
      <c r="E1" s="3" t="s">
        <v>347</v>
      </c>
      <c r="F1" s="3" t="str">
        <f>H7&amp;" to "&amp;J7</f>
        <v>25th percentile to 75th percentile</v>
      </c>
    </row>
    <row r="2" spans="2:15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401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378" t="s">
        <v>99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</row>
    <row r="8" spans="2:15" ht="15" customHeight="1">
      <c r="B8" s="376" t="s">
        <v>76</v>
      </c>
      <c r="C8" s="76">
        <v>137</v>
      </c>
      <c r="D8" s="76">
        <v>2200.4819894202046</v>
      </c>
      <c r="E8" s="448">
        <v>0.70715370118981835</v>
      </c>
      <c r="F8" s="131">
        <v>0</v>
      </c>
      <c r="G8" s="131">
        <v>0.14205356434840219</v>
      </c>
      <c r="H8" s="131">
        <v>0.45153072138017641</v>
      </c>
      <c r="I8" s="448">
        <v>0.89201074776141698</v>
      </c>
      <c r="J8" s="131">
        <v>0.99190140834245943</v>
      </c>
      <c r="K8" s="131">
        <v>1</v>
      </c>
      <c r="L8" s="131">
        <v>1</v>
      </c>
      <c r="M8" s="3">
        <f t="shared" ref="M8" si="0">IF(ISERROR(L8),IF(N8="Grey",2,1),0)</f>
        <v>0</v>
      </c>
      <c r="O8" s="45" t="s">
        <v>179</v>
      </c>
    </row>
    <row r="9" spans="2:15" ht="15" customHeight="1">
      <c r="B9" s="377" t="s">
        <v>77</v>
      </c>
      <c r="C9" s="74">
        <v>523</v>
      </c>
      <c r="D9" s="74">
        <v>8654.848527780201</v>
      </c>
      <c r="E9" s="449">
        <v>0.72183591815073622</v>
      </c>
      <c r="F9" s="198">
        <v>0</v>
      </c>
      <c r="G9" s="198">
        <v>0.1557304491058745</v>
      </c>
      <c r="H9" s="198">
        <v>0.50397192382592326</v>
      </c>
      <c r="I9" s="449">
        <v>0.8653042758016154</v>
      </c>
      <c r="J9" s="198">
        <v>0.98270408435285139</v>
      </c>
      <c r="K9" s="198">
        <v>1</v>
      </c>
      <c r="L9" s="198">
        <v>1</v>
      </c>
      <c r="M9" s="3">
        <f>IF(ISERROR(L9),IF(N9="Grey",2,1),0)</f>
        <v>0</v>
      </c>
      <c r="N9" s="3" t="s">
        <v>101</v>
      </c>
      <c r="O9" s="45" t="s">
        <v>100</v>
      </c>
    </row>
    <row r="10" spans="2:15" ht="15" customHeight="1">
      <c r="B10" s="376" t="s">
        <v>78</v>
      </c>
      <c r="C10" s="76">
        <v>325</v>
      </c>
      <c r="D10" s="76">
        <v>6321.3098971850768</v>
      </c>
      <c r="E10" s="448">
        <v>0.67865355593701104</v>
      </c>
      <c r="F10" s="131">
        <v>0</v>
      </c>
      <c r="G10" s="131">
        <v>5.7662031210197973E-2</v>
      </c>
      <c r="H10" s="131">
        <v>0.3745258399075021</v>
      </c>
      <c r="I10" s="448">
        <v>0.83945679924923466</v>
      </c>
      <c r="J10" s="131">
        <v>0.9986056370215064</v>
      </c>
      <c r="K10" s="131">
        <v>1</v>
      </c>
      <c r="L10" s="131">
        <v>1</v>
      </c>
      <c r="M10" s="3">
        <f t="shared" ref="M10:M14" si="1">IF(ISERROR(L10),IF(N10="Grey",2,1),0)</f>
        <v>0</v>
      </c>
      <c r="O10" s="45" t="s">
        <v>180</v>
      </c>
    </row>
    <row r="11" spans="2:15" ht="15" customHeight="1">
      <c r="B11" s="402" t="s">
        <v>102</v>
      </c>
      <c r="C11" s="74">
        <v>110</v>
      </c>
      <c r="D11" s="74">
        <v>2284.0230522486168</v>
      </c>
      <c r="E11" s="449">
        <v>0.71731271945428687</v>
      </c>
      <c r="F11" s="198">
        <v>0</v>
      </c>
      <c r="G11" s="198">
        <v>0.1672016129636224</v>
      </c>
      <c r="H11" s="198">
        <v>0.42961298153826499</v>
      </c>
      <c r="I11" s="449">
        <v>0.93217759695571967</v>
      </c>
      <c r="J11" s="198">
        <v>1</v>
      </c>
      <c r="K11" s="198">
        <v>1</v>
      </c>
      <c r="L11" s="198">
        <v>1</v>
      </c>
      <c r="M11" s="3">
        <f t="shared" si="1"/>
        <v>0</v>
      </c>
      <c r="N11" s="3" t="s">
        <v>101</v>
      </c>
      <c r="O11" s="45" t="s">
        <v>181</v>
      </c>
    </row>
    <row r="12" spans="2:15" ht="15" hidden="1" customHeight="1" outlineLevel="1">
      <c r="B12" s="376" t="s">
        <v>103</v>
      </c>
      <c r="C12" s="76" t="e">
        <v>#N/A</v>
      </c>
      <c r="D12" s="76" t="e">
        <v>#N/A</v>
      </c>
      <c r="E12" s="448" t="e">
        <v>#N/A</v>
      </c>
      <c r="F12" s="131" t="e">
        <v>#N/A</v>
      </c>
      <c r="G12" s="131" t="e">
        <v>#N/A</v>
      </c>
      <c r="H12" s="131" t="e">
        <v>#N/A</v>
      </c>
      <c r="I12" s="448" t="e">
        <v>#N/A</v>
      </c>
      <c r="J12" s="131" t="e">
        <v>#N/A</v>
      </c>
      <c r="K12" s="131" t="e">
        <v>#N/A</v>
      </c>
      <c r="L12" s="131" t="e">
        <v>#N/A</v>
      </c>
      <c r="M12" s="3">
        <f t="shared" si="1"/>
        <v>1</v>
      </c>
      <c r="O12" s="3" t="s">
        <v>103</v>
      </c>
    </row>
    <row r="13" spans="2:15" ht="15" customHeight="1" collapsed="1">
      <c r="B13" s="376" t="s">
        <v>80</v>
      </c>
      <c r="C13" s="76">
        <v>130</v>
      </c>
      <c r="D13" s="76">
        <v>2395.4729099766114</v>
      </c>
      <c r="E13" s="448">
        <v>0.72076528762131487</v>
      </c>
      <c r="F13" s="131">
        <v>0</v>
      </c>
      <c r="G13" s="131">
        <v>3.408979468426588E-2</v>
      </c>
      <c r="H13" s="131">
        <v>0.48359631313688523</v>
      </c>
      <c r="I13" s="448">
        <v>0.93926146112356235</v>
      </c>
      <c r="J13" s="131">
        <v>1</v>
      </c>
      <c r="K13" s="131">
        <v>1</v>
      </c>
      <c r="L13" s="131">
        <v>1</v>
      </c>
      <c r="M13" s="3">
        <f t="shared" si="1"/>
        <v>0</v>
      </c>
      <c r="O13" s="3" t="s">
        <v>80</v>
      </c>
    </row>
    <row r="14" spans="2:15" ht="15" customHeight="1">
      <c r="B14" s="377" t="s">
        <v>81</v>
      </c>
      <c r="C14" s="74">
        <v>543</v>
      </c>
      <c r="D14" s="74">
        <v>5154.5384117227495</v>
      </c>
      <c r="E14" s="449">
        <v>0.78377919836613519</v>
      </c>
      <c r="F14" s="198">
        <v>0</v>
      </c>
      <c r="G14" s="198">
        <v>0.14133262721718129</v>
      </c>
      <c r="H14" s="198">
        <v>0.65456767423403428</v>
      </c>
      <c r="I14" s="449">
        <v>0.97843639769865709</v>
      </c>
      <c r="J14" s="198">
        <v>0.99999672817746244</v>
      </c>
      <c r="K14" s="198">
        <v>1</v>
      </c>
      <c r="L14" s="198">
        <v>1</v>
      </c>
      <c r="M14" s="3">
        <f t="shared" si="1"/>
        <v>0</v>
      </c>
      <c r="N14" s="3" t="s">
        <v>101</v>
      </c>
      <c r="O14" s="45" t="s">
        <v>182</v>
      </c>
    </row>
    <row r="15" spans="2:15" ht="15" hidden="1" customHeight="1" outlineLevel="1" thickBot="1">
      <c r="B15" s="376" t="s">
        <v>104</v>
      </c>
      <c r="C15" s="76">
        <v>33</v>
      </c>
      <c r="D15" s="76">
        <v>439.15832909629171</v>
      </c>
      <c r="E15" s="448">
        <v>0.6179681930826566</v>
      </c>
      <c r="F15" s="131">
        <v>0</v>
      </c>
      <c r="G15" s="131">
        <v>5.9437211670087548E-3</v>
      </c>
      <c r="H15" s="131">
        <v>6.5577365743518676E-2</v>
      </c>
      <c r="I15" s="448">
        <v>0.76120874999999633</v>
      </c>
      <c r="J15" s="131">
        <v>0.94455735817700548</v>
      </c>
      <c r="K15" s="131">
        <v>0.99981474291169437</v>
      </c>
      <c r="L15" s="131">
        <v>1</v>
      </c>
      <c r="N15" s="3" t="s">
        <v>82</v>
      </c>
      <c r="O15" s="3" t="s">
        <v>82</v>
      </c>
    </row>
    <row r="16" spans="2:15" s="17" customFormat="1" ht="21" customHeight="1" collapsed="1">
      <c r="B16" s="392" t="s">
        <v>105</v>
      </c>
      <c r="C16" s="393">
        <v>1801</v>
      </c>
      <c r="D16" s="393">
        <v>27449.833117429749</v>
      </c>
      <c r="E16" s="450">
        <v>0.72934569103311975</v>
      </c>
      <c r="F16" s="450">
        <v>0</v>
      </c>
      <c r="G16" s="450">
        <v>0.1113689440293414</v>
      </c>
      <c r="H16" s="450">
        <v>0.50618334346212235</v>
      </c>
      <c r="I16" s="450">
        <v>0.91081310600256249</v>
      </c>
      <c r="J16" s="450">
        <v>0.99822109295292116</v>
      </c>
      <c r="K16" s="450">
        <v>1</v>
      </c>
      <c r="L16" s="450">
        <v>1</v>
      </c>
      <c r="N16" s="48"/>
    </row>
    <row r="18" spans="2:2">
      <c r="B18" s="36" t="s">
        <v>402</v>
      </c>
    </row>
  </sheetData>
  <mergeCells count="1">
    <mergeCell ref="B5:L5"/>
  </mergeCells>
  <conditionalFormatting sqref="C8:L15">
    <cfRule type="expression" dxfId="24" priority="1">
      <formula>$M8=2</formula>
    </cfRule>
    <cfRule type="expression" dxfId="23" priority="2">
      <formula>$M8=1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027A-432A-408A-AF73-2D310637A497}">
  <dimension ref="B2:H38"/>
  <sheetViews>
    <sheetView workbookViewId="0"/>
  </sheetViews>
  <sheetFormatPr defaultRowHeight="13.8"/>
  <cols>
    <col min="2" max="2" width="11.69921875" style="92" customWidth="1"/>
    <col min="3" max="8" width="14" customWidth="1"/>
  </cols>
  <sheetData>
    <row r="2" spans="2:8">
      <c r="B2" s="158" t="s">
        <v>403</v>
      </c>
    </row>
    <row r="3" spans="2:8" ht="14.4" thickBot="1"/>
    <row r="4" spans="2:8" ht="37.950000000000003" customHeight="1" thickBot="1">
      <c r="B4" s="104"/>
      <c r="C4" s="2" t="s">
        <v>108</v>
      </c>
      <c r="D4" s="100" t="s">
        <v>109</v>
      </c>
      <c r="E4" s="100" t="s">
        <v>110</v>
      </c>
      <c r="F4" s="100" t="s">
        <v>103</v>
      </c>
      <c r="G4" s="100" t="s">
        <v>111</v>
      </c>
      <c r="H4" s="1" t="s">
        <v>112</v>
      </c>
    </row>
    <row r="5" spans="2:8" hidden="1">
      <c r="B5" s="105"/>
      <c r="C5" s="101"/>
      <c r="D5" s="99"/>
      <c r="E5" s="99"/>
      <c r="F5" s="99"/>
      <c r="G5" s="99"/>
      <c r="H5" s="108"/>
    </row>
    <row r="6" spans="2:8">
      <c r="B6" s="106" t="s">
        <v>28</v>
      </c>
      <c r="C6" s="161">
        <v>576</v>
      </c>
      <c r="D6" s="162">
        <v>394</v>
      </c>
      <c r="E6" s="162">
        <v>447</v>
      </c>
      <c r="F6" s="162">
        <v>147</v>
      </c>
      <c r="G6" s="162" t="s">
        <v>237</v>
      </c>
      <c r="H6" s="163">
        <v>154</v>
      </c>
    </row>
    <row r="7" spans="2:8" ht="41.4">
      <c r="B7" s="114" t="s">
        <v>16</v>
      </c>
      <c r="C7" s="334">
        <v>0.78276727392852019</v>
      </c>
      <c r="D7" s="290">
        <v>0.72501893104281823</v>
      </c>
      <c r="E7" s="290">
        <v>0.72208825304222524</v>
      </c>
      <c r="F7" s="290">
        <v>0.68690368361861942</v>
      </c>
      <c r="G7" s="290" t="s">
        <v>237</v>
      </c>
      <c r="H7" s="291">
        <v>0.69676321652580664</v>
      </c>
    </row>
    <row r="8" spans="2:8">
      <c r="B8" s="106">
        <v>1994</v>
      </c>
      <c r="C8" s="292">
        <v>0.79617411619938516</v>
      </c>
      <c r="D8" s="293">
        <v>0.31242456246273742</v>
      </c>
      <c r="E8" s="293">
        <v>0.3760258296320364</v>
      </c>
      <c r="F8" s="293">
        <v>0.9598154270082484</v>
      </c>
      <c r="G8" s="293" t="s">
        <v>237</v>
      </c>
      <c r="H8" s="294">
        <v>1</v>
      </c>
    </row>
    <row r="9" spans="2:8">
      <c r="B9" s="165">
        <v>1995</v>
      </c>
      <c r="C9" s="295">
        <v>0.2055744464965395</v>
      </c>
      <c r="D9" s="296">
        <v>0.20939298345899479</v>
      </c>
      <c r="E9" s="296">
        <v>0.93520311967379199</v>
      </c>
      <c r="F9" s="296" t="s">
        <v>237</v>
      </c>
      <c r="G9" s="296" t="s">
        <v>237</v>
      </c>
      <c r="H9" s="297">
        <v>0.91932809891247014</v>
      </c>
    </row>
    <row r="10" spans="2:8">
      <c r="B10" s="106">
        <v>1996</v>
      </c>
      <c r="C10" s="292">
        <v>0.72603445962801438</v>
      </c>
      <c r="D10" s="293">
        <v>0.70419382019669186</v>
      </c>
      <c r="E10" s="293">
        <v>0.46870029523078122</v>
      </c>
      <c r="F10" s="293" t="s">
        <v>237</v>
      </c>
      <c r="G10" s="293" t="s">
        <v>237</v>
      </c>
      <c r="H10" s="294">
        <v>0.27421667109277881</v>
      </c>
    </row>
    <row r="11" spans="2:8">
      <c r="B11" s="165">
        <v>1997</v>
      </c>
      <c r="C11" s="295">
        <v>0.59108170675060012</v>
      </c>
      <c r="D11" s="296">
        <v>0.50649886275760492</v>
      </c>
      <c r="E11" s="296">
        <v>0.81191631157129351</v>
      </c>
      <c r="F11" s="296">
        <v>0.99650317336139949</v>
      </c>
      <c r="G11" s="296" t="s">
        <v>237</v>
      </c>
      <c r="H11" s="297">
        <v>0.39165085156560059</v>
      </c>
    </row>
    <row r="12" spans="2:8">
      <c r="B12" s="106">
        <v>1998</v>
      </c>
      <c r="C12" s="292">
        <v>0.89233284744826891</v>
      </c>
      <c r="D12" s="293">
        <v>0.77571468187321857</v>
      </c>
      <c r="E12" s="293">
        <v>0.66866501207695783</v>
      </c>
      <c r="F12" s="293">
        <v>0.679920075330681</v>
      </c>
      <c r="G12" s="293" t="s">
        <v>237</v>
      </c>
      <c r="H12" s="294">
        <v>0.61383380292442336</v>
      </c>
    </row>
    <row r="13" spans="2:8">
      <c r="B13" s="165">
        <v>1999</v>
      </c>
      <c r="C13" s="295">
        <v>0.80735377197841496</v>
      </c>
      <c r="D13" s="296">
        <v>0.93114327403739694</v>
      </c>
      <c r="E13" s="296">
        <v>0.7798053350371621</v>
      </c>
      <c r="F13" s="296" t="s">
        <v>237</v>
      </c>
      <c r="G13" s="296" t="s">
        <v>237</v>
      </c>
      <c r="H13" s="297">
        <v>0.22133036613747831</v>
      </c>
    </row>
    <row r="14" spans="2:8">
      <c r="B14" s="106">
        <v>2000</v>
      </c>
      <c r="C14" s="292">
        <v>0.89336250065788203</v>
      </c>
      <c r="D14" s="293">
        <v>0.55953513728582882</v>
      </c>
      <c r="E14" s="293">
        <v>0.59334211006384407</v>
      </c>
      <c r="F14" s="293">
        <v>0.6375086927051492</v>
      </c>
      <c r="G14" s="293" t="s">
        <v>237</v>
      </c>
      <c r="H14" s="294">
        <v>0.2199561653837338</v>
      </c>
    </row>
    <row r="15" spans="2:8">
      <c r="B15" s="165">
        <v>2001</v>
      </c>
      <c r="C15" s="295">
        <v>0.78316333750930545</v>
      </c>
      <c r="D15" s="296">
        <v>0.70783152852356179</v>
      </c>
      <c r="E15" s="296">
        <v>0.73737666672305602</v>
      </c>
      <c r="F15" s="296">
        <v>0.79806244449444574</v>
      </c>
      <c r="G15" s="296" t="s">
        <v>237</v>
      </c>
      <c r="H15" s="297">
        <v>9.1358875417572566E-2</v>
      </c>
    </row>
    <row r="16" spans="2:8">
      <c r="B16" s="106">
        <v>2002</v>
      </c>
      <c r="C16" s="292">
        <v>0.72478784373731475</v>
      </c>
      <c r="D16" s="293">
        <v>0.71598277083509854</v>
      </c>
      <c r="E16" s="293">
        <v>0.54940529901546853</v>
      </c>
      <c r="F16" s="293">
        <v>0.8028920232710115</v>
      </c>
      <c r="G16" s="293" t="s">
        <v>237</v>
      </c>
      <c r="H16" s="294">
        <v>0.76733885912930133</v>
      </c>
    </row>
    <row r="17" spans="2:8">
      <c r="B17" s="165">
        <v>2003</v>
      </c>
      <c r="C17" s="295">
        <v>0.89913074004285842</v>
      </c>
      <c r="D17" s="296">
        <v>0.83134381906122434</v>
      </c>
      <c r="E17" s="296">
        <v>0.73434667296020073</v>
      </c>
      <c r="F17" s="296">
        <v>0.85312846199612691</v>
      </c>
      <c r="G17" s="296" t="s">
        <v>237</v>
      </c>
      <c r="H17" s="297">
        <v>0.92358869577248592</v>
      </c>
    </row>
    <row r="18" spans="2:8">
      <c r="B18" s="106">
        <v>2004</v>
      </c>
      <c r="C18" s="292">
        <v>0.7416936793469785</v>
      </c>
      <c r="D18" s="293">
        <v>0.80622429150090769</v>
      </c>
      <c r="E18" s="293">
        <v>0.9923362214123278</v>
      </c>
      <c r="F18" s="293">
        <v>0.72483515432534396</v>
      </c>
      <c r="G18" s="293" t="s">
        <v>237</v>
      </c>
      <c r="H18" s="294">
        <v>0.67840913401549563</v>
      </c>
    </row>
    <row r="19" spans="2:8">
      <c r="B19" s="165">
        <v>2005</v>
      </c>
      <c r="C19" s="295">
        <v>0.68621353642700045</v>
      </c>
      <c r="D19" s="296">
        <v>0.62800674881741125</v>
      </c>
      <c r="E19" s="296">
        <v>0.86844557703862391</v>
      </c>
      <c r="F19" s="296" t="s">
        <v>237</v>
      </c>
      <c r="G19" s="296" t="s">
        <v>237</v>
      </c>
      <c r="H19" s="297">
        <v>0.97154944969434076</v>
      </c>
    </row>
    <row r="20" spans="2:8">
      <c r="B20" s="106">
        <v>2006</v>
      </c>
      <c r="C20" s="292">
        <v>0.75480778692425554</v>
      </c>
      <c r="D20" s="293">
        <v>0.62671589634788072</v>
      </c>
      <c r="E20" s="293">
        <v>0.99129034286862949</v>
      </c>
      <c r="F20" s="293">
        <v>0.74102797396651321</v>
      </c>
      <c r="G20" s="293" t="s">
        <v>237</v>
      </c>
      <c r="H20" s="294">
        <v>0.99792504635897505</v>
      </c>
    </row>
    <row r="21" spans="2:8">
      <c r="B21" s="165">
        <v>2007</v>
      </c>
      <c r="C21" s="295">
        <v>0.89225545651265181</v>
      </c>
      <c r="D21" s="296">
        <v>0.76101238166214213</v>
      </c>
      <c r="E21" s="296">
        <v>0.67510689336865881</v>
      </c>
      <c r="F21" s="296">
        <v>0.54101807105332511</v>
      </c>
      <c r="G21" s="296" t="s">
        <v>237</v>
      </c>
      <c r="H21" s="297">
        <v>1</v>
      </c>
    </row>
    <row r="22" spans="2:8">
      <c r="B22" s="106">
        <v>2008</v>
      </c>
      <c r="C22" s="292">
        <v>0.79972780990757475</v>
      </c>
      <c r="D22" s="293">
        <v>0.83272501665580834</v>
      </c>
      <c r="E22" s="293">
        <v>0.77797248757452064</v>
      </c>
      <c r="F22" s="293">
        <v>0.8280036868019176</v>
      </c>
      <c r="G22" s="293" t="s">
        <v>237</v>
      </c>
      <c r="H22" s="294">
        <v>0.7518714415871729</v>
      </c>
    </row>
    <row r="23" spans="2:8">
      <c r="B23" s="165">
        <v>2009</v>
      </c>
      <c r="C23" s="295">
        <v>0.79803072890823323</v>
      </c>
      <c r="D23" s="296">
        <v>0.48683054659162672</v>
      </c>
      <c r="E23" s="296">
        <v>0.80026813716318135</v>
      </c>
      <c r="F23" s="296">
        <v>0.80249638348043517</v>
      </c>
      <c r="G23" s="296" t="s">
        <v>237</v>
      </c>
      <c r="H23" s="297">
        <v>0.8</v>
      </c>
    </row>
    <row r="24" spans="2:8">
      <c r="B24" s="106">
        <v>2010</v>
      </c>
      <c r="C24" s="292">
        <v>0.8201830721189145</v>
      </c>
      <c r="D24" s="293">
        <v>0.81890332853145387</v>
      </c>
      <c r="E24" s="293">
        <v>0.75973094154567478</v>
      </c>
      <c r="F24" s="293">
        <v>0.66723153137153923</v>
      </c>
      <c r="G24" s="293" t="s">
        <v>237</v>
      </c>
      <c r="H24" s="294">
        <v>0.99483994996069014</v>
      </c>
    </row>
    <row r="25" spans="2:8">
      <c r="B25" s="165">
        <v>2011</v>
      </c>
      <c r="C25" s="295">
        <v>0.8300860870822161</v>
      </c>
      <c r="D25" s="296">
        <v>0.69854187705560555</v>
      </c>
      <c r="E25" s="296">
        <v>0.79499205072197021</v>
      </c>
      <c r="F25" s="296" t="s">
        <v>237</v>
      </c>
      <c r="G25" s="296" t="s">
        <v>237</v>
      </c>
      <c r="H25" s="297">
        <v>1</v>
      </c>
    </row>
    <row r="26" spans="2:8">
      <c r="B26" s="106">
        <v>2012</v>
      </c>
      <c r="C26" s="292">
        <v>0.81137086046236517</v>
      </c>
      <c r="D26" s="293">
        <v>0.62615008661792182</v>
      </c>
      <c r="E26" s="293">
        <v>0.74751710138935545</v>
      </c>
      <c r="F26" s="293">
        <v>0.65118102319046933</v>
      </c>
      <c r="G26" s="293" t="s">
        <v>237</v>
      </c>
      <c r="H26" s="294">
        <v>0.93534134638696076</v>
      </c>
    </row>
    <row r="27" spans="2:8">
      <c r="B27" s="165">
        <v>2013</v>
      </c>
      <c r="C27" s="295">
        <v>0.81047656136333346</v>
      </c>
      <c r="D27" s="296">
        <v>0.56054712421587116</v>
      </c>
      <c r="E27" s="296">
        <v>0.40810430485954219</v>
      </c>
      <c r="F27" s="296">
        <v>0.81577898501389468</v>
      </c>
      <c r="G27" s="296" t="s">
        <v>237</v>
      </c>
      <c r="H27" s="297">
        <v>0.85608371427201202</v>
      </c>
    </row>
    <row r="28" spans="2:8">
      <c r="B28" s="106">
        <v>2014</v>
      </c>
      <c r="C28" s="292">
        <v>0.70076236275883208</v>
      </c>
      <c r="D28" s="293">
        <v>0.64224448422898295</v>
      </c>
      <c r="E28" s="293">
        <v>0.6314900903636067</v>
      </c>
      <c r="F28" s="293">
        <v>0.84276471721062862</v>
      </c>
      <c r="G28" s="293" t="s">
        <v>237</v>
      </c>
      <c r="H28" s="294">
        <v>0.1503490492989083</v>
      </c>
    </row>
    <row r="29" spans="2:8">
      <c r="B29" s="165">
        <v>2015</v>
      </c>
      <c r="C29" s="295">
        <v>0.68675156329731046</v>
      </c>
      <c r="D29" s="296">
        <v>0.68455076438070783</v>
      </c>
      <c r="E29" s="296">
        <v>0.78267902975439052</v>
      </c>
      <c r="F29" s="296">
        <v>0.64803876207280953</v>
      </c>
      <c r="G29" s="296" t="s">
        <v>237</v>
      </c>
      <c r="H29" s="297">
        <v>0.61517416895132238</v>
      </c>
    </row>
    <row r="30" spans="2:8">
      <c r="B30" s="106">
        <v>2016</v>
      </c>
      <c r="C30" s="292">
        <v>0.61695108047820935</v>
      </c>
      <c r="D30" s="293">
        <v>0.60673619140968393</v>
      </c>
      <c r="E30" s="293">
        <v>0.62478831066199214</v>
      </c>
      <c r="F30" s="293">
        <v>0.66877072712190411</v>
      </c>
      <c r="G30" s="293" t="s">
        <v>237</v>
      </c>
      <c r="H30" s="294">
        <v>0.57150622522154315</v>
      </c>
    </row>
    <row r="31" spans="2:8">
      <c r="B31" s="165">
        <v>2017</v>
      </c>
      <c r="C31" s="295">
        <v>0.88111538790783017</v>
      </c>
      <c r="D31" s="296">
        <v>0.5003581950090692</v>
      </c>
      <c r="E31" s="296">
        <v>0.74063885625521364</v>
      </c>
      <c r="F31" s="296">
        <v>0.98172226535767315</v>
      </c>
      <c r="G31" s="296" t="s">
        <v>237</v>
      </c>
      <c r="H31" s="297">
        <v>0.49007234035594588</v>
      </c>
    </row>
    <row r="32" spans="2:8">
      <c r="B32" s="106">
        <v>2018</v>
      </c>
      <c r="C32" s="292">
        <v>0.51545132984586828</v>
      </c>
      <c r="D32" s="293">
        <v>0.46122235547401508</v>
      </c>
      <c r="E32" s="293">
        <v>0.78204090363315093</v>
      </c>
      <c r="F32" s="293">
        <v>0.67302244413692902</v>
      </c>
      <c r="G32" s="293" t="s">
        <v>237</v>
      </c>
      <c r="H32" s="294">
        <v>0.29990223202699112</v>
      </c>
    </row>
    <row r="33" spans="2:8">
      <c r="B33" s="165">
        <v>2019</v>
      </c>
      <c r="C33" s="295">
        <v>0.83942019009482183</v>
      </c>
      <c r="D33" s="296">
        <v>0.69845566593459596</v>
      </c>
      <c r="E33" s="296">
        <v>0.66132051264796776</v>
      </c>
      <c r="F33" s="296">
        <v>0.42013869459926823</v>
      </c>
      <c r="G33" s="296" t="s">
        <v>237</v>
      </c>
      <c r="H33" s="297">
        <v>0.9637913228856233</v>
      </c>
    </row>
    <row r="34" spans="2:8">
      <c r="B34" s="106">
        <v>2020</v>
      </c>
      <c r="C34" s="292">
        <v>0.89165948728952371</v>
      </c>
      <c r="D34" s="293">
        <v>0.74248376611232003</v>
      </c>
      <c r="E34" s="293">
        <v>0.8246199656493779</v>
      </c>
      <c r="F34" s="293">
        <v>0.57855021134539597</v>
      </c>
      <c r="G34" s="293" t="s">
        <v>237</v>
      </c>
      <c r="H34" s="294">
        <v>0.8146593850278655</v>
      </c>
    </row>
    <row r="35" spans="2:8">
      <c r="B35" s="165">
        <v>2021</v>
      </c>
      <c r="C35" s="295">
        <v>0.75586403373949784</v>
      </c>
      <c r="D35" s="296">
        <v>0.87624092856750579</v>
      </c>
      <c r="E35" s="296">
        <v>0.80003671815383637</v>
      </c>
      <c r="F35" s="296">
        <v>0.47348543919488112</v>
      </c>
      <c r="G35" s="296" t="s">
        <v>237</v>
      </c>
      <c r="H35" s="297">
        <v>0.76559581684164901</v>
      </c>
    </row>
    <row r="36" spans="2:8">
      <c r="B36" s="106">
        <v>2022</v>
      </c>
      <c r="C36" s="292">
        <v>0.92082879607194523</v>
      </c>
      <c r="D36" s="293">
        <v>0.95272685997141771</v>
      </c>
      <c r="E36" s="293">
        <v>0.68401760619295415</v>
      </c>
      <c r="F36" s="293">
        <v>0.48092879681194722</v>
      </c>
      <c r="G36" s="293" t="s">
        <v>237</v>
      </c>
      <c r="H36" s="294">
        <v>0.96380785459119145</v>
      </c>
    </row>
    <row r="37" spans="2:8">
      <c r="B37" s="165">
        <v>2023</v>
      </c>
      <c r="C37" s="295">
        <v>0.93538909164531248</v>
      </c>
      <c r="D37" s="296">
        <v>0.77414719545121702</v>
      </c>
      <c r="E37" s="296">
        <v>0.9558469165313831</v>
      </c>
      <c r="F37" s="296">
        <v>0.42205975607957807</v>
      </c>
      <c r="G37" s="296" t="s">
        <v>237</v>
      </c>
      <c r="H37" s="297">
        <v>0.86130549040914028</v>
      </c>
    </row>
    <row r="38" spans="2:8" ht="14.4" thickBot="1">
      <c r="B38" s="107">
        <v>2024</v>
      </c>
      <c r="C38" s="298">
        <v>0.93045504486799258</v>
      </c>
      <c r="D38" s="299">
        <v>0.50493662030891695</v>
      </c>
      <c r="E38" s="299" t="s">
        <v>237</v>
      </c>
      <c r="F38" s="299" t="s">
        <v>237</v>
      </c>
      <c r="G38" s="299" t="s">
        <v>237</v>
      </c>
      <c r="H38" s="300">
        <v>0.98467422291463969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8C85-A005-4AC8-A8F8-296D4D451508}">
  <dimension ref="B1:P23"/>
  <sheetViews>
    <sheetView topLeftCell="A4" zoomScale="145" zoomScaleNormal="145" workbookViewId="0">
      <selection activeCell="R15" sqref="R15"/>
    </sheetView>
  </sheetViews>
  <sheetFormatPr defaultColWidth="9.296875" defaultRowHeight="14.4"/>
  <cols>
    <col min="1" max="1" width="3.296875" style="3" customWidth="1"/>
    <col min="2" max="2" width="35.3984375" style="3" bestFit="1" customWidth="1"/>
    <col min="3" max="5" width="10.296875" style="3" customWidth="1"/>
    <col min="6" max="6" width="11.69921875" style="3" customWidth="1"/>
    <col min="7" max="11" width="10.296875" style="3" customWidth="1"/>
    <col min="12" max="12" width="11.69921875" style="3" customWidth="1"/>
    <col min="13" max="16" width="13.59765625" style="3" hidden="1" customWidth="1"/>
    <col min="17" max="18" width="13.59765625" style="3" customWidth="1"/>
    <col min="19" max="16384" width="9.296875" style="3"/>
  </cols>
  <sheetData>
    <row r="1" spans="2:15" hidden="1">
      <c r="E1" s="3" t="s">
        <v>347</v>
      </c>
      <c r="F1" s="3" t="str">
        <f>H7&amp;" to "&amp;J7</f>
        <v>25th percentile to 75th percentile</v>
      </c>
    </row>
    <row r="2" spans="2:15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404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378" t="s">
        <v>51</v>
      </c>
      <c r="C7" s="52" t="s">
        <v>2</v>
      </c>
      <c r="D7" s="52" t="s">
        <v>526</v>
      </c>
      <c r="E7" s="52" t="s">
        <v>16</v>
      </c>
      <c r="F7" s="52" t="s">
        <v>17</v>
      </c>
      <c r="G7" s="52" t="s">
        <v>18</v>
      </c>
      <c r="H7" s="52" t="s">
        <v>19</v>
      </c>
      <c r="I7" s="52" t="s">
        <v>20</v>
      </c>
      <c r="J7" s="52" t="s">
        <v>21</v>
      </c>
      <c r="K7" s="52" t="s">
        <v>22</v>
      </c>
      <c r="L7" s="52" t="s">
        <v>23</v>
      </c>
    </row>
    <row r="8" spans="2:15" ht="15" customHeight="1">
      <c r="B8" s="376" t="s">
        <v>55</v>
      </c>
      <c r="C8" s="76"/>
      <c r="D8" s="76"/>
      <c r="E8" s="448"/>
      <c r="F8" s="131"/>
      <c r="G8" s="131"/>
      <c r="H8" s="131"/>
      <c r="I8" s="448"/>
      <c r="J8" s="131"/>
      <c r="K8" s="131"/>
      <c r="L8" s="131"/>
      <c r="M8" s="3">
        <f t="shared" ref="M8" si="0">IF(ISERROR(L8),IF(N8="Grey",2,1),0)</f>
        <v>0</v>
      </c>
      <c r="O8" s="3" t="s">
        <v>55</v>
      </c>
    </row>
    <row r="9" spans="2:15" ht="15" customHeight="1">
      <c r="B9" s="377" t="s">
        <v>527</v>
      </c>
      <c r="C9" s="74">
        <v>50</v>
      </c>
      <c r="D9" s="74">
        <v>1439.4887576708888</v>
      </c>
      <c r="E9" s="449">
        <v>0.77071774282429373</v>
      </c>
      <c r="F9" s="198">
        <v>0</v>
      </c>
      <c r="G9" s="198">
        <v>0.12382204697754121</v>
      </c>
      <c r="H9" s="198">
        <v>0.67386219895369537</v>
      </c>
      <c r="I9" s="449">
        <v>0.92806049034997229</v>
      </c>
      <c r="J9" s="198">
        <v>1</v>
      </c>
      <c r="K9" s="198">
        <v>1</v>
      </c>
      <c r="L9" s="198">
        <v>1</v>
      </c>
      <c r="M9" s="3">
        <f>IF(ISERROR(L9),IF(N9="Grey",2,1),0)</f>
        <v>0</v>
      </c>
      <c r="N9" s="3" t="s">
        <v>101</v>
      </c>
      <c r="O9" s="3" t="s">
        <v>56</v>
      </c>
    </row>
    <row r="10" spans="2:15" ht="15" customHeight="1">
      <c r="B10" s="376" t="s">
        <v>528</v>
      </c>
      <c r="C10" s="76">
        <v>191</v>
      </c>
      <c r="D10" s="76">
        <v>1519.804231531064</v>
      </c>
      <c r="E10" s="448">
        <v>0.68807865644470434</v>
      </c>
      <c r="F10" s="131">
        <v>0</v>
      </c>
      <c r="G10" s="131">
        <v>8.3307026465804471E-2</v>
      </c>
      <c r="H10" s="131">
        <v>0.3799564135829856</v>
      </c>
      <c r="I10" s="448">
        <v>0.8745963283793029</v>
      </c>
      <c r="J10" s="131">
        <v>0.99973459871317139</v>
      </c>
      <c r="K10" s="131">
        <v>1</v>
      </c>
      <c r="L10" s="131">
        <v>1</v>
      </c>
      <c r="M10" s="3">
        <f t="shared" ref="M10:M20" si="1">IF(ISERROR(L10),IF(N10="Grey",2,1),0)</f>
        <v>0</v>
      </c>
      <c r="O10" s="3" t="s">
        <v>57</v>
      </c>
    </row>
    <row r="11" spans="2:15" ht="15" customHeight="1">
      <c r="B11" s="377" t="s">
        <v>529</v>
      </c>
      <c r="C11" s="74">
        <v>275</v>
      </c>
      <c r="D11" s="74">
        <v>2245.9758557123255</v>
      </c>
      <c r="E11" s="449">
        <v>0.69476716837706365</v>
      </c>
      <c r="F11" s="198">
        <v>0</v>
      </c>
      <c r="G11" s="198">
        <v>9.5240319312059535E-2</v>
      </c>
      <c r="H11" s="198">
        <v>0.3621983329666284</v>
      </c>
      <c r="I11" s="449">
        <v>0.88299910892955724</v>
      </c>
      <c r="J11" s="198">
        <v>0.99695217334020381</v>
      </c>
      <c r="K11" s="198">
        <v>1</v>
      </c>
      <c r="L11" s="198">
        <v>1</v>
      </c>
      <c r="M11" s="3">
        <f t="shared" si="1"/>
        <v>0</v>
      </c>
      <c r="N11" s="3" t="s">
        <v>101</v>
      </c>
      <c r="O11" s="3" t="s">
        <v>58</v>
      </c>
    </row>
    <row r="12" spans="2:15" ht="15" customHeight="1">
      <c r="B12" s="376" t="s">
        <v>59</v>
      </c>
      <c r="C12" s="76">
        <v>38</v>
      </c>
      <c r="D12" s="76">
        <v>1114.2122849761854</v>
      </c>
      <c r="E12" s="448">
        <v>0.66758370753045282</v>
      </c>
      <c r="F12" s="131">
        <v>0</v>
      </c>
      <c r="G12" s="131">
        <v>2.8626993612517498E-2</v>
      </c>
      <c r="H12" s="131">
        <v>0.40971244882895202</v>
      </c>
      <c r="I12" s="448">
        <v>0.84577810297750067</v>
      </c>
      <c r="J12" s="131">
        <v>0.99572876726386261</v>
      </c>
      <c r="K12" s="131">
        <v>1</v>
      </c>
      <c r="L12" s="131">
        <v>1</v>
      </c>
      <c r="M12" s="3">
        <f t="shared" si="1"/>
        <v>0</v>
      </c>
      <c r="O12" s="3" t="s">
        <v>59</v>
      </c>
    </row>
    <row r="13" spans="2:15" ht="15" customHeight="1">
      <c r="B13" s="377" t="s">
        <v>60</v>
      </c>
      <c r="C13" s="74">
        <v>453</v>
      </c>
      <c r="D13" s="74">
        <v>4681.6385374917418</v>
      </c>
      <c r="E13" s="449">
        <v>0.79083737534669207</v>
      </c>
      <c r="F13" s="198">
        <v>0</v>
      </c>
      <c r="G13" s="198">
        <v>0.18473870009346219</v>
      </c>
      <c r="H13" s="198">
        <v>0.71085344789405125</v>
      </c>
      <c r="I13" s="449">
        <v>0.96813920863125014</v>
      </c>
      <c r="J13" s="198">
        <v>0.99823155075362668</v>
      </c>
      <c r="K13" s="198">
        <v>1</v>
      </c>
      <c r="L13" s="198">
        <v>1</v>
      </c>
      <c r="M13" s="3">
        <f t="shared" si="1"/>
        <v>0</v>
      </c>
      <c r="N13" s="3" t="s">
        <v>101</v>
      </c>
      <c r="O13" s="3" t="s">
        <v>60</v>
      </c>
    </row>
    <row r="14" spans="2:15" ht="15" customHeight="1">
      <c r="B14" s="376" t="s">
        <v>530</v>
      </c>
      <c r="C14" s="76">
        <v>49</v>
      </c>
      <c r="D14" s="76">
        <v>1132.8964112828926</v>
      </c>
      <c r="E14" s="448">
        <v>0.73067731094386767</v>
      </c>
      <c r="F14" s="131">
        <v>0</v>
      </c>
      <c r="G14" s="131">
        <v>0.18534721042959029</v>
      </c>
      <c r="H14" s="131">
        <v>0.49826416921094629</v>
      </c>
      <c r="I14" s="448">
        <v>0.88447894483041556</v>
      </c>
      <c r="J14" s="131">
        <v>1</v>
      </c>
      <c r="K14" s="131">
        <v>1</v>
      </c>
      <c r="L14" s="131">
        <v>1</v>
      </c>
      <c r="M14" s="3">
        <f t="shared" si="1"/>
        <v>0</v>
      </c>
      <c r="O14" s="3" t="s">
        <v>61</v>
      </c>
    </row>
    <row r="15" spans="2:15" ht="15" customHeight="1">
      <c r="B15" s="377" t="s">
        <v>62</v>
      </c>
      <c r="C15" s="74">
        <v>141</v>
      </c>
      <c r="D15" s="74">
        <v>3057.1089444435765</v>
      </c>
      <c r="E15" s="449">
        <v>0.65578711620031249</v>
      </c>
      <c r="F15" s="198">
        <v>0</v>
      </c>
      <c r="G15" s="198">
        <v>1.87524184966519E-2</v>
      </c>
      <c r="H15" s="198">
        <v>0.27734696271970488</v>
      </c>
      <c r="I15" s="449">
        <v>0.84714596724015945</v>
      </c>
      <c r="J15" s="198">
        <v>0.9984393150501345</v>
      </c>
      <c r="K15" s="198">
        <v>1</v>
      </c>
      <c r="L15" s="198">
        <v>1</v>
      </c>
      <c r="M15" s="3">
        <f t="shared" si="1"/>
        <v>0</v>
      </c>
      <c r="N15" s="3" t="s">
        <v>101</v>
      </c>
      <c r="O15" s="3" t="s">
        <v>62</v>
      </c>
    </row>
    <row r="16" spans="2:15" ht="15" customHeight="1">
      <c r="B16" s="376" t="s">
        <v>531</v>
      </c>
      <c r="C16" s="76">
        <v>10</v>
      </c>
      <c r="D16" s="76">
        <v>207.35314103716709</v>
      </c>
      <c r="E16" s="448">
        <v>0.61279994704079832</v>
      </c>
      <c r="F16" s="131">
        <v>5.4514540439265853E-2</v>
      </c>
      <c r="G16" s="131">
        <v>7.9209548285783138E-2</v>
      </c>
      <c r="H16" s="131">
        <v>0.25159976798349781</v>
      </c>
      <c r="I16" s="448">
        <v>0.78983396145363804</v>
      </c>
      <c r="J16" s="131">
        <v>0.94645508705760417</v>
      </c>
      <c r="K16" s="131">
        <v>0.99875445297727872</v>
      </c>
      <c r="L16" s="131">
        <v>1</v>
      </c>
      <c r="M16" s="3">
        <f t="shared" si="1"/>
        <v>0</v>
      </c>
      <c r="O16" s="3" t="s">
        <v>63</v>
      </c>
    </row>
    <row r="17" spans="2:15" ht="15" customHeight="1">
      <c r="B17" s="377" t="s">
        <v>64</v>
      </c>
      <c r="C17" s="74">
        <v>205</v>
      </c>
      <c r="D17" s="74">
        <v>4555.3789481139147</v>
      </c>
      <c r="E17" s="449">
        <v>0.72831725157453098</v>
      </c>
      <c r="F17" s="198">
        <v>0</v>
      </c>
      <c r="G17" s="198">
        <v>0.10931440875056871</v>
      </c>
      <c r="H17" s="198">
        <v>0.4880300053533877</v>
      </c>
      <c r="I17" s="449">
        <v>0.9173912824118633</v>
      </c>
      <c r="J17" s="198">
        <v>1</v>
      </c>
      <c r="K17" s="198">
        <v>1</v>
      </c>
      <c r="L17" s="198">
        <v>1</v>
      </c>
      <c r="M17" s="3">
        <f>IF(ISERROR(L17),IF(N17="Grey",2,1),0)</f>
        <v>0</v>
      </c>
      <c r="N17" s="3" t="s">
        <v>101</v>
      </c>
      <c r="O17" s="3" t="s">
        <v>64</v>
      </c>
    </row>
    <row r="18" spans="2:15" ht="15" customHeight="1">
      <c r="B18" s="376" t="s">
        <v>532</v>
      </c>
      <c r="C18" s="76">
        <v>31</v>
      </c>
      <c r="D18" s="76">
        <v>516.30613531989059</v>
      </c>
      <c r="E18" s="448">
        <v>0.74844290954103188</v>
      </c>
      <c r="F18" s="131">
        <v>1.4440302036134E-3</v>
      </c>
      <c r="G18" s="131">
        <v>0.3286266665294057</v>
      </c>
      <c r="H18" s="131">
        <v>0.6268577560499784</v>
      </c>
      <c r="I18" s="448">
        <v>0.88022580617970858</v>
      </c>
      <c r="J18" s="131">
        <v>0.97624682666690965</v>
      </c>
      <c r="K18" s="131">
        <v>0.99498340527926099</v>
      </c>
      <c r="L18" s="131">
        <v>1</v>
      </c>
      <c r="M18" s="3">
        <f t="shared" si="1"/>
        <v>0</v>
      </c>
      <c r="O18" s="3" t="s">
        <v>65</v>
      </c>
    </row>
    <row r="19" spans="2:15" ht="15" customHeight="1">
      <c r="B19" s="377" t="s">
        <v>66</v>
      </c>
      <c r="C19" s="74">
        <v>192</v>
      </c>
      <c r="D19" s="74">
        <v>5292.8903562862979</v>
      </c>
      <c r="E19" s="449">
        <v>0.72002136353851398</v>
      </c>
      <c r="F19" s="198">
        <v>0</v>
      </c>
      <c r="G19" s="198">
        <v>6.7085861079610579E-2</v>
      </c>
      <c r="H19" s="198">
        <v>0.5641385124538254</v>
      </c>
      <c r="I19" s="449">
        <v>0.8443801458932837</v>
      </c>
      <c r="J19" s="198">
        <v>0.98753334005989513</v>
      </c>
      <c r="K19" s="198">
        <v>1</v>
      </c>
      <c r="L19" s="198">
        <v>1</v>
      </c>
      <c r="M19" s="3">
        <f t="shared" si="1"/>
        <v>0</v>
      </c>
      <c r="N19" s="3" t="s">
        <v>101</v>
      </c>
      <c r="O19" s="3" t="s">
        <v>66</v>
      </c>
    </row>
    <row r="20" spans="2:15" ht="15" customHeight="1">
      <c r="B20" s="376" t="s">
        <v>67</v>
      </c>
      <c r="C20" s="76">
        <v>166</v>
      </c>
      <c r="D20" s="76">
        <v>1686.7795135638078</v>
      </c>
      <c r="E20" s="448">
        <v>0.74557925390209978</v>
      </c>
      <c r="F20" s="131">
        <v>0</v>
      </c>
      <c r="G20" s="131">
        <v>0.25039432586054772</v>
      </c>
      <c r="H20" s="131">
        <v>0.54223761038527019</v>
      </c>
      <c r="I20" s="448">
        <v>0.88575716327109133</v>
      </c>
      <c r="J20" s="131">
        <v>0.99082204757478887</v>
      </c>
      <c r="K20" s="131">
        <v>1</v>
      </c>
      <c r="L20" s="131">
        <v>1</v>
      </c>
      <c r="M20" s="3">
        <f t="shared" si="1"/>
        <v>0</v>
      </c>
      <c r="O20" s="3" t="s">
        <v>67</v>
      </c>
    </row>
    <row r="21" spans="2:15" s="17" customFormat="1" ht="21" customHeight="1">
      <c r="B21" s="436" t="s">
        <v>533</v>
      </c>
      <c r="C21" s="393">
        <v>1801</v>
      </c>
      <c r="D21" s="393">
        <v>27449.833117429749</v>
      </c>
      <c r="E21" s="450">
        <v>0.72934569103311975</v>
      </c>
      <c r="F21" s="450">
        <v>0</v>
      </c>
      <c r="G21" s="450">
        <v>0.1113689440293414</v>
      </c>
      <c r="H21" s="450">
        <v>0.50618334346212235</v>
      </c>
      <c r="I21" s="450">
        <v>0.91081310600256249</v>
      </c>
      <c r="J21" s="450">
        <v>0.99822109295292116</v>
      </c>
      <c r="K21" s="450">
        <v>1</v>
      </c>
      <c r="L21" s="450">
        <v>1</v>
      </c>
      <c r="M21" s="3"/>
      <c r="N21" s="3"/>
    </row>
    <row r="23" spans="2:15">
      <c r="B23" s="36" t="s">
        <v>405</v>
      </c>
    </row>
  </sheetData>
  <mergeCells count="1">
    <mergeCell ref="B5:L5"/>
  </mergeCells>
  <conditionalFormatting sqref="C8:L20">
    <cfRule type="expression" dxfId="22" priority="1">
      <formula>$M8=2</formula>
    </cfRule>
    <cfRule type="expression" dxfId="21" priority="2">
      <formula>$M8=1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671C-0F76-403A-BA4B-D81A2D6E7960}">
  <dimension ref="A2:O55"/>
  <sheetViews>
    <sheetView workbookViewId="0"/>
  </sheetViews>
  <sheetFormatPr defaultRowHeight="13.8"/>
  <cols>
    <col min="2" max="2" width="11.69921875" style="92" customWidth="1"/>
    <col min="3" max="3" width="11.69921875" customWidth="1"/>
    <col min="4" max="4" width="12.59765625" customWidth="1"/>
    <col min="5" max="15" width="11.296875" customWidth="1"/>
  </cols>
  <sheetData>
    <row r="2" spans="1:15">
      <c r="B2" s="158" t="s">
        <v>406</v>
      </c>
    </row>
    <row r="4" spans="1:15" ht="37.950000000000003" customHeight="1">
      <c r="B4" s="403"/>
      <c r="C4" s="476" t="s">
        <v>55</v>
      </c>
      <c r="D4" s="476" t="s">
        <v>56</v>
      </c>
      <c r="E4" s="476" t="s">
        <v>57</v>
      </c>
      <c r="F4" s="476" t="s">
        <v>58</v>
      </c>
      <c r="G4" s="476" t="s">
        <v>59</v>
      </c>
      <c r="H4" s="476" t="s">
        <v>60</v>
      </c>
      <c r="I4" s="476" t="s">
        <v>61</v>
      </c>
      <c r="J4" s="476" t="s">
        <v>62</v>
      </c>
      <c r="K4" s="476" t="s">
        <v>63</v>
      </c>
      <c r="L4" s="476" t="s">
        <v>64</v>
      </c>
      <c r="M4" s="476" t="s">
        <v>65</v>
      </c>
      <c r="N4" s="476" t="s">
        <v>66</v>
      </c>
      <c r="O4" s="476" t="s">
        <v>82</v>
      </c>
    </row>
    <row r="5" spans="1:15" hidden="1">
      <c r="B5" s="405"/>
      <c r="C5" s="406"/>
      <c r="D5" s="406"/>
      <c r="E5" s="406"/>
      <c r="F5" s="406"/>
      <c r="G5" s="406"/>
      <c r="H5" s="406"/>
      <c r="I5" s="406"/>
      <c r="J5" s="406"/>
      <c r="K5" s="406"/>
      <c r="L5" s="406"/>
      <c r="M5" s="406"/>
      <c r="N5" s="406"/>
      <c r="O5" s="406"/>
    </row>
    <row r="6" spans="1:15">
      <c r="A6" s="92"/>
      <c r="B6" s="407" t="s">
        <v>28</v>
      </c>
      <c r="C6" s="162" t="s">
        <v>237</v>
      </c>
      <c r="D6" s="162">
        <v>50</v>
      </c>
      <c r="E6" s="162">
        <v>191</v>
      </c>
      <c r="F6" s="162">
        <v>275</v>
      </c>
      <c r="G6" s="162">
        <v>38</v>
      </c>
      <c r="H6" s="162">
        <v>453</v>
      </c>
      <c r="I6" s="162">
        <v>49</v>
      </c>
      <c r="J6" s="162">
        <v>141</v>
      </c>
      <c r="K6" s="162">
        <v>10</v>
      </c>
      <c r="L6" s="162">
        <v>205</v>
      </c>
      <c r="M6" s="162">
        <v>31</v>
      </c>
      <c r="N6" s="162">
        <v>192</v>
      </c>
      <c r="O6" s="162">
        <v>166</v>
      </c>
    </row>
    <row r="7" spans="1:15" ht="41.4">
      <c r="A7" s="92"/>
      <c r="B7" s="404" t="s">
        <v>16</v>
      </c>
      <c r="C7" s="290" t="s">
        <v>237</v>
      </c>
      <c r="D7" s="290">
        <v>0.77071774282429373</v>
      </c>
      <c r="E7" s="290">
        <v>0.68807865644470434</v>
      </c>
      <c r="F7" s="290">
        <v>0.69476716837706365</v>
      </c>
      <c r="G7" s="290">
        <v>0.66758370753045282</v>
      </c>
      <c r="H7" s="290">
        <v>0.79083737534669207</v>
      </c>
      <c r="I7" s="290">
        <v>0.73067731094386767</v>
      </c>
      <c r="J7" s="290">
        <v>0.65578711620031249</v>
      </c>
      <c r="K7" s="290">
        <v>0.61279994704079832</v>
      </c>
      <c r="L7" s="290">
        <v>0.72831725157453098</v>
      </c>
      <c r="M7" s="290">
        <v>0.74844290954103188</v>
      </c>
      <c r="N7" s="290">
        <v>0.72002136353851398</v>
      </c>
      <c r="O7" s="290">
        <v>0.74557925390209978</v>
      </c>
    </row>
    <row r="8" spans="1:15">
      <c r="A8" s="92"/>
      <c r="B8" s="454">
        <v>1994</v>
      </c>
      <c r="C8" s="293" t="s">
        <v>237</v>
      </c>
      <c r="D8" s="293" t="s">
        <v>237</v>
      </c>
      <c r="E8" s="293">
        <v>0.93444802817346295</v>
      </c>
      <c r="F8" s="293">
        <v>0.69350716105733312</v>
      </c>
      <c r="G8" s="293" t="s">
        <v>237</v>
      </c>
      <c r="H8" s="293" t="s">
        <v>237</v>
      </c>
      <c r="I8" s="293" t="s">
        <v>237</v>
      </c>
      <c r="J8" s="293">
        <v>0.32419448187669919</v>
      </c>
      <c r="K8" s="293" t="s">
        <v>237</v>
      </c>
      <c r="L8" s="293">
        <v>0.73073325582803539</v>
      </c>
      <c r="M8" s="293" t="s">
        <v>237</v>
      </c>
      <c r="N8" s="293" t="s">
        <v>237</v>
      </c>
      <c r="O8" s="293">
        <v>0.76785234160659877</v>
      </c>
    </row>
    <row r="9" spans="1:15">
      <c r="A9" s="92"/>
      <c r="B9" s="455">
        <v>1995</v>
      </c>
      <c r="C9" s="296" t="s">
        <v>237</v>
      </c>
      <c r="D9" s="296" t="s">
        <v>237</v>
      </c>
      <c r="E9" s="296">
        <v>0.15889169812906959</v>
      </c>
      <c r="F9" s="296">
        <v>0.57656206360881579</v>
      </c>
      <c r="G9" s="296" t="s">
        <v>237</v>
      </c>
      <c r="H9" s="296" t="s">
        <v>237</v>
      </c>
      <c r="I9" s="296">
        <v>1</v>
      </c>
      <c r="J9" s="296">
        <v>0.3595082901014402</v>
      </c>
      <c r="K9" s="296" t="s">
        <v>237</v>
      </c>
      <c r="L9" s="296">
        <v>0.66666670756183455</v>
      </c>
      <c r="M9" s="296" t="s">
        <v>237</v>
      </c>
      <c r="N9" s="296" t="s">
        <v>237</v>
      </c>
      <c r="O9" s="296">
        <v>0.87040623934758388</v>
      </c>
    </row>
    <row r="10" spans="1:15">
      <c r="A10" s="92"/>
      <c r="B10" s="454">
        <v>1996</v>
      </c>
      <c r="C10" s="293" t="s">
        <v>237</v>
      </c>
      <c r="D10" s="293" t="s">
        <v>237</v>
      </c>
      <c r="E10" s="293">
        <v>0.4610243086537486</v>
      </c>
      <c r="F10" s="293">
        <v>0.24580943254473819</v>
      </c>
      <c r="G10" s="293" t="s">
        <v>237</v>
      </c>
      <c r="H10" s="293" t="s">
        <v>237</v>
      </c>
      <c r="I10" s="293">
        <v>1</v>
      </c>
      <c r="J10" s="293" t="s">
        <v>237</v>
      </c>
      <c r="K10" s="293" t="s">
        <v>237</v>
      </c>
      <c r="L10" s="293" t="s">
        <v>237</v>
      </c>
      <c r="M10" s="293" t="s">
        <v>237</v>
      </c>
      <c r="N10" s="293">
        <v>1</v>
      </c>
      <c r="O10" s="293">
        <v>0.64970624021247925</v>
      </c>
    </row>
    <row r="11" spans="1:15">
      <c r="A11" s="92"/>
      <c r="B11" s="455">
        <v>1997</v>
      </c>
      <c r="C11" s="296" t="s">
        <v>237</v>
      </c>
      <c r="D11" s="296" t="s">
        <v>237</v>
      </c>
      <c r="E11" s="296">
        <v>0.65061752608839341</v>
      </c>
      <c r="F11" s="296">
        <v>0.5111333960038269</v>
      </c>
      <c r="G11" s="296" t="s">
        <v>237</v>
      </c>
      <c r="H11" s="296">
        <v>0.35495723474737462</v>
      </c>
      <c r="I11" s="296" t="s">
        <v>237</v>
      </c>
      <c r="J11" s="296">
        <v>0.25559057303202398</v>
      </c>
      <c r="K11" s="296" t="s">
        <v>237</v>
      </c>
      <c r="L11" s="296">
        <v>0.67425743078773481</v>
      </c>
      <c r="M11" s="296" t="s">
        <v>237</v>
      </c>
      <c r="N11" s="296">
        <v>0.99650317336139949</v>
      </c>
      <c r="O11" s="296">
        <v>0.81981922118802997</v>
      </c>
    </row>
    <row r="12" spans="1:15">
      <c r="A12" s="92"/>
      <c r="B12" s="454">
        <v>1998</v>
      </c>
      <c r="C12" s="293" t="s">
        <v>237</v>
      </c>
      <c r="D12" s="293">
        <v>1</v>
      </c>
      <c r="E12" s="293">
        <v>0.93037147257725505</v>
      </c>
      <c r="F12" s="293">
        <v>0.35327538707431089</v>
      </c>
      <c r="G12" s="293">
        <v>1</v>
      </c>
      <c r="H12" s="293">
        <v>0.8231091691179363</v>
      </c>
      <c r="I12" s="293">
        <v>0.73894268964444498</v>
      </c>
      <c r="J12" s="293">
        <v>0.50504867837261891</v>
      </c>
      <c r="K12" s="293" t="s">
        <v>237</v>
      </c>
      <c r="L12" s="293">
        <v>0.73423100743067715</v>
      </c>
      <c r="M12" s="293" t="s">
        <v>237</v>
      </c>
      <c r="N12" s="293" t="s">
        <v>237</v>
      </c>
      <c r="O12" s="293">
        <v>0.77029703257368443</v>
      </c>
    </row>
    <row r="13" spans="1:15">
      <c r="A13" s="92"/>
      <c r="B13" s="455">
        <v>1999</v>
      </c>
      <c r="C13" s="296" t="s">
        <v>237</v>
      </c>
      <c r="D13" s="296">
        <v>0.91729448055026219</v>
      </c>
      <c r="E13" s="296">
        <v>0.79088060131918081</v>
      </c>
      <c r="F13" s="296">
        <v>0.40354705910053851</v>
      </c>
      <c r="G13" s="296" t="s">
        <v>237</v>
      </c>
      <c r="H13" s="296">
        <v>0.75073824143217793</v>
      </c>
      <c r="I13" s="296">
        <v>0.16403838769078929</v>
      </c>
      <c r="J13" s="296">
        <v>0.73644215017096171</v>
      </c>
      <c r="K13" s="296" t="s">
        <v>237</v>
      </c>
      <c r="L13" s="296">
        <v>0.86224660633995298</v>
      </c>
      <c r="M13" s="296" t="s">
        <v>237</v>
      </c>
      <c r="N13" s="296">
        <v>1</v>
      </c>
      <c r="O13" s="296">
        <v>0.90497126255892291</v>
      </c>
    </row>
    <row r="14" spans="1:15">
      <c r="A14" s="92"/>
      <c r="B14" s="454">
        <v>2000</v>
      </c>
      <c r="C14" s="293" t="s">
        <v>237</v>
      </c>
      <c r="D14" s="293">
        <v>0.93553802796466923</v>
      </c>
      <c r="E14" s="293">
        <v>0.43264941488275382</v>
      </c>
      <c r="F14" s="293">
        <v>0.63021960073024907</v>
      </c>
      <c r="G14" s="293" t="s">
        <v>237</v>
      </c>
      <c r="H14" s="293">
        <v>0.61869245310269672</v>
      </c>
      <c r="I14" s="293" t="s">
        <v>237</v>
      </c>
      <c r="J14" s="293">
        <v>0.64168490782353493</v>
      </c>
      <c r="K14" s="293" t="s">
        <v>237</v>
      </c>
      <c r="L14" s="293">
        <v>0.74698639552403479</v>
      </c>
      <c r="M14" s="293" t="s">
        <v>237</v>
      </c>
      <c r="N14" s="293" t="s">
        <v>237</v>
      </c>
      <c r="O14" s="293">
        <v>0.43627946129809669</v>
      </c>
    </row>
    <row r="15" spans="1:15">
      <c r="A15" s="92"/>
      <c r="B15" s="455">
        <v>2001</v>
      </c>
      <c r="C15" s="296" t="s">
        <v>237</v>
      </c>
      <c r="D15" s="296">
        <v>0.26424826605375068</v>
      </c>
      <c r="E15" s="296">
        <v>0.74664733904947489</v>
      </c>
      <c r="F15" s="296">
        <v>0.50097611237979256</v>
      </c>
      <c r="G15" s="296" t="s">
        <v>237</v>
      </c>
      <c r="H15" s="296">
        <v>0.72469820026466447</v>
      </c>
      <c r="I15" s="296">
        <v>0.408835754470187</v>
      </c>
      <c r="J15" s="296">
        <v>0.88077354630278382</v>
      </c>
      <c r="K15" s="296" t="s">
        <v>237</v>
      </c>
      <c r="L15" s="296">
        <v>0.56269294296427164</v>
      </c>
      <c r="M15" s="296" t="s">
        <v>237</v>
      </c>
      <c r="N15" s="296" t="s">
        <v>237</v>
      </c>
      <c r="O15" s="296">
        <v>0.71060124348807685</v>
      </c>
    </row>
    <row r="16" spans="1:15">
      <c r="A16" s="92"/>
      <c r="B16" s="454">
        <v>2002</v>
      </c>
      <c r="C16" s="293" t="s">
        <v>237</v>
      </c>
      <c r="D16" s="293">
        <v>0.96316422677894864</v>
      </c>
      <c r="E16" s="293">
        <v>0.60673630645020782</v>
      </c>
      <c r="F16" s="293">
        <v>0.50364491173540282</v>
      </c>
      <c r="G16" s="293" t="s">
        <v>237</v>
      </c>
      <c r="H16" s="293">
        <v>0.84322917904614414</v>
      </c>
      <c r="I16" s="293">
        <v>0.54371585336268724</v>
      </c>
      <c r="J16" s="293">
        <v>0.43115595170986681</v>
      </c>
      <c r="K16" s="293" t="s">
        <v>237</v>
      </c>
      <c r="L16" s="293">
        <v>0.86664855185451461</v>
      </c>
      <c r="M16" s="293" t="s">
        <v>237</v>
      </c>
      <c r="N16" s="293">
        <v>0.90939121423459968</v>
      </c>
      <c r="O16" s="293">
        <v>0.72550857857290163</v>
      </c>
    </row>
    <row r="17" spans="1:15">
      <c r="A17" s="92"/>
      <c r="B17" s="455">
        <v>2003</v>
      </c>
      <c r="C17" s="296" t="s">
        <v>237</v>
      </c>
      <c r="D17" s="296">
        <v>0.89186645661820441</v>
      </c>
      <c r="E17" s="296">
        <v>0.69339556336814545</v>
      </c>
      <c r="F17" s="296">
        <v>0.95232218801317303</v>
      </c>
      <c r="G17" s="296">
        <v>0.5650080235900885</v>
      </c>
      <c r="H17" s="296">
        <v>0.94732187245783117</v>
      </c>
      <c r="I17" s="296">
        <v>0.66395775448520244</v>
      </c>
      <c r="J17" s="296">
        <v>0.91207026842482053</v>
      </c>
      <c r="K17" s="296" t="s">
        <v>237</v>
      </c>
      <c r="L17" s="296">
        <v>0.91729607434717475</v>
      </c>
      <c r="M17" s="296">
        <v>0.69867920809617889</v>
      </c>
      <c r="N17" s="296">
        <v>0.90798772924570414</v>
      </c>
      <c r="O17" s="296">
        <v>0.91173344563622161</v>
      </c>
    </row>
    <row r="18" spans="1:15">
      <c r="A18" s="92"/>
      <c r="B18" s="454">
        <v>2004</v>
      </c>
      <c r="C18" s="293" t="s">
        <v>237</v>
      </c>
      <c r="D18" s="293">
        <v>0.99682829598756006</v>
      </c>
      <c r="E18" s="293">
        <v>0.99808405535308198</v>
      </c>
      <c r="F18" s="293">
        <v>0.82574199577604757</v>
      </c>
      <c r="G18" s="293">
        <v>0.6761173604448657</v>
      </c>
      <c r="H18" s="293">
        <v>0.82177737956320029</v>
      </c>
      <c r="I18" s="293" t="s">
        <v>237</v>
      </c>
      <c r="J18" s="293">
        <v>0.93523261236425415</v>
      </c>
      <c r="K18" s="293">
        <v>0.52656529965145449</v>
      </c>
      <c r="L18" s="293">
        <v>0.51350076384682086</v>
      </c>
      <c r="M18" s="293">
        <v>0.94177598458024547</v>
      </c>
      <c r="N18" s="293" t="s">
        <v>237</v>
      </c>
      <c r="O18" s="293">
        <v>0.42164825048931592</v>
      </c>
    </row>
    <row r="19" spans="1:15">
      <c r="A19" s="92"/>
      <c r="B19" s="455">
        <v>2005</v>
      </c>
      <c r="C19" s="296" t="s">
        <v>237</v>
      </c>
      <c r="D19" s="296">
        <v>0.797053060109149</v>
      </c>
      <c r="E19" s="296">
        <v>0.60853690865870946</v>
      </c>
      <c r="F19" s="296">
        <v>0.64719861109322951</v>
      </c>
      <c r="G19" s="296">
        <v>1</v>
      </c>
      <c r="H19" s="296">
        <v>0.63300028258228092</v>
      </c>
      <c r="I19" s="296">
        <v>0.47927849031803132</v>
      </c>
      <c r="J19" s="296">
        <v>0.60542416691790069</v>
      </c>
      <c r="K19" s="296" t="s">
        <v>237</v>
      </c>
      <c r="L19" s="296">
        <v>0.53215105075380498</v>
      </c>
      <c r="M19" s="296" t="s">
        <v>237</v>
      </c>
      <c r="N19" s="296">
        <v>0.97154944969434076</v>
      </c>
      <c r="O19" s="296">
        <v>0.84173266346513453</v>
      </c>
    </row>
    <row r="20" spans="1:15">
      <c r="A20" s="92"/>
      <c r="B20" s="454">
        <v>2006</v>
      </c>
      <c r="C20" s="293" t="s">
        <v>237</v>
      </c>
      <c r="D20" s="293">
        <v>1</v>
      </c>
      <c r="E20" s="293">
        <v>0.73105078507878751</v>
      </c>
      <c r="F20" s="293">
        <v>0.76293915630801135</v>
      </c>
      <c r="G20" s="293" t="s">
        <v>237</v>
      </c>
      <c r="H20" s="293">
        <v>0.71523833526805458</v>
      </c>
      <c r="I20" s="293" t="s">
        <v>237</v>
      </c>
      <c r="J20" s="293" t="s">
        <v>237</v>
      </c>
      <c r="K20" s="293" t="s">
        <v>237</v>
      </c>
      <c r="L20" s="293">
        <v>0.68730716995138519</v>
      </c>
      <c r="M20" s="293" t="s">
        <v>237</v>
      </c>
      <c r="N20" s="293">
        <v>0.46520914751329451</v>
      </c>
      <c r="O20" s="293">
        <v>0.74700545591778789</v>
      </c>
    </row>
    <row r="21" spans="1:15">
      <c r="A21" s="92"/>
      <c r="B21" s="455">
        <v>2007</v>
      </c>
      <c r="C21" s="296" t="s">
        <v>237</v>
      </c>
      <c r="D21" s="296">
        <v>0.45903612490685558</v>
      </c>
      <c r="E21" s="296">
        <v>0.75624043777305805</v>
      </c>
      <c r="F21" s="296">
        <v>0.44690054627562498</v>
      </c>
      <c r="G21" s="296">
        <v>0.97843639769865709</v>
      </c>
      <c r="H21" s="296">
        <v>0.95952608719701438</v>
      </c>
      <c r="I21" s="296" t="s">
        <v>237</v>
      </c>
      <c r="J21" s="296">
        <v>1</v>
      </c>
      <c r="K21" s="296" t="s">
        <v>237</v>
      </c>
      <c r="L21" s="296">
        <v>0.68994687140428235</v>
      </c>
      <c r="M21" s="296" t="s">
        <v>237</v>
      </c>
      <c r="N21" s="296">
        <v>0.93107107741984807</v>
      </c>
      <c r="O21" s="296">
        <v>0.87414243423427429</v>
      </c>
    </row>
    <row r="22" spans="1:15">
      <c r="A22" s="92"/>
      <c r="B22" s="454">
        <v>2008</v>
      </c>
      <c r="C22" s="293" t="s">
        <v>237</v>
      </c>
      <c r="D22" s="293">
        <v>0.87217561720314452</v>
      </c>
      <c r="E22" s="293">
        <v>0.62136530971673776</v>
      </c>
      <c r="F22" s="293">
        <v>0.74825464301034073</v>
      </c>
      <c r="G22" s="293">
        <v>0.98398031739422909</v>
      </c>
      <c r="H22" s="293">
        <v>0.90658236475080722</v>
      </c>
      <c r="I22" s="293" t="s">
        <v>237</v>
      </c>
      <c r="J22" s="293">
        <v>0.50200399968554221</v>
      </c>
      <c r="K22" s="293" t="s">
        <v>237</v>
      </c>
      <c r="L22" s="293">
        <v>0.69371278972744188</v>
      </c>
      <c r="M22" s="293" t="s">
        <v>237</v>
      </c>
      <c r="N22" s="293">
        <v>0.88016992590627241</v>
      </c>
      <c r="O22" s="293">
        <v>0.74567648879465087</v>
      </c>
    </row>
    <row r="23" spans="1:15">
      <c r="A23" s="92"/>
      <c r="B23" s="455">
        <v>2009</v>
      </c>
      <c r="C23" s="296" t="s">
        <v>237</v>
      </c>
      <c r="D23" s="296">
        <v>0.72801762643648338</v>
      </c>
      <c r="E23" s="296">
        <v>0.8712785510496126</v>
      </c>
      <c r="F23" s="296">
        <v>0.80606017777150707</v>
      </c>
      <c r="G23" s="296">
        <v>0.51757670753997498</v>
      </c>
      <c r="H23" s="296">
        <v>0.78088293053958779</v>
      </c>
      <c r="I23" s="296">
        <v>0.9914014817721879</v>
      </c>
      <c r="J23" s="296">
        <v>0.49291473238838063</v>
      </c>
      <c r="K23" s="296" t="s">
        <v>237</v>
      </c>
      <c r="L23" s="296">
        <v>0.71951547972998375</v>
      </c>
      <c r="M23" s="296" t="s">
        <v>237</v>
      </c>
      <c r="N23" s="296">
        <v>0.83083756758624128</v>
      </c>
      <c r="O23" s="296">
        <v>0.56599726711926557</v>
      </c>
    </row>
    <row r="24" spans="1:15">
      <c r="A24" s="92"/>
      <c r="B24" s="454">
        <v>2010</v>
      </c>
      <c r="C24" s="293" t="s">
        <v>237</v>
      </c>
      <c r="D24" s="293" t="s">
        <v>237</v>
      </c>
      <c r="E24" s="293">
        <v>0.89164361054075381</v>
      </c>
      <c r="F24" s="293">
        <v>0.73646806423097555</v>
      </c>
      <c r="G24" s="293">
        <v>0.91816374075489571</v>
      </c>
      <c r="H24" s="293">
        <v>0.83111146468045061</v>
      </c>
      <c r="I24" s="293">
        <v>0.86612026912259477</v>
      </c>
      <c r="J24" s="293">
        <v>0.63532267062009684</v>
      </c>
      <c r="K24" s="293" t="s">
        <v>237</v>
      </c>
      <c r="L24" s="293">
        <v>0.71071326662597745</v>
      </c>
      <c r="M24" s="293">
        <v>0.42319232964421788</v>
      </c>
      <c r="N24" s="293">
        <v>1</v>
      </c>
      <c r="O24" s="293">
        <v>0.97346577933162926</v>
      </c>
    </row>
    <row r="25" spans="1:15">
      <c r="A25" s="92"/>
      <c r="B25" s="455">
        <v>2011</v>
      </c>
      <c r="C25" s="296" t="s">
        <v>237</v>
      </c>
      <c r="D25" s="296">
        <v>0.56934423266954548</v>
      </c>
      <c r="E25" s="296">
        <v>0</v>
      </c>
      <c r="F25" s="296">
        <v>0.93721589363975155</v>
      </c>
      <c r="G25" s="296">
        <v>9.868825581963124E-2</v>
      </c>
      <c r="H25" s="296">
        <v>0.93096842077587949</v>
      </c>
      <c r="I25" s="296">
        <v>1</v>
      </c>
      <c r="J25" s="296">
        <v>0.60403250100823935</v>
      </c>
      <c r="K25" s="296" t="s">
        <v>237</v>
      </c>
      <c r="L25" s="296">
        <v>0.7798052859617457</v>
      </c>
      <c r="M25" s="296">
        <v>0.6024795816706966</v>
      </c>
      <c r="N25" s="296">
        <v>0.83141305261410237</v>
      </c>
      <c r="O25" s="296">
        <v>0.73134041017630302</v>
      </c>
    </row>
    <row r="26" spans="1:15">
      <c r="A26" s="92"/>
      <c r="B26" s="454">
        <v>2012</v>
      </c>
      <c r="C26" s="293" t="s">
        <v>237</v>
      </c>
      <c r="D26" s="293">
        <v>0.97260047286639173</v>
      </c>
      <c r="E26" s="293">
        <v>0.5</v>
      </c>
      <c r="F26" s="293">
        <v>0.55712415007176008</v>
      </c>
      <c r="G26" s="293">
        <v>0</v>
      </c>
      <c r="H26" s="293">
        <v>0.87965092240266951</v>
      </c>
      <c r="I26" s="293">
        <v>0.5</v>
      </c>
      <c r="J26" s="293">
        <v>0.84052124072524104</v>
      </c>
      <c r="K26" s="293" t="s">
        <v>237</v>
      </c>
      <c r="L26" s="293">
        <v>0.54344172487333442</v>
      </c>
      <c r="M26" s="293">
        <v>0.89575394262250219</v>
      </c>
      <c r="N26" s="293">
        <v>0.73488891108235821</v>
      </c>
      <c r="O26" s="293">
        <v>0.77892029996022427</v>
      </c>
    </row>
    <row r="27" spans="1:15">
      <c r="A27" s="92"/>
      <c r="B27" s="455">
        <v>2013</v>
      </c>
      <c r="C27" s="296" t="s">
        <v>237</v>
      </c>
      <c r="D27" s="296">
        <v>0.80542372026118414</v>
      </c>
      <c r="E27" s="296">
        <v>0.50547590313624391</v>
      </c>
      <c r="F27" s="296">
        <v>0.64067129980211246</v>
      </c>
      <c r="G27" s="296">
        <v>0.65972823055357777</v>
      </c>
      <c r="H27" s="296">
        <v>0.38030722006046752</v>
      </c>
      <c r="I27" s="296">
        <v>0.83039368400312186</v>
      </c>
      <c r="J27" s="296">
        <v>0.34292881044169221</v>
      </c>
      <c r="K27" s="296" t="s">
        <v>237</v>
      </c>
      <c r="L27" s="296">
        <v>0.83330214858593932</v>
      </c>
      <c r="M27" s="296" t="s">
        <v>237</v>
      </c>
      <c r="N27" s="296">
        <v>0.61205723955348612</v>
      </c>
      <c r="O27" s="296">
        <v>0.81927519921276604</v>
      </c>
    </row>
    <row r="28" spans="1:15">
      <c r="A28" s="92"/>
      <c r="B28" s="454">
        <v>2014</v>
      </c>
      <c r="C28" s="293" t="s">
        <v>237</v>
      </c>
      <c r="D28" s="293">
        <v>0.95776402559617468</v>
      </c>
      <c r="E28" s="293">
        <v>0.82576256143600202</v>
      </c>
      <c r="F28" s="293">
        <v>0.51758804847786744</v>
      </c>
      <c r="G28" s="293">
        <v>0.58305957947456744</v>
      </c>
      <c r="H28" s="293">
        <v>0.65706172175513644</v>
      </c>
      <c r="I28" s="293">
        <v>0.53749750990379963</v>
      </c>
      <c r="J28" s="293">
        <v>0.49965586656143601</v>
      </c>
      <c r="K28" s="293" t="s">
        <v>237</v>
      </c>
      <c r="L28" s="293">
        <v>0.55946726299334093</v>
      </c>
      <c r="M28" s="293" t="s">
        <v>237</v>
      </c>
      <c r="N28" s="293">
        <v>0.88916579290769893</v>
      </c>
      <c r="O28" s="293">
        <v>0.6372771334246099</v>
      </c>
    </row>
    <row r="29" spans="1:15">
      <c r="A29" s="92"/>
      <c r="B29" s="455">
        <v>2015</v>
      </c>
      <c r="C29" s="296" t="s">
        <v>237</v>
      </c>
      <c r="D29" s="296">
        <v>0.9383195621007695</v>
      </c>
      <c r="E29" s="296">
        <v>0.69850000403859325</v>
      </c>
      <c r="F29" s="296">
        <v>0.71757090672739166</v>
      </c>
      <c r="G29" s="296">
        <v>0.52681560303248909</v>
      </c>
      <c r="H29" s="296">
        <v>0.7697179653480366</v>
      </c>
      <c r="I29" s="296">
        <v>0.74485936041227574</v>
      </c>
      <c r="J29" s="296">
        <v>0.49876115467989762</v>
      </c>
      <c r="K29" s="296">
        <v>0.28490927983304642</v>
      </c>
      <c r="L29" s="296">
        <v>0.87830551961221837</v>
      </c>
      <c r="M29" s="296" t="s">
        <v>237</v>
      </c>
      <c r="N29" s="296">
        <v>0.75679364969788454</v>
      </c>
      <c r="O29" s="296">
        <v>0.6637533274024574</v>
      </c>
    </row>
    <row r="30" spans="1:15">
      <c r="A30" s="92"/>
      <c r="B30" s="454">
        <v>2016</v>
      </c>
      <c r="C30" s="293" t="s">
        <v>237</v>
      </c>
      <c r="D30" s="293">
        <v>0.25087505338328492</v>
      </c>
      <c r="E30" s="293">
        <v>0.71976140813739631</v>
      </c>
      <c r="F30" s="293">
        <v>0.58765152581842117</v>
      </c>
      <c r="G30" s="293">
        <v>0.71235427099222515</v>
      </c>
      <c r="H30" s="293">
        <v>0.69736576306640585</v>
      </c>
      <c r="I30" s="293">
        <v>0.66653074915160893</v>
      </c>
      <c r="J30" s="293">
        <v>0.3629932306141479</v>
      </c>
      <c r="K30" s="293">
        <v>0.24049659736698151</v>
      </c>
      <c r="L30" s="293">
        <v>0.36074794233285712</v>
      </c>
      <c r="M30" s="293">
        <v>0.31204966612123253</v>
      </c>
      <c r="N30" s="293">
        <v>0.60732260707201324</v>
      </c>
      <c r="O30" s="293">
        <v>0.61911558692462143</v>
      </c>
    </row>
    <row r="31" spans="1:15">
      <c r="A31" s="92"/>
      <c r="B31" s="455">
        <v>2017</v>
      </c>
      <c r="C31" s="296" t="s">
        <v>237</v>
      </c>
      <c r="D31" s="296">
        <v>0.56112572956823137</v>
      </c>
      <c r="E31" s="296">
        <v>0.35527230415547989</v>
      </c>
      <c r="F31" s="296">
        <v>0.79957029778851718</v>
      </c>
      <c r="G31" s="296">
        <v>0.174445962130725</v>
      </c>
      <c r="H31" s="296">
        <v>0.83345185195944171</v>
      </c>
      <c r="I31" s="296">
        <v>0.99701702979965878</v>
      </c>
      <c r="J31" s="296">
        <v>0.99997081967521895</v>
      </c>
      <c r="K31" s="296" t="s">
        <v>237</v>
      </c>
      <c r="L31" s="296">
        <v>0.86868792717245846</v>
      </c>
      <c r="M31" s="296">
        <v>0.97202097938310916</v>
      </c>
      <c r="N31" s="296">
        <v>0.70463460396976918</v>
      </c>
      <c r="O31" s="296">
        <v>0.69818971922294359</v>
      </c>
    </row>
    <row r="32" spans="1:15">
      <c r="A32" s="92"/>
      <c r="B32" s="454">
        <v>2018</v>
      </c>
      <c r="C32" s="293" t="s">
        <v>237</v>
      </c>
      <c r="D32" s="293" t="s">
        <v>237</v>
      </c>
      <c r="E32" s="293">
        <v>0.33414607048172262</v>
      </c>
      <c r="F32" s="293">
        <v>0.3167146768436962</v>
      </c>
      <c r="G32" s="293">
        <v>0.65944488653396616</v>
      </c>
      <c r="H32" s="293">
        <v>0.52579332079034136</v>
      </c>
      <c r="I32" s="293">
        <v>0.99555939518878989</v>
      </c>
      <c r="J32" s="293">
        <v>0.88208859172925969</v>
      </c>
      <c r="K32" s="293">
        <v>0.5154713978430423</v>
      </c>
      <c r="L32" s="293">
        <v>0.61402221528280165</v>
      </c>
      <c r="M32" s="293">
        <v>0.73128860319981626</v>
      </c>
      <c r="N32" s="293">
        <v>0.55435936182343737</v>
      </c>
      <c r="O32" s="293">
        <v>0.77066817677654476</v>
      </c>
    </row>
    <row r="33" spans="1:15">
      <c r="A33" s="92"/>
      <c r="B33" s="455">
        <v>2019</v>
      </c>
      <c r="C33" s="296" t="s">
        <v>237</v>
      </c>
      <c r="D33" s="296">
        <v>0.79545197303792925</v>
      </c>
      <c r="E33" s="296">
        <v>0.50738690578729917</v>
      </c>
      <c r="F33" s="296">
        <v>0.8076394947788732</v>
      </c>
      <c r="G33" s="296" t="s">
        <v>237</v>
      </c>
      <c r="H33" s="296">
        <v>0.75051924472893239</v>
      </c>
      <c r="I33" s="296">
        <v>0.2837265360584178</v>
      </c>
      <c r="J33" s="296">
        <v>0.93964352707247922</v>
      </c>
      <c r="K33" s="296">
        <v>0.90694360629970594</v>
      </c>
      <c r="L33" s="296">
        <v>0.82090624824342906</v>
      </c>
      <c r="M33" s="296">
        <v>0.98662011949577355</v>
      </c>
      <c r="N33" s="296">
        <v>0.49927603398835407</v>
      </c>
      <c r="O33" s="296">
        <v>0.61507752909721569</v>
      </c>
    </row>
    <row r="34" spans="1:15">
      <c r="A34" s="92"/>
      <c r="B34" s="454">
        <v>2020</v>
      </c>
      <c r="C34" s="293" t="s">
        <v>237</v>
      </c>
      <c r="D34" s="293" t="s">
        <v>237</v>
      </c>
      <c r="E34" s="293">
        <v>0.97046881955597619</v>
      </c>
      <c r="F34" s="293">
        <v>0.67364217271828031</v>
      </c>
      <c r="G34" s="293">
        <v>0.74584402626975865</v>
      </c>
      <c r="H34" s="293">
        <v>0.73961689624843152</v>
      </c>
      <c r="I34" s="293">
        <v>0.57747784774452104</v>
      </c>
      <c r="J34" s="293">
        <v>0.84736357354527736</v>
      </c>
      <c r="K34" s="293">
        <v>0.80578829595962764</v>
      </c>
      <c r="L34" s="293">
        <v>0.98868896197050382</v>
      </c>
      <c r="M34" s="293">
        <v>0.98457169526357458</v>
      </c>
      <c r="N34" s="293">
        <v>0.79215834567119681</v>
      </c>
      <c r="O34" s="293">
        <v>0.98632431688611755</v>
      </c>
    </row>
    <row r="35" spans="1:15">
      <c r="A35" s="92"/>
      <c r="B35" s="455">
        <v>2021</v>
      </c>
      <c r="C35" s="296" t="s">
        <v>237</v>
      </c>
      <c r="D35" s="296">
        <v>0.59977424003886792</v>
      </c>
      <c r="E35" s="296">
        <v>0.65070227508579381</v>
      </c>
      <c r="F35" s="296">
        <v>0.92901690135396564</v>
      </c>
      <c r="G35" s="296">
        <v>1</v>
      </c>
      <c r="H35" s="296">
        <v>0.74988104642631237</v>
      </c>
      <c r="I35" s="296">
        <v>0.98146659890845889</v>
      </c>
      <c r="J35" s="296">
        <v>0.79541541014561712</v>
      </c>
      <c r="K35" s="296">
        <v>1</v>
      </c>
      <c r="L35" s="296">
        <v>0.96055876503717874</v>
      </c>
      <c r="M35" s="296">
        <v>0.42534194314232898</v>
      </c>
      <c r="N35" s="296">
        <v>0.69146994624176827</v>
      </c>
      <c r="O35" s="296">
        <v>0.79453353302386376</v>
      </c>
    </row>
    <row r="36" spans="1:15">
      <c r="A36" s="92"/>
      <c r="B36" s="454">
        <v>2022</v>
      </c>
      <c r="C36" s="293" t="s">
        <v>237</v>
      </c>
      <c r="D36" s="293" t="s">
        <v>237</v>
      </c>
      <c r="E36" s="293">
        <v>0.92968481073258347</v>
      </c>
      <c r="F36" s="293">
        <v>0.93118539628608665</v>
      </c>
      <c r="G36" s="293">
        <v>0.99370282775368024</v>
      </c>
      <c r="H36" s="293">
        <v>0.92410386641656173</v>
      </c>
      <c r="I36" s="293">
        <v>0.95729203490435877</v>
      </c>
      <c r="J36" s="293">
        <v>0.91299252991726565</v>
      </c>
      <c r="K36" s="293" t="s">
        <v>237</v>
      </c>
      <c r="L36" s="293">
        <v>0.8154970349740035</v>
      </c>
      <c r="M36" s="293">
        <v>0.94859985964869542</v>
      </c>
      <c r="N36" s="293">
        <v>0.56992956456457899</v>
      </c>
      <c r="O36" s="293" t="s">
        <v>237</v>
      </c>
    </row>
    <row r="37" spans="1:15">
      <c r="A37" s="92"/>
      <c r="B37" s="455">
        <v>2023</v>
      </c>
      <c r="C37" s="296" t="s">
        <v>237</v>
      </c>
      <c r="D37" s="296">
        <v>0.64783828242428287</v>
      </c>
      <c r="E37" s="296">
        <v>1</v>
      </c>
      <c r="F37" s="296">
        <v>0.38715307604378252</v>
      </c>
      <c r="G37" s="296">
        <v>1</v>
      </c>
      <c r="H37" s="296">
        <v>0.80753751908871185</v>
      </c>
      <c r="I37" s="296" t="s">
        <v>237</v>
      </c>
      <c r="J37" s="296">
        <v>0.99047775911098035</v>
      </c>
      <c r="K37" s="296" t="s">
        <v>237</v>
      </c>
      <c r="L37" s="296" t="s">
        <v>237</v>
      </c>
      <c r="M37" s="296">
        <v>0.99551354761457045</v>
      </c>
      <c r="N37" s="296">
        <v>0.9109372713722258</v>
      </c>
      <c r="O37" s="296" t="s">
        <v>237</v>
      </c>
    </row>
    <row r="38" spans="1:15">
      <c r="A38" s="92"/>
      <c r="B38" s="454">
        <v>2024</v>
      </c>
      <c r="C38" s="293" t="s">
        <v>237</v>
      </c>
      <c r="D38" s="293" t="s">
        <v>237</v>
      </c>
      <c r="E38" s="293" t="s">
        <v>237</v>
      </c>
      <c r="F38" s="293">
        <v>0.9996990662203159</v>
      </c>
      <c r="G38" s="293" t="s">
        <v>237</v>
      </c>
      <c r="H38" s="293">
        <v>0.82476787048670153</v>
      </c>
      <c r="I38" s="293" t="s">
        <v>237</v>
      </c>
      <c r="J38" s="293">
        <v>0.97495451114148557</v>
      </c>
      <c r="K38" s="293" t="s">
        <v>237</v>
      </c>
      <c r="L38" s="293" t="s">
        <v>237</v>
      </c>
      <c r="M38" s="293" t="s">
        <v>237</v>
      </c>
      <c r="N38" s="293">
        <v>0.58278295487757725</v>
      </c>
      <c r="O38" s="293">
        <v>0.98026343745976896</v>
      </c>
    </row>
    <row r="55" ht="13.2" customHeight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A2D3-FAB8-4ACB-BA50-4CA7D7132FBF}">
  <dimension ref="A2:AL49"/>
  <sheetViews>
    <sheetView workbookViewId="0"/>
  </sheetViews>
  <sheetFormatPr defaultRowHeight="13.8"/>
  <cols>
    <col min="2" max="2" width="11.69921875" style="92" customWidth="1"/>
    <col min="3" max="4" width="14" customWidth="1"/>
    <col min="5" max="5" width="14.69921875" customWidth="1"/>
    <col min="6" max="8" width="14" customWidth="1"/>
  </cols>
  <sheetData>
    <row r="2" spans="1:8">
      <c r="B2" s="158" t="s">
        <v>407</v>
      </c>
    </row>
    <row r="4" spans="1:8" ht="37.950000000000003" customHeight="1">
      <c r="B4" s="403"/>
      <c r="C4" s="404" t="s">
        <v>76</v>
      </c>
      <c r="D4" s="404" t="s">
        <v>77</v>
      </c>
      <c r="E4" s="404" t="s">
        <v>78</v>
      </c>
      <c r="F4" s="404" t="s">
        <v>79</v>
      </c>
      <c r="G4" s="404" t="s">
        <v>80</v>
      </c>
      <c r="H4" s="404" t="s">
        <v>81</v>
      </c>
    </row>
    <row r="5" spans="1:8" hidden="1">
      <c r="B5" s="405"/>
      <c r="C5" s="406"/>
      <c r="D5" s="406"/>
      <c r="E5" s="406"/>
      <c r="F5" s="406"/>
      <c r="G5" s="406"/>
      <c r="H5" s="406"/>
    </row>
    <row r="6" spans="1:8">
      <c r="A6" s="246"/>
      <c r="B6" s="407" t="s">
        <v>28</v>
      </c>
      <c r="C6" s="162">
        <v>137</v>
      </c>
      <c r="D6" s="162">
        <v>523</v>
      </c>
      <c r="E6" s="162">
        <v>325</v>
      </c>
      <c r="F6" s="162">
        <v>110</v>
      </c>
      <c r="G6" s="162">
        <v>130</v>
      </c>
      <c r="H6" s="162">
        <v>543</v>
      </c>
    </row>
    <row r="7" spans="1:8" ht="41.4">
      <c r="A7" s="246"/>
      <c r="B7" s="404" t="s">
        <v>16</v>
      </c>
      <c r="C7" s="290">
        <v>0.70715370118981835</v>
      </c>
      <c r="D7" s="290">
        <v>0.72183591815073622</v>
      </c>
      <c r="E7" s="290">
        <v>0.67865355593701104</v>
      </c>
      <c r="F7" s="290">
        <v>0.71731271945428687</v>
      </c>
      <c r="G7" s="290">
        <v>0.72076528762131487</v>
      </c>
      <c r="H7" s="290">
        <v>0.78377919836613519</v>
      </c>
    </row>
    <row r="8" spans="1:8">
      <c r="A8" s="246"/>
      <c r="B8" s="407">
        <v>1994</v>
      </c>
      <c r="C8" s="293">
        <v>0.31242456246273742</v>
      </c>
      <c r="D8" s="293">
        <v>0.3760258296320364</v>
      </c>
      <c r="E8" s="293">
        <v>0.96785234160659872</v>
      </c>
      <c r="F8" s="293">
        <v>0.29594308755717808</v>
      </c>
      <c r="G8" s="293" t="s">
        <v>237</v>
      </c>
      <c r="H8" s="293">
        <v>0.96291779241345399</v>
      </c>
    </row>
    <row r="9" spans="1:8">
      <c r="A9" s="246"/>
      <c r="B9" s="409">
        <v>1995</v>
      </c>
      <c r="C9" s="296">
        <v>0.20939298345899479</v>
      </c>
      <c r="D9" s="296">
        <v>0.93520311967379199</v>
      </c>
      <c r="E9" s="296">
        <v>0.91932809891247014</v>
      </c>
      <c r="F9" s="296" t="s">
        <v>237</v>
      </c>
      <c r="G9" s="296" t="s">
        <v>237</v>
      </c>
      <c r="H9" s="296">
        <v>0.2055744464965395</v>
      </c>
    </row>
    <row r="10" spans="1:8">
      <c r="A10" s="246"/>
      <c r="B10" s="407">
        <v>1996</v>
      </c>
      <c r="C10" s="293">
        <v>0.38519777664575661</v>
      </c>
      <c r="D10" s="293">
        <v>0.46870029523078122</v>
      </c>
      <c r="E10" s="293">
        <v>0.27421667109277881</v>
      </c>
      <c r="F10" s="293">
        <v>0.76266897088268792</v>
      </c>
      <c r="G10" s="293" t="s">
        <v>237</v>
      </c>
      <c r="H10" s="293">
        <v>0.75276847968758265</v>
      </c>
    </row>
    <row r="11" spans="1:8">
      <c r="A11" s="246"/>
      <c r="B11" s="409">
        <v>1997</v>
      </c>
      <c r="C11" s="296">
        <v>0.52559982714342313</v>
      </c>
      <c r="D11" s="296">
        <v>0.81191631157129351</v>
      </c>
      <c r="E11" s="296">
        <v>0.5428639320145503</v>
      </c>
      <c r="F11" s="296" t="s">
        <v>237</v>
      </c>
      <c r="G11" s="296">
        <v>0.49217313946824143</v>
      </c>
      <c r="H11" s="296">
        <v>0.59108170675060012</v>
      </c>
    </row>
    <row r="12" spans="1:8">
      <c r="A12" s="246"/>
      <c r="B12" s="407">
        <v>1998</v>
      </c>
      <c r="C12" s="293">
        <v>0.62078302222305204</v>
      </c>
      <c r="D12" s="293">
        <v>0.66866501207695783</v>
      </c>
      <c r="E12" s="293">
        <v>0.65348556636817801</v>
      </c>
      <c r="F12" s="293">
        <v>0.67423278209795523</v>
      </c>
      <c r="G12" s="293">
        <v>0.94192210816508082</v>
      </c>
      <c r="H12" s="293">
        <v>0.89233284744826891</v>
      </c>
    </row>
    <row r="13" spans="1:8">
      <c r="A13" s="246"/>
      <c r="B13" s="409">
        <v>1999</v>
      </c>
      <c r="C13" s="296">
        <v>0.76227996983049162</v>
      </c>
      <c r="D13" s="296">
        <v>0.79418679852624163</v>
      </c>
      <c r="E13" s="296">
        <v>0.22133036613747831</v>
      </c>
      <c r="F13" s="296">
        <v>0.95318920234711213</v>
      </c>
      <c r="G13" s="296">
        <v>1</v>
      </c>
      <c r="H13" s="296">
        <v>0.79277022894154536</v>
      </c>
    </row>
    <row r="14" spans="1:8">
      <c r="A14" s="246"/>
      <c r="B14" s="407">
        <v>2000</v>
      </c>
      <c r="C14" s="293">
        <v>0.60221844539615177</v>
      </c>
      <c r="D14" s="293">
        <v>0.59334211006384407</v>
      </c>
      <c r="E14" s="293">
        <v>0.34522192358015852</v>
      </c>
      <c r="F14" s="293" t="s">
        <v>237</v>
      </c>
      <c r="G14" s="293">
        <v>0.3461185967342143</v>
      </c>
      <c r="H14" s="293">
        <v>0.89336250065788203</v>
      </c>
    </row>
    <row r="15" spans="1:8">
      <c r="A15" s="246"/>
      <c r="B15" s="409">
        <v>2001</v>
      </c>
      <c r="C15" s="296">
        <v>0.55407620013346381</v>
      </c>
      <c r="D15" s="296">
        <v>0.66556341989357581</v>
      </c>
      <c r="E15" s="296">
        <v>0.45836223771001938</v>
      </c>
      <c r="F15" s="296">
        <v>0.86413570949999263</v>
      </c>
      <c r="G15" s="296">
        <v>0.69408040831106366</v>
      </c>
      <c r="H15" s="296">
        <v>0.76089755411476878</v>
      </c>
    </row>
    <row r="16" spans="1:8">
      <c r="A16" s="246"/>
      <c r="B16" s="407">
        <v>2002</v>
      </c>
      <c r="C16" s="293">
        <v>0.64368419238957908</v>
      </c>
      <c r="D16" s="293">
        <v>0.54940529901546853</v>
      </c>
      <c r="E16" s="293">
        <v>0.77192636417984473</v>
      </c>
      <c r="F16" s="293">
        <v>0.77544527788759843</v>
      </c>
      <c r="G16" s="293">
        <v>0.83371440789608842</v>
      </c>
      <c r="H16" s="293">
        <v>0.69021230077620432</v>
      </c>
    </row>
    <row r="17" spans="1:8">
      <c r="A17" s="246"/>
      <c r="B17" s="409">
        <v>2003</v>
      </c>
      <c r="C17" s="296">
        <v>0.82086864594279907</v>
      </c>
      <c r="D17" s="296">
        <v>0.73434667296020073</v>
      </c>
      <c r="E17" s="296">
        <v>0.90622159859719442</v>
      </c>
      <c r="F17" s="296">
        <v>0.81516963178426372</v>
      </c>
      <c r="G17" s="296">
        <v>0.99045338155983687</v>
      </c>
      <c r="H17" s="296">
        <v>0.89490648304283849</v>
      </c>
    </row>
    <row r="18" spans="1:8">
      <c r="A18" s="246"/>
      <c r="B18" s="407">
        <v>2004</v>
      </c>
      <c r="C18" s="293">
        <v>0.98993108490002113</v>
      </c>
      <c r="D18" s="293">
        <v>0.9923362214123278</v>
      </c>
      <c r="E18" s="293">
        <v>0.74782042436783935</v>
      </c>
      <c r="F18" s="293">
        <v>0.65625917075796247</v>
      </c>
      <c r="G18" s="293">
        <v>0.73499133865900335</v>
      </c>
      <c r="H18" s="293">
        <v>0.7416936793469785</v>
      </c>
    </row>
    <row r="19" spans="1:8">
      <c r="A19" s="246"/>
      <c r="B19" s="409">
        <v>2005</v>
      </c>
      <c r="C19" s="296">
        <v>0.47927849031803132</v>
      </c>
      <c r="D19" s="296">
        <v>0.86844557703862391</v>
      </c>
      <c r="E19" s="296">
        <v>0.97154944969434076</v>
      </c>
      <c r="F19" s="296">
        <v>0.86026227289558121</v>
      </c>
      <c r="G19" s="296">
        <v>0.33359906410805701</v>
      </c>
      <c r="H19" s="296">
        <v>0.68308583254469157</v>
      </c>
    </row>
    <row r="20" spans="1:8">
      <c r="A20" s="246"/>
      <c r="B20" s="407">
        <v>2006</v>
      </c>
      <c r="C20" s="293">
        <v>0.85996329889788503</v>
      </c>
      <c r="D20" s="293">
        <v>0.63406614992377897</v>
      </c>
      <c r="E20" s="293">
        <v>0.76547734048921123</v>
      </c>
      <c r="F20" s="293">
        <v>0.39722690596150201</v>
      </c>
      <c r="G20" s="293">
        <v>0.51772190746098246</v>
      </c>
      <c r="H20" s="293">
        <v>0.76908574532169616</v>
      </c>
    </row>
    <row r="21" spans="1:8">
      <c r="A21" s="246"/>
      <c r="B21" s="409">
        <v>2007</v>
      </c>
      <c r="C21" s="296">
        <v>1</v>
      </c>
      <c r="D21" s="296">
        <v>0.62714971811460418</v>
      </c>
      <c r="E21" s="296">
        <v>0.65576355328999369</v>
      </c>
      <c r="F21" s="296">
        <v>0.70596433298916017</v>
      </c>
      <c r="G21" s="296">
        <v>1</v>
      </c>
      <c r="H21" s="296">
        <v>0.89805116112740047</v>
      </c>
    </row>
    <row r="22" spans="1:8">
      <c r="A22" s="246"/>
      <c r="B22" s="407">
        <v>2008</v>
      </c>
      <c r="C22" s="293">
        <v>0.81285653080947906</v>
      </c>
      <c r="D22" s="293">
        <v>0.77455281004848098</v>
      </c>
      <c r="E22" s="293">
        <v>0.80192057269246264</v>
      </c>
      <c r="F22" s="293">
        <v>0.98399545962178858</v>
      </c>
      <c r="G22" s="293">
        <v>0.87173908143852774</v>
      </c>
      <c r="H22" s="293">
        <v>0.78217850993479254</v>
      </c>
    </row>
    <row r="23" spans="1:8">
      <c r="A23" s="246"/>
      <c r="B23" s="409">
        <v>2009</v>
      </c>
      <c r="C23" s="296">
        <v>0.73148668092293567</v>
      </c>
      <c r="D23" s="296">
        <v>0.72270802648855403</v>
      </c>
      <c r="E23" s="296">
        <v>0.77035923990299193</v>
      </c>
      <c r="F23" s="296">
        <v>0.66666666666666663</v>
      </c>
      <c r="G23" s="296">
        <v>0.5716078688809848</v>
      </c>
      <c r="H23" s="296">
        <v>0.75386774739018081</v>
      </c>
    </row>
    <row r="24" spans="1:8">
      <c r="A24" s="246"/>
      <c r="B24" s="407">
        <v>2010</v>
      </c>
      <c r="C24" s="293">
        <v>0.89620342422697474</v>
      </c>
      <c r="D24" s="293">
        <v>0.75234472330571078</v>
      </c>
      <c r="E24" s="293">
        <v>0.76603006195221546</v>
      </c>
      <c r="F24" s="293">
        <v>0.75556137578364935</v>
      </c>
      <c r="G24" s="293">
        <v>0.78571996594867377</v>
      </c>
      <c r="H24" s="293">
        <v>0.84037735222368493</v>
      </c>
    </row>
    <row r="25" spans="1:8">
      <c r="A25" s="246"/>
      <c r="B25" s="409">
        <v>2011</v>
      </c>
      <c r="C25" s="296">
        <v>0.91103093174776228</v>
      </c>
      <c r="D25" s="296">
        <v>0.75250686783164045</v>
      </c>
      <c r="E25" s="296">
        <v>1</v>
      </c>
      <c r="F25" s="296">
        <v>0.76980066283525983</v>
      </c>
      <c r="G25" s="296">
        <v>0.58181322910922495</v>
      </c>
      <c r="H25" s="296">
        <v>0.85474973889261419</v>
      </c>
    </row>
    <row r="26" spans="1:8">
      <c r="A26" s="246"/>
      <c r="B26" s="407">
        <v>2012</v>
      </c>
      <c r="C26" s="293">
        <v>0.52156372217572333</v>
      </c>
      <c r="D26" s="293">
        <v>0.7231786357555462</v>
      </c>
      <c r="E26" s="293">
        <v>0.61065707007902825</v>
      </c>
      <c r="F26" s="293">
        <v>0.64987641569413257</v>
      </c>
      <c r="G26" s="293">
        <v>0.95067530867563865</v>
      </c>
      <c r="H26" s="293">
        <v>0.83210753770463564</v>
      </c>
    </row>
    <row r="27" spans="1:8">
      <c r="A27" s="246"/>
      <c r="B27" s="409">
        <v>2013</v>
      </c>
      <c r="C27" s="296">
        <v>0.81522854024041225</v>
      </c>
      <c r="D27" s="296">
        <v>0.53095412944535625</v>
      </c>
      <c r="E27" s="296">
        <v>0.73857178532061196</v>
      </c>
      <c r="F27" s="296">
        <v>0.41057112117038391</v>
      </c>
      <c r="G27" s="296">
        <v>0.21318536196608559</v>
      </c>
      <c r="H27" s="296">
        <v>0.81047656136333346</v>
      </c>
    </row>
    <row r="28" spans="1:8">
      <c r="A28" s="246"/>
      <c r="B28" s="407">
        <v>2014</v>
      </c>
      <c r="C28" s="293">
        <v>0.74249643632268802</v>
      </c>
      <c r="D28" s="293">
        <v>0.58387433871852701</v>
      </c>
      <c r="E28" s="293">
        <v>0.58814523868994639</v>
      </c>
      <c r="F28" s="293">
        <v>0.81176699756783832</v>
      </c>
      <c r="G28" s="293">
        <v>0.60952623773850556</v>
      </c>
      <c r="H28" s="293">
        <v>0.70459102158602482</v>
      </c>
    </row>
    <row r="29" spans="1:8">
      <c r="A29" s="246"/>
      <c r="B29" s="409">
        <v>2015</v>
      </c>
      <c r="C29" s="296">
        <v>0.61656197756046149</v>
      </c>
      <c r="D29" s="296">
        <v>0.78089599168133272</v>
      </c>
      <c r="E29" s="296">
        <v>0.63792657957389065</v>
      </c>
      <c r="F29" s="296">
        <v>0.48243725908644852</v>
      </c>
      <c r="G29" s="296">
        <v>0.55927987899349729</v>
      </c>
      <c r="H29" s="296">
        <v>0.70619131979355754</v>
      </c>
    </row>
    <row r="30" spans="1:8">
      <c r="A30" s="246"/>
      <c r="B30" s="407">
        <v>2016</v>
      </c>
      <c r="C30" s="293">
        <v>0.70494708770268866</v>
      </c>
      <c r="D30" s="293">
        <v>0.65143959796044359</v>
      </c>
      <c r="E30" s="293">
        <v>0.62755177697282583</v>
      </c>
      <c r="F30" s="293">
        <v>0.48717243103344449</v>
      </c>
      <c r="G30" s="293">
        <v>0.44299016789535928</v>
      </c>
      <c r="H30" s="293">
        <v>0.60945612768597279</v>
      </c>
    </row>
    <row r="31" spans="1:8">
      <c r="A31" s="246"/>
      <c r="B31" s="409">
        <v>2017</v>
      </c>
      <c r="C31" s="296">
        <v>1.378584885155448E-2</v>
      </c>
      <c r="D31" s="296">
        <v>0.76205552450837633</v>
      </c>
      <c r="E31" s="296">
        <v>0.67622180444119073</v>
      </c>
      <c r="F31" s="296">
        <v>0.26601785433551189</v>
      </c>
      <c r="G31" s="296" t="s">
        <v>237</v>
      </c>
      <c r="H31" s="296">
        <v>0.88111538790783017</v>
      </c>
    </row>
    <row r="32" spans="1:8">
      <c r="A32" s="246"/>
      <c r="B32" s="407">
        <v>2018</v>
      </c>
      <c r="C32" s="293">
        <v>0.62631981419716287</v>
      </c>
      <c r="D32" s="293">
        <v>0.78204090363315093</v>
      </c>
      <c r="E32" s="293">
        <v>0.54795741919593632</v>
      </c>
      <c r="F32" s="293">
        <v>1</v>
      </c>
      <c r="G32" s="293">
        <v>0.22138885959029991</v>
      </c>
      <c r="H32" s="293">
        <v>0.54696198828890064</v>
      </c>
    </row>
    <row r="33" spans="1:38">
      <c r="A33" s="246"/>
      <c r="B33" s="409">
        <v>2019</v>
      </c>
      <c r="C33" s="296">
        <v>0.74871647070245384</v>
      </c>
      <c r="D33" s="296">
        <v>0.73911972548111571</v>
      </c>
      <c r="E33" s="296">
        <v>0.63220456677261971</v>
      </c>
      <c r="F33" s="296">
        <v>0.78537393456544136</v>
      </c>
      <c r="G33" s="296">
        <v>0.45311213720380039</v>
      </c>
      <c r="H33" s="296">
        <v>0.83676454596707894</v>
      </c>
    </row>
    <row r="34" spans="1:38">
      <c r="A34" s="246"/>
      <c r="B34" s="407">
        <v>2020</v>
      </c>
      <c r="C34" s="293">
        <v>0.85223382681193949</v>
      </c>
      <c r="D34" s="293">
        <v>0.81151453667428652</v>
      </c>
      <c r="E34" s="293">
        <v>0.68966041072538165</v>
      </c>
      <c r="F34" s="293">
        <v>0.6264764290675009</v>
      </c>
      <c r="G34" s="293">
        <v>0.92494058964058701</v>
      </c>
      <c r="H34" s="293">
        <v>0.87247793202592094</v>
      </c>
    </row>
    <row r="35" spans="1:38">
      <c r="A35" s="246"/>
      <c r="B35" s="409">
        <v>2021</v>
      </c>
      <c r="C35" s="296">
        <v>0.81499883239192461</v>
      </c>
      <c r="D35" s="296">
        <v>0.87804373455686191</v>
      </c>
      <c r="E35" s="296">
        <v>0.59032959025358822</v>
      </c>
      <c r="F35" s="296">
        <v>0.90666887975904087</v>
      </c>
      <c r="G35" s="296">
        <v>0.78855461118856918</v>
      </c>
      <c r="H35" s="296">
        <v>0.73366985498854309</v>
      </c>
    </row>
    <row r="36" spans="1:38">
      <c r="A36" s="246"/>
      <c r="B36" s="407">
        <v>2022</v>
      </c>
      <c r="C36" s="293">
        <v>0.92585342229983492</v>
      </c>
      <c r="D36" s="293">
        <v>0.77780101860221051</v>
      </c>
      <c r="E36" s="293">
        <v>0.72236832570156939</v>
      </c>
      <c r="F36" s="293">
        <v>1</v>
      </c>
      <c r="G36" s="293">
        <v>0.97599225749593876</v>
      </c>
      <c r="H36" s="293">
        <v>0.91203199563549453</v>
      </c>
    </row>
    <row r="37" spans="1:38">
      <c r="A37" s="246"/>
      <c r="B37" s="409">
        <v>2023</v>
      </c>
      <c r="C37" s="296">
        <v>0.32156506335873358</v>
      </c>
      <c r="D37" s="296">
        <v>0.9558469165313831</v>
      </c>
      <c r="E37" s="296">
        <v>0.46440818299725811</v>
      </c>
      <c r="F37" s="296">
        <v>0.99834712591106278</v>
      </c>
      <c r="G37" s="296">
        <v>0.90992183507896196</v>
      </c>
      <c r="H37" s="296">
        <v>0.93215310024868492</v>
      </c>
    </row>
    <row r="38" spans="1:38">
      <c r="A38" s="246"/>
      <c r="B38" s="407">
        <v>2024</v>
      </c>
      <c r="C38" s="293" t="s">
        <v>237</v>
      </c>
      <c r="D38" s="293" t="s">
        <v>237</v>
      </c>
      <c r="E38" s="293">
        <v>0.3282282106963606</v>
      </c>
      <c r="F38" s="293">
        <v>0.50491982965157978</v>
      </c>
      <c r="G38" s="293" t="s">
        <v>237</v>
      </c>
      <c r="H38" s="293">
        <v>0.93245323936434321</v>
      </c>
    </row>
    <row r="45" spans="1:38">
      <c r="AJ45" t="s">
        <v>237</v>
      </c>
      <c r="AK45" t="s">
        <v>237</v>
      </c>
      <c r="AL45" t="s">
        <v>237</v>
      </c>
    </row>
    <row r="46" spans="1:38">
      <c r="AJ46" t="s">
        <v>237</v>
      </c>
      <c r="AK46" t="s">
        <v>237</v>
      </c>
      <c r="AL46" t="s">
        <v>237</v>
      </c>
    </row>
    <row r="47" spans="1:38">
      <c r="AJ47" t="s">
        <v>237</v>
      </c>
      <c r="AK47" t="s">
        <v>237</v>
      </c>
      <c r="AL47" t="s">
        <v>237</v>
      </c>
    </row>
    <row r="48" spans="1:38">
      <c r="AJ48" t="s">
        <v>237</v>
      </c>
      <c r="AK48" t="s">
        <v>237</v>
      </c>
      <c r="AL48" t="s">
        <v>237</v>
      </c>
    </row>
    <row r="49" spans="36:38">
      <c r="AJ49" t="s">
        <v>237</v>
      </c>
      <c r="AK49" t="s">
        <v>237</v>
      </c>
      <c r="AL49" t="s">
        <v>237</v>
      </c>
    </row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63A1-4F3A-499D-AFF7-DE0594748599}">
  <sheetPr>
    <tabColor rgb="FFFF0000"/>
  </sheetPr>
  <dimension ref="A1:K111"/>
  <sheetViews>
    <sheetView workbookViewId="0">
      <selection activeCell="E15" sqref="E15"/>
    </sheetView>
  </sheetViews>
  <sheetFormatPr defaultRowHeight="13.8" outlineLevelCol="1"/>
  <cols>
    <col min="1" max="1" width="7.3984375" customWidth="1"/>
    <col min="2" max="2" width="14" style="92" customWidth="1"/>
    <col min="3" max="5" width="14" customWidth="1"/>
    <col min="6" max="9" width="14" customWidth="1" outlineLevel="1"/>
    <col min="10" max="10" width="9"/>
  </cols>
  <sheetData>
    <row r="1" spans="1:11">
      <c r="A1" s="92"/>
      <c r="B1"/>
      <c r="F1" t="s">
        <v>534</v>
      </c>
      <c r="G1" s="562">
        <f>F7*F6/SUM(F6,H6)+H7*(H6/SUM(F6,H6))</f>
        <v>0.71634305025091161</v>
      </c>
    </row>
    <row r="2" spans="1:11">
      <c r="A2" s="92"/>
      <c r="B2" s="235" t="s">
        <v>408</v>
      </c>
      <c r="K2" s="235" t="s">
        <v>409</v>
      </c>
    </row>
    <row r="3" spans="1:11">
      <c r="A3" s="92"/>
      <c r="C3">
        <v>2</v>
      </c>
      <c r="D3">
        <v>3</v>
      </c>
      <c r="E3">
        <v>2</v>
      </c>
      <c r="F3">
        <v>3</v>
      </c>
      <c r="G3">
        <v>4</v>
      </c>
      <c r="H3">
        <v>5</v>
      </c>
      <c r="I3">
        <v>6</v>
      </c>
    </row>
    <row r="4" spans="1:11" ht="37.950000000000003" customHeight="1">
      <c r="B4" s="403"/>
      <c r="C4" s="404" t="s">
        <v>85</v>
      </c>
      <c r="D4" s="404" t="s">
        <v>86</v>
      </c>
      <c r="E4" s="451" t="s">
        <v>87</v>
      </c>
      <c r="F4" s="451" t="s">
        <v>88</v>
      </c>
      <c r="G4" s="451" t="s">
        <v>89</v>
      </c>
      <c r="H4" s="451" t="s">
        <v>90</v>
      </c>
      <c r="I4" s="451" t="s">
        <v>91</v>
      </c>
    </row>
    <row r="5" spans="1:11" hidden="1">
      <c r="B5" s="405"/>
      <c r="C5" s="406"/>
      <c r="D5" s="406"/>
      <c r="E5" s="452" t="s">
        <v>184</v>
      </c>
      <c r="F5" s="452" t="s">
        <v>184</v>
      </c>
      <c r="G5" s="452" t="s">
        <v>184</v>
      </c>
      <c r="H5" s="452" t="s">
        <v>184</v>
      </c>
      <c r="I5" s="452" t="s">
        <v>184</v>
      </c>
    </row>
    <row r="6" spans="1:11">
      <c r="B6" s="407" t="s">
        <v>28</v>
      </c>
      <c r="C6" s="98">
        <v>453</v>
      </c>
      <c r="D6" s="98">
        <v>1348</v>
      </c>
      <c r="E6" s="162">
        <v>339</v>
      </c>
      <c r="F6" s="162">
        <v>304</v>
      </c>
      <c r="G6" s="162">
        <v>114</v>
      </c>
      <c r="H6" s="162">
        <v>114</v>
      </c>
      <c r="I6" s="162">
        <v>143</v>
      </c>
    </row>
    <row r="7" spans="1:11" ht="27.6">
      <c r="B7" s="404" t="s">
        <v>16</v>
      </c>
      <c r="C7" s="453">
        <v>0.79083737534669207</v>
      </c>
      <c r="D7" s="453">
        <v>0.70868120068145279</v>
      </c>
      <c r="E7" s="290">
        <v>0.82174942483489377</v>
      </c>
      <c r="F7" s="290">
        <v>0.72265483407178477</v>
      </c>
      <c r="G7" s="290">
        <v>0.69891470186862159</v>
      </c>
      <c r="H7" s="290">
        <v>0.69951162672858325</v>
      </c>
      <c r="I7" s="290">
        <v>0.68979889056630606</v>
      </c>
    </row>
    <row r="8" spans="1:11">
      <c r="B8" s="454">
        <v>1994</v>
      </c>
      <c r="C8" s="293" t="s">
        <v>237</v>
      </c>
      <c r="D8" s="293">
        <v>0.72362125103438646</v>
      </c>
      <c r="E8" s="293" t="s">
        <v>237</v>
      </c>
      <c r="F8" s="293">
        <v>0.57687255450998798</v>
      </c>
      <c r="G8" s="293" t="s">
        <v>237</v>
      </c>
      <c r="H8" s="293" t="s">
        <v>237</v>
      </c>
      <c r="I8" s="293" t="s">
        <v>237</v>
      </c>
    </row>
    <row r="9" spans="1:11">
      <c r="B9" s="455">
        <v>1995</v>
      </c>
      <c r="C9" s="296" t="s">
        <v>237</v>
      </c>
      <c r="D9" s="296">
        <v>0.52030336414398126</v>
      </c>
      <c r="E9" s="296" t="s">
        <v>237</v>
      </c>
      <c r="F9" s="296" t="s">
        <v>237</v>
      </c>
      <c r="G9" s="296" t="s">
        <v>237</v>
      </c>
      <c r="H9" s="296" t="s">
        <v>237</v>
      </c>
      <c r="I9" s="296">
        <v>0.3595082901014402</v>
      </c>
    </row>
    <row r="10" spans="1:11">
      <c r="B10" s="454">
        <v>1996</v>
      </c>
      <c r="C10" s="293" t="s">
        <v>237</v>
      </c>
      <c r="D10" s="293">
        <v>0.59583537633776906</v>
      </c>
      <c r="E10" s="293" t="s">
        <v>237</v>
      </c>
      <c r="F10" s="293" t="s">
        <v>237</v>
      </c>
      <c r="G10" s="293" t="s">
        <v>237</v>
      </c>
      <c r="H10" s="293" t="s">
        <v>237</v>
      </c>
      <c r="I10" s="293" t="s">
        <v>237</v>
      </c>
    </row>
    <row r="11" spans="1:11">
      <c r="B11" s="455">
        <v>1997</v>
      </c>
      <c r="C11" s="296">
        <v>0.35495723474737462</v>
      </c>
      <c r="D11" s="296">
        <v>0.60394754845793985</v>
      </c>
      <c r="E11" s="296" t="s">
        <v>237</v>
      </c>
      <c r="F11" s="296" t="s">
        <v>237</v>
      </c>
      <c r="G11" s="296">
        <v>0.35495723474737462</v>
      </c>
      <c r="H11" s="296" t="s">
        <v>237</v>
      </c>
      <c r="I11" s="296">
        <v>0.25559057303202398</v>
      </c>
    </row>
    <row r="12" spans="1:11">
      <c r="B12" s="454">
        <v>1998</v>
      </c>
      <c r="C12" s="293">
        <v>0.8231091691179363</v>
      </c>
      <c r="D12" s="293">
        <v>0.75392722569369119</v>
      </c>
      <c r="E12" s="293">
        <v>0.86704602197746428</v>
      </c>
      <c r="F12" s="293">
        <v>1</v>
      </c>
      <c r="G12" s="293">
        <v>0.63637754446494244</v>
      </c>
      <c r="H12" s="293" t="s">
        <v>237</v>
      </c>
      <c r="I12" s="293">
        <v>0.55889512185749679</v>
      </c>
    </row>
    <row r="13" spans="1:11">
      <c r="B13" s="455">
        <v>1999</v>
      </c>
      <c r="C13" s="296">
        <v>0.75073824143217793</v>
      </c>
      <c r="D13" s="296">
        <v>0.72967271694763347</v>
      </c>
      <c r="E13" s="296">
        <v>0.83727111524372722</v>
      </c>
      <c r="F13" s="296">
        <v>0.88972597406701626</v>
      </c>
      <c r="G13" s="296">
        <v>5.8475250939784347E-2</v>
      </c>
      <c r="H13" s="296" t="s">
        <v>237</v>
      </c>
      <c r="I13" s="296">
        <v>0.91729448055026219</v>
      </c>
    </row>
    <row r="14" spans="1:11">
      <c r="B14" s="454">
        <v>2000</v>
      </c>
      <c r="C14" s="293">
        <v>0.61869245310269672</v>
      </c>
      <c r="D14" s="293">
        <v>0.61656120625293953</v>
      </c>
      <c r="E14" s="293">
        <v>0.61869245310269672</v>
      </c>
      <c r="F14" s="293">
        <v>0.63771358325333005</v>
      </c>
      <c r="G14" s="293" t="s">
        <v>237</v>
      </c>
      <c r="H14" s="293" t="s">
        <v>237</v>
      </c>
      <c r="I14" s="293">
        <v>0.84026695191041834</v>
      </c>
    </row>
    <row r="15" spans="1:11">
      <c r="B15" s="455">
        <v>2001</v>
      </c>
      <c r="C15" s="296">
        <v>0.72469820026466447</v>
      </c>
      <c r="D15" s="296">
        <v>0.63982236120783464</v>
      </c>
      <c r="E15" s="296">
        <v>0.72469820026466447</v>
      </c>
      <c r="F15" s="296">
        <v>0.6881708098620879</v>
      </c>
      <c r="G15" s="296" t="s">
        <v>237</v>
      </c>
      <c r="H15" s="296" t="s">
        <v>237</v>
      </c>
      <c r="I15" s="296">
        <v>0.26424826605375068</v>
      </c>
    </row>
    <row r="16" spans="1:11">
      <c r="B16" s="454">
        <v>2002</v>
      </c>
      <c r="C16" s="293">
        <v>0.84322917904614414</v>
      </c>
      <c r="D16" s="293">
        <v>0.71004656803314181</v>
      </c>
      <c r="E16" s="293">
        <v>0.84322917904614414</v>
      </c>
      <c r="F16" s="293">
        <v>0.60671366866573273</v>
      </c>
      <c r="G16" s="293" t="s">
        <v>237</v>
      </c>
      <c r="H16" s="293" t="s">
        <v>237</v>
      </c>
      <c r="I16" s="293">
        <v>0.97888132320039012</v>
      </c>
    </row>
    <row r="17" spans="2:9">
      <c r="B17" s="455">
        <v>2003</v>
      </c>
      <c r="C17" s="296">
        <v>0.94732187245783117</v>
      </c>
      <c r="D17" s="296">
        <v>0.84410511596446958</v>
      </c>
      <c r="E17" s="296">
        <v>0.99259178827822092</v>
      </c>
      <c r="F17" s="296">
        <v>0.83268691096255876</v>
      </c>
      <c r="G17" s="296">
        <v>0.60779750380490949</v>
      </c>
      <c r="H17" s="296">
        <v>0.98501717128337707</v>
      </c>
      <c r="I17" s="296">
        <v>0.93335795793044096</v>
      </c>
    </row>
    <row r="18" spans="2:9">
      <c r="B18" s="454">
        <v>2004</v>
      </c>
      <c r="C18" s="293">
        <v>0.82177737956320029</v>
      </c>
      <c r="D18" s="293">
        <v>0.75648787667495809</v>
      </c>
      <c r="E18" s="293">
        <v>0.79207360949040029</v>
      </c>
      <c r="F18" s="293">
        <v>0.99077524866004896</v>
      </c>
      <c r="G18" s="293">
        <v>1</v>
      </c>
      <c r="H18" s="293" t="s">
        <v>237</v>
      </c>
      <c r="I18" s="293">
        <v>0.71687171476933886</v>
      </c>
    </row>
    <row r="19" spans="2:9">
      <c r="B19" s="455">
        <v>2005</v>
      </c>
      <c r="C19" s="296">
        <v>0.63300028258228092</v>
      </c>
      <c r="D19" s="296">
        <v>0.7166801361524936</v>
      </c>
      <c r="E19" s="296">
        <v>0.63300028258228092</v>
      </c>
      <c r="F19" s="296">
        <v>0.77168974762085774</v>
      </c>
      <c r="G19" s="296" t="s">
        <v>237</v>
      </c>
      <c r="H19" s="296" t="s">
        <v>237</v>
      </c>
      <c r="I19" s="296">
        <v>0.797053060109149</v>
      </c>
    </row>
    <row r="20" spans="2:9">
      <c r="B20" s="454">
        <v>2006</v>
      </c>
      <c r="C20" s="293">
        <v>0.71523833526805458</v>
      </c>
      <c r="D20" s="293">
        <v>0.72723826634778155</v>
      </c>
      <c r="E20" s="293">
        <v>0.82853742199240299</v>
      </c>
      <c r="F20" s="293">
        <v>0.5</v>
      </c>
      <c r="G20" s="293">
        <v>3.5443814921964821E-2</v>
      </c>
      <c r="H20" s="293">
        <v>0</v>
      </c>
      <c r="I20" s="293">
        <v>1</v>
      </c>
    </row>
    <row r="21" spans="2:9">
      <c r="B21" s="455">
        <v>2007</v>
      </c>
      <c r="C21" s="296">
        <v>0.95952608719701438</v>
      </c>
      <c r="D21" s="296">
        <v>0.77052341555020831</v>
      </c>
      <c r="E21" s="296">
        <v>0.99807763717341302</v>
      </c>
      <c r="F21" s="296">
        <v>0.86475903122671394</v>
      </c>
      <c r="G21" s="296">
        <v>0.80531988729141979</v>
      </c>
      <c r="H21" s="296" t="s">
        <v>237</v>
      </c>
      <c r="I21" s="296">
        <v>0.63217800609913777</v>
      </c>
    </row>
    <row r="22" spans="2:9">
      <c r="B22" s="454">
        <v>2008</v>
      </c>
      <c r="C22" s="293">
        <v>0.90658236475080722</v>
      </c>
      <c r="D22" s="293">
        <v>0.73206435044124762</v>
      </c>
      <c r="E22" s="293">
        <v>0.888385730360996</v>
      </c>
      <c r="F22" s="293">
        <v>0.81108781069644631</v>
      </c>
      <c r="G22" s="293">
        <v>0.99301637810240895</v>
      </c>
      <c r="H22" s="293">
        <v>1</v>
      </c>
      <c r="I22" s="293">
        <v>0.89454261413238534</v>
      </c>
    </row>
    <row r="23" spans="2:9">
      <c r="B23" s="455">
        <v>2009</v>
      </c>
      <c r="C23" s="296">
        <v>0.78088293053958779</v>
      </c>
      <c r="D23" s="296">
        <v>0.68992803484788834</v>
      </c>
      <c r="E23" s="296">
        <v>0.82016633029095776</v>
      </c>
      <c r="F23" s="296">
        <v>0.78651257979569345</v>
      </c>
      <c r="G23" s="296">
        <v>0.73286988639902451</v>
      </c>
      <c r="H23" s="296">
        <v>0.79675877641196036</v>
      </c>
      <c r="I23" s="296">
        <v>0.66599707297972166</v>
      </c>
    </row>
    <row r="24" spans="2:9">
      <c r="B24" s="454">
        <v>2010</v>
      </c>
      <c r="C24" s="293">
        <v>0.83111146468045061</v>
      </c>
      <c r="D24" s="293">
        <v>0.76436781766179762</v>
      </c>
      <c r="E24" s="293">
        <v>0.81501226590023146</v>
      </c>
      <c r="F24" s="293">
        <v>0.75688178041339793</v>
      </c>
      <c r="G24" s="293">
        <v>0.84951054900070111</v>
      </c>
      <c r="H24" s="293">
        <v>1</v>
      </c>
      <c r="I24" s="293">
        <v>0.72960302733169646</v>
      </c>
    </row>
    <row r="25" spans="2:9">
      <c r="B25" s="455">
        <v>2011</v>
      </c>
      <c r="C25" s="296">
        <v>0.93096842077587949</v>
      </c>
      <c r="D25" s="296">
        <v>0.70782877458804694</v>
      </c>
      <c r="E25" s="296">
        <v>0.98186049324629732</v>
      </c>
      <c r="F25" s="296">
        <v>0.6249902500178377</v>
      </c>
      <c r="G25" s="296">
        <v>0.79283279549903163</v>
      </c>
      <c r="H25" s="296" t="s">
        <v>237</v>
      </c>
      <c r="I25" s="296">
        <v>0.62908620401183901</v>
      </c>
    </row>
    <row r="26" spans="2:9">
      <c r="B26" s="454">
        <v>2012</v>
      </c>
      <c r="C26" s="293">
        <v>0.87965092240266951</v>
      </c>
      <c r="D26" s="293">
        <v>0.685666008226264</v>
      </c>
      <c r="E26" s="293">
        <v>0.88437213997205644</v>
      </c>
      <c r="F26" s="293">
        <v>0.83050398425274652</v>
      </c>
      <c r="G26" s="293">
        <v>0.86666757408685569</v>
      </c>
      <c r="H26" s="293">
        <v>0.73488891108235821</v>
      </c>
      <c r="I26" s="293">
        <v>0.85929781244816938</v>
      </c>
    </row>
    <row r="27" spans="2:9">
      <c r="B27" s="455">
        <v>2013</v>
      </c>
      <c r="C27" s="296">
        <v>0.38030722006046752</v>
      </c>
      <c r="D27" s="296">
        <v>0.66718812951440898</v>
      </c>
      <c r="E27" s="296">
        <v>0.63384536676744585</v>
      </c>
      <c r="F27" s="296">
        <v>0.61776922434331372</v>
      </c>
      <c r="G27" s="296">
        <v>0</v>
      </c>
      <c r="H27" s="296">
        <v>0.62318829705169221</v>
      </c>
      <c r="I27" s="296">
        <v>0.52784789815630562</v>
      </c>
    </row>
    <row r="28" spans="2:9">
      <c r="B28" s="454">
        <v>2014</v>
      </c>
      <c r="C28" s="293">
        <v>0.65706172175513644</v>
      </c>
      <c r="D28" s="293">
        <v>0.64155600073822305</v>
      </c>
      <c r="E28" s="293">
        <v>0.7118168652347312</v>
      </c>
      <c r="F28" s="293">
        <v>0.86690335560912857</v>
      </c>
      <c r="G28" s="293">
        <v>0</v>
      </c>
      <c r="H28" s="293">
        <v>0.88662734485672201</v>
      </c>
      <c r="I28" s="293">
        <v>0.64931068147301119</v>
      </c>
    </row>
    <row r="29" spans="2:9">
      <c r="B29" s="455">
        <v>2015</v>
      </c>
      <c r="C29" s="296">
        <v>0.7697179653480366</v>
      </c>
      <c r="D29" s="296">
        <v>0.69753704336494937</v>
      </c>
      <c r="E29" s="296">
        <v>0.79714135385518248</v>
      </c>
      <c r="F29" s="296">
        <v>0.615003280815277</v>
      </c>
      <c r="G29" s="296">
        <v>0.74838866317581187</v>
      </c>
      <c r="H29" s="296">
        <v>0.72045886527632585</v>
      </c>
      <c r="I29" s="296">
        <v>0.6006041535375628</v>
      </c>
    </row>
    <row r="30" spans="2:9">
      <c r="B30" s="454">
        <v>2016</v>
      </c>
      <c r="C30" s="293">
        <v>0.69736576306640585</v>
      </c>
      <c r="D30" s="293">
        <v>0.56194192176834834</v>
      </c>
      <c r="E30" s="293">
        <v>0.72476395267930149</v>
      </c>
      <c r="F30" s="293">
        <v>0.54860607575595433</v>
      </c>
      <c r="G30" s="293">
        <v>0.61766193873798259</v>
      </c>
      <c r="H30" s="293">
        <v>0.60987843060585867</v>
      </c>
      <c r="I30" s="293">
        <v>0.57957388712400981</v>
      </c>
    </row>
    <row r="31" spans="2:9">
      <c r="B31" s="455">
        <v>2017</v>
      </c>
      <c r="C31" s="296">
        <v>0.83345185195944171</v>
      </c>
      <c r="D31" s="296">
        <v>0.72982596437110914</v>
      </c>
      <c r="E31" s="296">
        <v>0.84408523400876934</v>
      </c>
      <c r="F31" s="296">
        <v>0.81779277787115578</v>
      </c>
      <c r="G31" s="296">
        <v>0.79756418754296143</v>
      </c>
      <c r="H31" s="296">
        <v>0.74219523427648659</v>
      </c>
      <c r="I31" s="296">
        <v>0.56665648955101555</v>
      </c>
    </row>
    <row r="32" spans="2:9">
      <c r="B32" s="454">
        <v>2018</v>
      </c>
      <c r="C32" s="293">
        <v>0.52579332079034136</v>
      </c>
      <c r="D32" s="293">
        <v>0.63633452693385395</v>
      </c>
      <c r="E32" s="293">
        <v>0.50333965639924705</v>
      </c>
      <c r="F32" s="293">
        <v>0.74848176327539484</v>
      </c>
      <c r="G32" s="293">
        <v>0.58566975916659281</v>
      </c>
      <c r="H32" s="293">
        <v>0.63477463973270831</v>
      </c>
      <c r="I32" s="293">
        <v>0.86418212799299343</v>
      </c>
    </row>
    <row r="33" spans="2:10">
      <c r="B33" s="455">
        <v>2019</v>
      </c>
      <c r="C33" s="296">
        <v>0.75051924472893239</v>
      </c>
      <c r="D33" s="296">
        <v>0.68308944056738696</v>
      </c>
      <c r="E33" s="296">
        <v>0.74494931093976835</v>
      </c>
      <c r="F33" s="296">
        <v>0.65021810827632398</v>
      </c>
      <c r="G33" s="296">
        <v>0.75688488334511994</v>
      </c>
      <c r="H33" s="296">
        <v>0.61616213027108135</v>
      </c>
      <c r="I33" s="296">
        <v>0.844587137995509</v>
      </c>
    </row>
    <row r="34" spans="2:10">
      <c r="B34" s="454">
        <v>2020</v>
      </c>
      <c r="C34" s="293">
        <v>0.73961689624843152</v>
      </c>
      <c r="D34" s="293">
        <v>0.82785741658664325</v>
      </c>
      <c r="E34" s="293">
        <v>0.80373158816069101</v>
      </c>
      <c r="F34" s="293">
        <v>0.76029079796482102</v>
      </c>
      <c r="G34" s="293">
        <v>0.41904343668713367</v>
      </c>
      <c r="H34" s="293">
        <v>0.75175926987656538</v>
      </c>
      <c r="I34" s="293">
        <v>0.92294112726200028</v>
      </c>
    </row>
    <row r="35" spans="2:10">
      <c r="B35" s="455">
        <v>2021</v>
      </c>
      <c r="C35" s="296">
        <v>0.74988104642631237</v>
      </c>
      <c r="D35" s="296">
        <v>0.80930616791713472</v>
      </c>
      <c r="E35" s="296">
        <v>0.74898729436708544</v>
      </c>
      <c r="F35" s="296">
        <v>0.74014836889638991</v>
      </c>
      <c r="G35" s="296">
        <v>0.75278574061879999</v>
      </c>
      <c r="H35" s="296">
        <v>0.66061694086594513</v>
      </c>
      <c r="I35" s="296">
        <v>0.83619249870590429</v>
      </c>
    </row>
    <row r="36" spans="2:10">
      <c r="B36" s="454">
        <v>2022</v>
      </c>
      <c r="C36" s="293">
        <v>0.92410386641656173</v>
      </c>
      <c r="D36" s="293">
        <v>0.83078225231081071</v>
      </c>
      <c r="E36" s="293">
        <v>0.89250182026272473</v>
      </c>
      <c r="F36" s="293">
        <v>0.6486923776027963</v>
      </c>
      <c r="G36" s="293">
        <v>0.97376422465830637</v>
      </c>
      <c r="H36" s="293">
        <v>0.47802010423465918</v>
      </c>
      <c r="I36" s="293">
        <v>0.96909511092684431</v>
      </c>
    </row>
    <row r="37" spans="2:10">
      <c r="B37" s="455">
        <v>2023</v>
      </c>
      <c r="C37" s="296">
        <v>0.80753751908871185</v>
      </c>
      <c r="D37" s="296">
        <v>0.76820213997236164</v>
      </c>
      <c r="E37" s="296">
        <v>0.84885812394658677</v>
      </c>
      <c r="F37" s="296">
        <v>0.8392006537224822</v>
      </c>
      <c r="G37" s="296">
        <v>0.63192494844274316</v>
      </c>
      <c r="H37" s="296">
        <v>0.92971162142834973</v>
      </c>
      <c r="I37" s="296">
        <v>0.48587871181821207</v>
      </c>
    </row>
    <row r="38" spans="2:10">
      <c r="B38" s="454">
        <v>2024</v>
      </c>
      <c r="C38" s="293">
        <v>0.82476787048670153</v>
      </c>
      <c r="D38" s="293">
        <v>0.74318781815468049</v>
      </c>
      <c r="E38" s="293">
        <v>0.91167613860471097</v>
      </c>
      <c r="F38" s="293">
        <v>0.8699727828626006</v>
      </c>
      <c r="G38" s="293">
        <v>0.33228768448464768</v>
      </c>
      <c r="H38" s="293">
        <v>1</v>
      </c>
      <c r="I38" s="293">
        <v>0</v>
      </c>
    </row>
    <row r="41" spans="2:10">
      <c r="B41" s="526"/>
      <c r="C41" s="537" t="s">
        <v>9</v>
      </c>
      <c r="D41" s="526" t="s">
        <v>85</v>
      </c>
      <c r="E41" s="526" t="s">
        <v>86</v>
      </c>
      <c r="F41" s="526" t="s">
        <v>87</v>
      </c>
      <c r="G41" s="526" t="s">
        <v>88</v>
      </c>
      <c r="H41" s="526" t="s">
        <v>89</v>
      </c>
      <c r="I41" s="526" t="s">
        <v>90</v>
      </c>
      <c r="J41" s="526" t="s">
        <v>91</v>
      </c>
    </row>
    <row r="42" spans="2:10">
      <c r="B42" s="537">
        <v>1994</v>
      </c>
      <c r="C42" s="538">
        <v>0.72934569103311975</v>
      </c>
      <c r="D42" s="539" t="e">
        <v>#N/A</v>
      </c>
      <c r="E42" s="539">
        <v>0.72362125103438646</v>
      </c>
      <c r="F42" s="539" t="e">
        <v>#N/A</v>
      </c>
      <c r="G42" s="539">
        <v>0.57687255450998798</v>
      </c>
      <c r="H42" s="539" t="e">
        <v>#N/A</v>
      </c>
      <c r="I42" s="539" t="e">
        <v>#N/A</v>
      </c>
      <c r="J42" s="539" t="e">
        <v>#N/A</v>
      </c>
    </row>
    <row r="43" spans="2:10">
      <c r="B43" s="537">
        <v>1995</v>
      </c>
      <c r="C43" s="538">
        <v>0.72934569103311975</v>
      </c>
      <c r="D43" s="539" t="e">
        <v>#N/A</v>
      </c>
      <c r="E43" s="539">
        <v>0.52030336414398126</v>
      </c>
      <c r="F43" s="539" t="e">
        <v>#N/A</v>
      </c>
      <c r="G43" s="539" t="e">
        <v>#N/A</v>
      </c>
      <c r="H43" s="539" t="e">
        <v>#N/A</v>
      </c>
      <c r="I43" s="539" t="e">
        <v>#N/A</v>
      </c>
      <c r="J43" s="539">
        <v>0.3595082901014402</v>
      </c>
    </row>
    <row r="44" spans="2:10">
      <c r="B44" s="537">
        <v>1996</v>
      </c>
      <c r="C44" s="538">
        <v>0.72934569103311975</v>
      </c>
      <c r="D44" s="539" t="e">
        <v>#N/A</v>
      </c>
      <c r="E44" s="539">
        <v>0.59583537633776906</v>
      </c>
      <c r="F44" s="539" t="e">
        <v>#N/A</v>
      </c>
      <c r="G44" s="539" t="e">
        <v>#N/A</v>
      </c>
      <c r="H44" s="539" t="e">
        <v>#N/A</v>
      </c>
      <c r="I44" s="539" t="e">
        <v>#N/A</v>
      </c>
      <c r="J44" s="539" t="e">
        <v>#N/A</v>
      </c>
    </row>
    <row r="45" spans="2:10">
      <c r="B45" s="537">
        <v>1997</v>
      </c>
      <c r="C45" s="538">
        <v>0.72934569103311975</v>
      </c>
      <c r="D45" s="539">
        <v>0.35495723474737462</v>
      </c>
      <c r="E45" s="539">
        <v>0.60394754845793985</v>
      </c>
      <c r="F45" s="539" t="e">
        <v>#N/A</v>
      </c>
      <c r="G45" s="539" t="e">
        <v>#N/A</v>
      </c>
      <c r="H45" s="539">
        <v>0.35495723474737462</v>
      </c>
      <c r="I45" s="539" t="e">
        <v>#N/A</v>
      </c>
      <c r="J45" s="539">
        <v>0.25559057303202398</v>
      </c>
    </row>
    <row r="46" spans="2:10">
      <c r="B46" s="537">
        <v>1998</v>
      </c>
      <c r="C46" s="538">
        <v>0.72934569103311975</v>
      </c>
      <c r="D46" s="539">
        <v>0.8231091691179363</v>
      </c>
      <c r="E46" s="539">
        <v>0.75392722569369119</v>
      </c>
      <c r="F46" s="539">
        <v>0.86704602197746428</v>
      </c>
      <c r="G46" s="539">
        <v>1</v>
      </c>
      <c r="H46" s="539">
        <v>0.63637754446494244</v>
      </c>
      <c r="I46" s="539" t="e">
        <v>#N/A</v>
      </c>
      <c r="J46" s="539">
        <v>0.55889512185749679</v>
      </c>
    </row>
    <row r="47" spans="2:10">
      <c r="B47" s="537">
        <v>1999</v>
      </c>
      <c r="C47" s="538">
        <v>0.72934569103311975</v>
      </c>
      <c r="D47" s="539">
        <v>0.75073824143217793</v>
      </c>
      <c r="E47" s="539">
        <v>0.72967271694763347</v>
      </c>
      <c r="F47" s="539">
        <v>0.83727111524372722</v>
      </c>
      <c r="G47" s="539">
        <v>0.88972597406701626</v>
      </c>
      <c r="H47" s="539">
        <v>5.8475250939784347E-2</v>
      </c>
      <c r="I47" s="539" t="e">
        <v>#N/A</v>
      </c>
      <c r="J47" s="539">
        <v>0.91729448055026219</v>
      </c>
    </row>
    <row r="48" spans="2:10">
      <c r="B48" s="537">
        <v>2000</v>
      </c>
      <c r="C48" s="538">
        <v>0.72934569103311975</v>
      </c>
      <c r="D48" s="539">
        <v>0.61869245310269672</v>
      </c>
      <c r="E48" s="539">
        <v>0.61656120625293953</v>
      </c>
      <c r="F48" s="539">
        <v>0.61869245310269672</v>
      </c>
      <c r="G48" s="539">
        <v>0.63771358325333005</v>
      </c>
      <c r="H48" s="539" t="e">
        <v>#N/A</v>
      </c>
      <c r="I48" s="539" t="e">
        <v>#N/A</v>
      </c>
      <c r="J48" s="539">
        <v>0.84026695191041834</v>
      </c>
    </row>
    <row r="49" spans="2:10">
      <c r="B49" s="537">
        <v>2001</v>
      </c>
      <c r="C49" s="538">
        <v>0.72934569103311975</v>
      </c>
      <c r="D49" s="539">
        <v>0.72469820026466447</v>
      </c>
      <c r="E49" s="539">
        <v>0.63982236120783464</v>
      </c>
      <c r="F49" s="539">
        <v>0.72469820026466447</v>
      </c>
      <c r="G49" s="539">
        <v>0.6881708098620879</v>
      </c>
      <c r="H49" s="539" t="e">
        <v>#N/A</v>
      </c>
      <c r="I49" s="539" t="e">
        <v>#N/A</v>
      </c>
      <c r="J49" s="539">
        <v>0.26424826605375068</v>
      </c>
    </row>
    <row r="50" spans="2:10">
      <c r="B50" s="537">
        <v>2002</v>
      </c>
      <c r="C50" s="538">
        <v>0.72934569103311975</v>
      </c>
      <c r="D50" s="539">
        <v>0.84322917904614414</v>
      </c>
      <c r="E50" s="539">
        <v>0.71004656803314181</v>
      </c>
      <c r="F50" s="539">
        <v>0.84322917904614414</v>
      </c>
      <c r="G50" s="539">
        <v>0.60671366866573273</v>
      </c>
      <c r="H50" s="539" t="e">
        <v>#N/A</v>
      </c>
      <c r="I50" s="539" t="e">
        <v>#N/A</v>
      </c>
      <c r="J50" s="539">
        <v>0.97888132320039012</v>
      </c>
    </row>
    <row r="51" spans="2:10">
      <c r="B51" s="537">
        <v>2003</v>
      </c>
      <c r="C51" s="538">
        <v>0.72934569103311975</v>
      </c>
      <c r="D51" s="539">
        <v>0.94732187245783117</v>
      </c>
      <c r="E51" s="539">
        <v>0.84410511596446958</v>
      </c>
      <c r="F51" s="539">
        <v>0.99259178827822092</v>
      </c>
      <c r="G51" s="539">
        <v>0.83268691096255876</v>
      </c>
      <c r="H51" s="539">
        <v>0.60779750380490949</v>
      </c>
      <c r="I51" s="539">
        <v>0.98501717128337707</v>
      </c>
      <c r="J51" s="539">
        <v>0.93335795793044096</v>
      </c>
    </row>
    <row r="52" spans="2:10">
      <c r="B52" s="537">
        <v>2004</v>
      </c>
      <c r="C52" s="538">
        <v>0.72934569103311975</v>
      </c>
      <c r="D52" s="539">
        <v>0.82177737956320029</v>
      </c>
      <c r="E52" s="539">
        <v>0.75648787667495809</v>
      </c>
      <c r="F52" s="539">
        <v>0.79207360949040029</v>
      </c>
      <c r="G52" s="539">
        <v>0.99077524866004896</v>
      </c>
      <c r="H52" s="539">
        <v>1</v>
      </c>
      <c r="I52" s="539" t="e">
        <v>#N/A</v>
      </c>
      <c r="J52" s="539">
        <v>0.71687171476933886</v>
      </c>
    </row>
    <row r="53" spans="2:10">
      <c r="B53" s="537">
        <v>2005</v>
      </c>
      <c r="C53" s="538">
        <v>0.72934569103311975</v>
      </c>
      <c r="D53" s="539">
        <v>0.63300028258228092</v>
      </c>
      <c r="E53" s="539">
        <v>0.7166801361524936</v>
      </c>
      <c r="F53" s="539">
        <v>0.63300028258228092</v>
      </c>
      <c r="G53" s="539">
        <v>0.77168974762085774</v>
      </c>
      <c r="H53" s="539" t="e">
        <v>#N/A</v>
      </c>
      <c r="I53" s="539" t="e">
        <v>#N/A</v>
      </c>
      <c r="J53" s="539">
        <v>0.797053060109149</v>
      </c>
    </row>
    <row r="54" spans="2:10">
      <c r="B54" s="537">
        <v>2006</v>
      </c>
      <c r="C54" s="538">
        <v>0.72934569103311975</v>
      </c>
      <c r="D54" s="539">
        <v>0.71523833526805458</v>
      </c>
      <c r="E54" s="539">
        <v>0.72723826634778155</v>
      </c>
      <c r="F54" s="539">
        <v>0.82853742199240299</v>
      </c>
      <c r="G54" s="539">
        <v>0.5</v>
      </c>
      <c r="H54" s="539">
        <v>3.5443814921964821E-2</v>
      </c>
      <c r="I54" s="539">
        <v>0</v>
      </c>
      <c r="J54" s="539">
        <v>1</v>
      </c>
    </row>
    <row r="55" spans="2:10">
      <c r="B55" s="537">
        <v>2007</v>
      </c>
      <c r="C55" s="538">
        <v>0.72934569103311975</v>
      </c>
      <c r="D55" s="539">
        <v>0.95952608719701438</v>
      </c>
      <c r="E55" s="539">
        <v>0.77052341555020831</v>
      </c>
      <c r="F55" s="539">
        <v>0.99807763717341302</v>
      </c>
      <c r="G55" s="539">
        <v>0.86475903122671394</v>
      </c>
      <c r="H55" s="539">
        <v>0.80531988729141979</v>
      </c>
      <c r="I55" s="539" t="e">
        <v>#N/A</v>
      </c>
      <c r="J55" s="539">
        <v>0.63217800609913777</v>
      </c>
    </row>
    <row r="56" spans="2:10">
      <c r="B56" s="537">
        <v>2008</v>
      </c>
      <c r="C56" s="538">
        <v>0.72934569103311975</v>
      </c>
      <c r="D56" s="539">
        <v>0.90658236475080722</v>
      </c>
      <c r="E56" s="539">
        <v>0.73206435044124762</v>
      </c>
      <c r="F56" s="539">
        <v>0.888385730360996</v>
      </c>
      <c r="G56" s="539">
        <v>0.81108781069644631</v>
      </c>
      <c r="H56" s="539">
        <v>0.99301637810240895</v>
      </c>
      <c r="I56" s="539">
        <v>1</v>
      </c>
      <c r="J56" s="539">
        <v>0.89454261413238534</v>
      </c>
    </row>
    <row r="57" spans="2:10">
      <c r="B57" s="537">
        <v>2009</v>
      </c>
      <c r="C57" s="538">
        <v>0.72934569103311975</v>
      </c>
      <c r="D57" s="539">
        <v>0.78088293053958779</v>
      </c>
      <c r="E57" s="539">
        <v>0.68992803484788834</v>
      </c>
      <c r="F57" s="539">
        <v>0.82016633029095776</v>
      </c>
      <c r="G57" s="539">
        <v>0.78651257979569345</v>
      </c>
      <c r="H57" s="539">
        <v>0.73286988639902451</v>
      </c>
      <c r="I57" s="539">
        <v>0.79675877641196036</v>
      </c>
      <c r="J57" s="539">
        <v>0.66599707297972166</v>
      </c>
    </row>
    <row r="58" spans="2:10">
      <c r="B58" s="537">
        <v>2010</v>
      </c>
      <c r="C58" s="538">
        <v>0.72934569103311975</v>
      </c>
      <c r="D58" s="539">
        <v>0.83111146468045061</v>
      </c>
      <c r="E58" s="539">
        <v>0.76436781766179762</v>
      </c>
      <c r="F58" s="539">
        <v>0.81501226590023146</v>
      </c>
      <c r="G58" s="539">
        <v>0.75688178041339793</v>
      </c>
      <c r="H58" s="539">
        <v>0.84951054900070111</v>
      </c>
      <c r="I58" s="539">
        <v>1</v>
      </c>
      <c r="J58" s="539">
        <v>0.72960302733169646</v>
      </c>
    </row>
    <row r="59" spans="2:10">
      <c r="B59" s="537">
        <v>2011</v>
      </c>
      <c r="C59" s="538">
        <v>0.72934569103311975</v>
      </c>
      <c r="D59" s="539">
        <v>0.93096842077587949</v>
      </c>
      <c r="E59" s="539">
        <v>0.70782877458804694</v>
      </c>
      <c r="F59" s="539">
        <v>0.98186049324629732</v>
      </c>
      <c r="G59" s="539">
        <v>0.6249902500178377</v>
      </c>
      <c r="H59" s="539">
        <v>0.79283279549903163</v>
      </c>
      <c r="I59" s="539" t="e">
        <v>#N/A</v>
      </c>
      <c r="J59" s="539">
        <v>0.62908620401183901</v>
      </c>
    </row>
    <row r="60" spans="2:10">
      <c r="B60" s="537">
        <v>2012</v>
      </c>
      <c r="C60" s="538">
        <v>0.72934569103311975</v>
      </c>
      <c r="D60" s="539">
        <v>0.87965092240266951</v>
      </c>
      <c r="E60" s="539">
        <v>0.685666008226264</v>
      </c>
      <c r="F60" s="539">
        <v>0.88437213997205644</v>
      </c>
      <c r="G60" s="539">
        <v>0.83050398425274652</v>
      </c>
      <c r="H60" s="539">
        <v>0.86666757408685569</v>
      </c>
      <c r="I60" s="539">
        <v>0.73488891108235821</v>
      </c>
      <c r="J60" s="539">
        <v>0.85929781244816938</v>
      </c>
    </row>
    <row r="61" spans="2:10">
      <c r="B61" s="537">
        <v>2013</v>
      </c>
      <c r="C61" s="538">
        <v>0.72934569103311975</v>
      </c>
      <c r="D61" s="539">
        <v>0.38030722006046752</v>
      </c>
      <c r="E61" s="539">
        <v>0.66718812951440898</v>
      </c>
      <c r="F61" s="539">
        <v>0.63384536676744585</v>
      </c>
      <c r="G61" s="539">
        <v>0.61776922434331372</v>
      </c>
      <c r="H61" s="539">
        <v>0</v>
      </c>
      <c r="I61" s="539">
        <v>0.62318829705169221</v>
      </c>
      <c r="J61" s="539">
        <v>0.52784789815630562</v>
      </c>
    </row>
    <row r="62" spans="2:10">
      <c r="B62" s="537">
        <v>2014</v>
      </c>
      <c r="C62" s="538">
        <v>0.72934569103311975</v>
      </c>
      <c r="D62" s="539">
        <v>0.65706172175513644</v>
      </c>
      <c r="E62" s="539">
        <v>0.64155600073822305</v>
      </c>
      <c r="F62" s="539">
        <v>0.7118168652347312</v>
      </c>
      <c r="G62" s="539">
        <v>0.86690335560912857</v>
      </c>
      <c r="H62" s="539">
        <v>0</v>
      </c>
      <c r="I62" s="539">
        <v>0.88662734485672201</v>
      </c>
      <c r="J62" s="539">
        <v>0.64931068147301119</v>
      </c>
    </row>
    <row r="63" spans="2:10">
      <c r="B63" s="537">
        <v>2015</v>
      </c>
      <c r="C63" s="538">
        <v>0.72934569103311975</v>
      </c>
      <c r="D63" s="539">
        <v>0.7697179653480366</v>
      </c>
      <c r="E63" s="539">
        <v>0.69753704336494937</v>
      </c>
      <c r="F63" s="539">
        <v>0.79714135385518248</v>
      </c>
      <c r="G63" s="539">
        <v>0.615003280815277</v>
      </c>
      <c r="H63" s="539">
        <v>0.74838866317581187</v>
      </c>
      <c r="I63" s="539">
        <v>0.72045886527632585</v>
      </c>
      <c r="J63" s="539">
        <v>0.6006041535375628</v>
      </c>
    </row>
    <row r="64" spans="2:10">
      <c r="B64" s="537">
        <v>2016</v>
      </c>
      <c r="C64" s="538">
        <v>0.72934569103311975</v>
      </c>
      <c r="D64" s="539">
        <v>0.69736576306640585</v>
      </c>
      <c r="E64" s="539">
        <v>0.56194192176834834</v>
      </c>
      <c r="F64" s="539">
        <v>0.72476395267930149</v>
      </c>
      <c r="G64" s="539">
        <v>0.54860607575595433</v>
      </c>
      <c r="H64" s="539">
        <v>0.61766193873798259</v>
      </c>
      <c r="I64" s="539">
        <v>0.60987843060585867</v>
      </c>
      <c r="J64" s="539">
        <v>0.57957388712400981</v>
      </c>
    </row>
    <row r="65" spans="2:10">
      <c r="B65" s="537">
        <v>2017</v>
      </c>
      <c r="C65" s="538">
        <v>0.72934569103311975</v>
      </c>
      <c r="D65" s="539">
        <v>0.83345185195944171</v>
      </c>
      <c r="E65" s="539">
        <v>0.72982596437110914</v>
      </c>
      <c r="F65" s="539">
        <v>0.84408523400876934</v>
      </c>
      <c r="G65" s="539">
        <v>0.81779277787115578</v>
      </c>
      <c r="H65" s="539">
        <v>0.79756418754296143</v>
      </c>
      <c r="I65" s="539">
        <v>0.74219523427648659</v>
      </c>
      <c r="J65" s="539">
        <v>0.56665648955101555</v>
      </c>
    </row>
    <row r="66" spans="2:10">
      <c r="B66" s="537">
        <v>2018</v>
      </c>
      <c r="C66" s="538">
        <v>0.72934569103311975</v>
      </c>
      <c r="D66" s="539">
        <v>0.52579332079034136</v>
      </c>
      <c r="E66" s="539">
        <v>0.63633452693385395</v>
      </c>
      <c r="F66" s="539">
        <v>0.50333965639924705</v>
      </c>
      <c r="G66" s="539">
        <v>0.74848176327539484</v>
      </c>
      <c r="H66" s="539">
        <v>0.58566975916659281</v>
      </c>
      <c r="I66" s="539">
        <v>0.63477463973270831</v>
      </c>
      <c r="J66" s="539">
        <v>0.86418212799299343</v>
      </c>
    </row>
    <row r="67" spans="2:10">
      <c r="B67" s="537">
        <v>2019</v>
      </c>
      <c r="C67" s="538">
        <v>0.72934569103311975</v>
      </c>
      <c r="D67" s="539">
        <v>0.75051924472893239</v>
      </c>
      <c r="E67" s="539">
        <v>0.68308944056738696</v>
      </c>
      <c r="F67" s="539">
        <v>0.74494931093976835</v>
      </c>
      <c r="G67" s="539">
        <v>0.65021810827632398</v>
      </c>
      <c r="H67" s="539">
        <v>0.75688488334511994</v>
      </c>
      <c r="I67" s="539">
        <v>0.61616213027108135</v>
      </c>
      <c r="J67" s="539">
        <v>0.844587137995509</v>
      </c>
    </row>
    <row r="68" spans="2:10">
      <c r="B68" s="537">
        <v>2020</v>
      </c>
      <c r="C68" s="538">
        <v>0.72934569103311975</v>
      </c>
      <c r="D68" s="539">
        <v>0.73961689624843152</v>
      </c>
      <c r="E68" s="539">
        <v>0.82785741658664325</v>
      </c>
      <c r="F68" s="539">
        <v>0.80373158816069101</v>
      </c>
      <c r="G68" s="539">
        <v>0.76029079796482102</v>
      </c>
      <c r="H68" s="539">
        <v>0.41904343668713367</v>
      </c>
      <c r="I68" s="539">
        <v>0.75175926987656538</v>
      </c>
      <c r="J68" s="539">
        <v>0.92294112726200028</v>
      </c>
    </row>
    <row r="69" spans="2:10">
      <c r="B69" s="537">
        <v>2021</v>
      </c>
      <c r="C69" s="538">
        <v>0.72934569103311975</v>
      </c>
      <c r="D69" s="539">
        <v>0.74988104642631237</v>
      </c>
      <c r="E69" s="539">
        <v>0.80930616791713472</v>
      </c>
      <c r="F69" s="539">
        <v>0.74898729436708544</v>
      </c>
      <c r="G69" s="539">
        <v>0.74014836889638991</v>
      </c>
      <c r="H69" s="539">
        <v>0.75278574061879999</v>
      </c>
      <c r="I69" s="539">
        <v>0.66061694086594513</v>
      </c>
      <c r="J69" s="539">
        <v>0.83619249870590429</v>
      </c>
    </row>
    <row r="70" spans="2:10">
      <c r="B70" s="537">
        <v>2022</v>
      </c>
      <c r="C70" s="538">
        <v>0.72934569103311975</v>
      </c>
      <c r="D70" s="539">
        <v>0.92410386641656173</v>
      </c>
      <c r="E70" s="539">
        <v>0.83078225231081071</v>
      </c>
      <c r="F70" s="539">
        <v>0.89250182026272473</v>
      </c>
      <c r="G70" s="539">
        <v>0.6486923776027963</v>
      </c>
      <c r="H70" s="539">
        <v>0.97376422465830637</v>
      </c>
      <c r="I70" s="539">
        <v>0.47802010423465918</v>
      </c>
      <c r="J70" s="539">
        <v>0.96909511092684431</v>
      </c>
    </row>
    <row r="71" spans="2:10">
      <c r="B71" s="537">
        <v>2023</v>
      </c>
      <c r="C71" s="538">
        <v>0.72934569103311975</v>
      </c>
      <c r="D71" s="539">
        <v>0.80753751908871185</v>
      </c>
      <c r="E71" s="539">
        <v>0.76820213997236164</v>
      </c>
      <c r="F71" s="539">
        <v>0.84885812394658677</v>
      </c>
      <c r="G71" s="539">
        <v>0.8392006537224822</v>
      </c>
      <c r="H71" s="539">
        <v>0.63192494844274316</v>
      </c>
      <c r="I71" s="539">
        <v>0.92971162142834973</v>
      </c>
      <c r="J71" s="539">
        <v>0.48587871181821207</v>
      </c>
    </row>
    <row r="72" spans="2:10">
      <c r="B72" s="537">
        <v>2024</v>
      </c>
      <c r="C72" s="538">
        <v>0.72934569103311975</v>
      </c>
      <c r="D72" s="539">
        <v>0.82476787048670153</v>
      </c>
      <c r="E72" s="539">
        <v>0.74318781815468049</v>
      </c>
      <c r="F72" s="539">
        <v>0.91167613860471097</v>
      </c>
      <c r="G72" s="539">
        <v>0.8699727828626006</v>
      </c>
      <c r="H72" s="539">
        <v>0.33228768448464768</v>
      </c>
      <c r="I72" s="539">
        <v>1</v>
      </c>
      <c r="J72" s="539">
        <v>0</v>
      </c>
    </row>
    <row r="73" spans="2:10">
      <c r="B73"/>
      <c r="C73" s="92"/>
    </row>
    <row r="74" spans="2:10">
      <c r="B74"/>
      <c r="C74" s="92"/>
    </row>
    <row r="75" spans="2:10">
      <c r="B75"/>
      <c r="C75" s="92"/>
    </row>
    <row r="76" spans="2:10">
      <c r="B76"/>
      <c r="C76" s="92"/>
    </row>
    <row r="77" spans="2:10">
      <c r="B77"/>
      <c r="C77" s="92"/>
    </row>
    <row r="78" spans="2:10">
      <c r="B78"/>
      <c r="C78" s="92"/>
    </row>
    <row r="79" spans="2:10">
      <c r="B79"/>
      <c r="C79" s="92"/>
    </row>
    <row r="80" spans="2:10">
      <c r="B80"/>
      <c r="C80" s="92"/>
    </row>
    <row r="81" spans="2:3">
      <c r="B81"/>
      <c r="C81" s="92"/>
    </row>
    <row r="82" spans="2:3">
      <c r="B82"/>
      <c r="C82" s="92"/>
    </row>
    <row r="83" spans="2:3">
      <c r="B83"/>
      <c r="C83" s="92"/>
    </row>
    <row r="84" spans="2:3">
      <c r="B84"/>
      <c r="C84" s="92"/>
    </row>
    <row r="85" spans="2:3">
      <c r="B85"/>
      <c r="C85" s="92"/>
    </row>
    <row r="86" spans="2:3">
      <c r="B86"/>
      <c r="C86" s="92"/>
    </row>
    <row r="87" spans="2:3">
      <c r="B87"/>
      <c r="C87" s="92"/>
    </row>
    <row r="88" spans="2:3">
      <c r="B88"/>
      <c r="C88" s="92"/>
    </row>
    <row r="89" spans="2:3">
      <c r="B89"/>
      <c r="C89" s="92"/>
    </row>
    <row r="90" spans="2:3">
      <c r="B90"/>
      <c r="C90" s="92"/>
    </row>
    <row r="91" spans="2:3">
      <c r="B91"/>
      <c r="C91" s="92"/>
    </row>
    <row r="92" spans="2:3">
      <c r="B92"/>
      <c r="C92" s="92"/>
    </row>
    <row r="93" spans="2:3">
      <c r="B93"/>
      <c r="C93" s="92"/>
    </row>
    <row r="94" spans="2:3">
      <c r="B94"/>
      <c r="C94" s="92"/>
    </row>
    <row r="95" spans="2:3">
      <c r="B95"/>
      <c r="C95" s="92"/>
    </row>
    <row r="96" spans="2:3">
      <c r="B96"/>
      <c r="C96" s="92"/>
    </row>
    <row r="97" spans="2:3">
      <c r="B97"/>
      <c r="C97" s="92"/>
    </row>
    <row r="98" spans="2:3">
      <c r="B98"/>
      <c r="C98" s="92"/>
    </row>
    <row r="99" spans="2:3">
      <c r="B99"/>
      <c r="C99" s="92"/>
    </row>
    <row r="100" spans="2:3">
      <c r="B100"/>
      <c r="C100" s="92"/>
    </row>
    <row r="101" spans="2:3">
      <c r="B101"/>
      <c r="C101" s="92"/>
    </row>
    <row r="102" spans="2:3">
      <c r="B102"/>
      <c r="C102" s="92"/>
    </row>
    <row r="103" spans="2:3">
      <c r="B103"/>
      <c r="C103" s="92"/>
    </row>
    <row r="104" spans="2:3">
      <c r="B104"/>
      <c r="C104" s="92"/>
    </row>
    <row r="105" spans="2:3">
      <c r="B105"/>
      <c r="C105" s="92"/>
    </row>
    <row r="106" spans="2:3">
      <c r="B106"/>
      <c r="C106" s="92"/>
    </row>
    <row r="107" spans="2:3">
      <c r="B107"/>
      <c r="C107" s="92"/>
    </row>
    <row r="108" spans="2:3">
      <c r="B108"/>
      <c r="C108" s="92"/>
    </row>
    <row r="109" spans="2:3">
      <c r="B109"/>
      <c r="C109" s="92"/>
    </row>
    <row r="110" spans="2:3">
      <c r="B110"/>
      <c r="C110" s="92"/>
    </row>
    <row r="111" spans="2:3">
      <c r="B111"/>
      <c r="C111" s="92"/>
    </row>
  </sheetData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152A-9E63-41A7-A82C-71C6BC555EBB}">
  <dimension ref="A1:T84"/>
  <sheetViews>
    <sheetView workbookViewId="0"/>
  </sheetViews>
  <sheetFormatPr defaultColWidth="9.296875" defaultRowHeight="14.4" outlineLevelRow="1"/>
  <cols>
    <col min="1" max="1" width="9.296875" style="3" customWidth="1"/>
    <col min="2" max="2" width="0.3984375" style="3" customWidth="1"/>
    <col min="3" max="3" width="16.69921875" style="4" customWidth="1"/>
    <col min="4" max="4" width="22.3984375" style="5" bestFit="1" customWidth="1"/>
    <col min="5" max="5" width="11.296875" style="8" customWidth="1"/>
    <col min="6" max="6" width="11.69921875" style="8" customWidth="1"/>
    <col min="7" max="12" width="11.296875" style="8" customWidth="1"/>
    <col min="13" max="17" width="11.296875" style="3" customWidth="1"/>
    <col min="18" max="16384" width="9.296875" style="3"/>
  </cols>
  <sheetData>
    <row r="1" spans="1:17">
      <c r="E1" s="6"/>
      <c r="F1" s="6"/>
      <c r="G1" s="6"/>
      <c r="H1" s="6"/>
      <c r="I1" s="6"/>
      <c r="J1" s="6"/>
      <c r="K1" s="6"/>
      <c r="L1" s="6"/>
    </row>
    <row r="2" spans="1:17">
      <c r="D2" s="7"/>
      <c r="M2" s="8"/>
      <c r="N2" s="8"/>
      <c r="O2" s="8"/>
      <c r="P2" s="8"/>
      <c r="Q2" s="8"/>
    </row>
    <row r="3" spans="1:17" ht="15.6">
      <c r="C3" s="583" t="s">
        <v>410</v>
      </c>
      <c r="D3" s="583"/>
      <c r="E3" s="583"/>
      <c r="F3" s="583"/>
      <c r="G3" s="583"/>
      <c r="H3" s="583"/>
      <c r="I3" s="583"/>
      <c r="J3" s="583"/>
      <c r="K3" s="583"/>
      <c r="L3" s="583"/>
      <c r="M3" s="583"/>
      <c r="N3" s="583"/>
      <c r="O3" s="583"/>
      <c r="P3" s="583"/>
      <c r="Q3" s="583"/>
    </row>
    <row r="4" spans="1:17" ht="15" thickBot="1">
      <c r="D4" s="7"/>
      <c r="M4" s="8"/>
      <c r="N4" s="8"/>
      <c r="O4" s="8"/>
      <c r="P4" s="8"/>
      <c r="Q4" s="8"/>
    </row>
    <row r="5" spans="1:17" ht="48" customHeight="1" thickBot="1">
      <c r="C5" s="9"/>
      <c r="D5" s="10" t="s">
        <v>49</v>
      </c>
      <c r="E5" s="11" t="s">
        <v>55</v>
      </c>
      <c r="F5" s="11" t="s">
        <v>56</v>
      </c>
      <c r="G5" s="11" t="s">
        <v>57</v>
      </c>
      <c r="H5" s="11" t="s">
        <v>58</v>
      </c>
      <c r="I5" s="11" t="s">
        <v>59</v>
      </c>
      <c r="J5" s="11" t="s">
        <v>60</v>
      </c>
      <c r="K5" s="11" t="s">
        <v>61</v>
      </c>
      <c r="L5" s="11" t="s">
        <v>62</v>
      </c>
      <c r="M5" s="11" t="s">
        <v>63</v>
      </c>
      <c r="N5" s="11" t="s">
        <v>64</v>
      </c>
      <c r="O5" s="11" t="s">
        <v>65</v>
      </c>
      <c r="P5" s="12" t="s">
        <v>66</v>
      </c>
      <c r="Q5" s="13" t="s">
        <v>67</v>
      </c>
    </row>
    <row r="6" spans="1:17" s="17" customFormat="1" ht="19.2" customHeight="1">
      <c r="A6" s="3"/>
      <c r="B6" s="3"/>
      <c r="C6" s="586" t="s">
        <v>76</v>
      </c>
      <c r="D6" s="359" t="s">
        <v>32</v>
      </c>
      <c r="E6" s="354" t="s">
        <v>237</v>
      </c>
      <c r="F6" s="354" t="s">
        <v>237</v>
      </c>
      <c r="G6" s="354">
        <v>0.67106675446787534</v>
      </c>
      <c r="H6" s="354">
        <v>0.6669568198207857</v>
      </c>
      <c r="I6" s="354" t="s">
        <v>237</v>
      </c>
      <c r="J6" s="354">
        <v>0.69070557771627572</v>
      </c>
      <c r="K6" s="354" t="s">
        <v>237</v>
      </c>
      <c r="L6" s="354" t="s">
        <v>237</v>
      </c>
      <c r="M6" s="354" t="s">
        <v>237</v>
      </c>
      <c r="N6" s="354">
        <v>0.6811567295635238</v>
      </c>
      <c r="O6" s="354" t="s">
        <v>237</v>
      </c>
      <c r="P6" s="352" t="s">
        <v>237</v>
      </c>
      <c r="Q6" s="360">
        <v>0.73434575101389055</v>
      </c>
    </row>
    <row r="7" spans="1:17" s="17" customFormat="1" ht="19.2" customHeight="1">
      <c r="A7" s="3"/>
      <c r="B7" s="3"/>
      <c r="C7" s="587"/>
      <c r="D7" s="357" t="s">
        <v>17</v>
      </c>
      <c r="E7" s="350" t="s">
        <v>237</v>
      </c>
      <c r="F7" s="350" t="s">
        <v>237</v>
      </c>
      <c r="G7" s="350">
        <v>0</v>
      </c>
      <c r="H7" s="350">
        <v>0</v>
      </c>
      <c r="I7" s="350" t="s">
        <v>237</v>
      </c>
      <c r="J7" s="350">
        <v>3.0447472717288399E-2</v>
      </c>
      <c r="K7" s="350" t="s">
        <v>237</v>
      </c>
      <c r="L7" s="350" t="s">
        <v>237</v>
      </c>
      <c r="M7" s="350" t="s">
        <v>237</v>
      </c>
      <c r="N7" s="350">
        <v>1.2268550333033011E-7</v>
      </c>
      <c r="O7" s="350" t="s">
        <v>237</v>
      </c>
      <c r="P7" s="348" t="s">
        <v>237</v>
      </c>
      <c r="Q7" s="358">
        <v>0</v>
      </c>
    </row>
    <row r="8" spans="1:17" s="17" customFormat="1" ht="19.2" customHeight="1">
      <c r="A8" s="3"/>
      <c r="B8" s="3"/>
      <c r="C8" s="587"/>
      <c r="D8" s="55" t="s">
        <v>18</v>
      </c>
      <c r="E8" s="56" t="s">
        <v>237</v>
      </c>
      <c r="F8" s="56" t="s">
        <v>237</v>
      </c>
      <c r="G8" s="56">
        <v>0.18616888519046951</v>
      </c>
      <c r="H8" s="56">
        <v>0</v>
      </c>
      <c r="I8" s="56" t="s">
        <v>237</v>
      </c>
      <c r="J8" s="56">
        <v>0.30939327902457497</v>
      </c>
      <c r="K8" s="56" t="s">
        <v>237</v>
      </c>
      <c r="L8" s="56" t="s">
        <v>237</v>
      </c>
      <c r="M8" s="56" t="s">
        <v>237</v>
      </c>
      <c r="N8" s="56">
        <v>0.18047368019850729</v>
      </c>
      <c r="O8" s="56" t="s">
        <v>237</v>
      </c>
      <c r="P8" s="57" t="s">
        <v>237</v>
      </c>
      <c r="Q8" s="58">
        <v>0.25088190680245381</v>
      </c>
    </row>
    <row r="9" spans="1:17" s="17" customFormat="1" ht="19.2" customHeight="1">
      <c r="A9" s="3"/>
      <c r="B9" s="3"/>
      <c r="C9" s="587"/>
      <c r="D9" s="55" t="s">
        <v>19</v>
      </c>
      <c r="E9" s="56" t="s">
        <v>237</v>
      </c>
      <c r="F9" s="56" t="s">
        <v>237</v>
      </c>
      <c r="G9" s="56">
        <v>0.39229642285972249</v>
      </c>
      <c r="H9" s="56">
        <v>0.1412960168886376</v>
      </c>
      <c r="I9" s="56" t="s">
        <v>237</v>
      </c>
      <c r="J9" s="56">
        <v>0.41627804036994098</v>
      </c>
      <c r="K9" s="56" t="s">
        <v>237</v>
      </c>
      <c r="L9" s="56" t="s">
        <v>237</v>
      </c>
      <c r="M9" s="56" t="s">
        <v>237</v>
      </c>
      <c r="N9" s="56">
        <v>0.45026750871332721</v>
      </c>
      <c r="O9" s="56" t="s">
        <v>237</v>
      </c>
      <c r="P9" s="57" t="s">
        <v>237</v>
      </c>
      <c r="Q9" s="58">
        <v>0.69540541549991175</v>
      </c>
    </row>
    <row r="10" spans="1:17" s="17" customFormat="1" ht="19.2" customHeight="1">
      <c r="A10" s="3"/>
      <c r="B10" s="3"/>
      <c r="C10" s="587"/>
      <c r="D10" s="55" t="s">
        <v>20</v>
      </c>
      <c r="E10" s="56" t="s">
        <v>237</v>
      </c>
      <c r="F10" s="56" t="s">
        <v>237</v>
      </c>
      <c r="G10" s="56">
        <v>0.79703384572472491</v>
      </c>
      <c r="H10" s="56">
        <v>0.98273623622478234</v>
      </c>
      <c r="I10" s="56" t="s">
        <v>237</v>
      </c>
      <c r="J10" s="56">
        <v>0.83008253330376691</v>
      </c>
      <c r="K10" s="56" t="s">
        <v>237</v>
      </c>
      <c r="L10" s="56" t="s">
        <v>237</v>
      </c>
      <c r="M10" s="56" t="s">
        <v>237</v>
      </c>
      <c r="N10" s="56">
        <v>0.75856481544690846</v>
      </c>
      <c r="O10" s="56" t="s">
        <v>237</v>
      </c>
      <c r="P10" s="57" t="s">
        <v>237</v>
      </c>
      <c r="Q10" s="58">
        <v>0.89083833818964009</v>
      </c>
    </row>
    <row r="11" spans="1:17" s="17" customFormat="1" ht="19.2" customHeight="1">
      <c r="A11" s="3"/>
      <c r="B11" s="3"/>
      <c r="C11" s="587"/>
      <c r="D11" s="55" t="s">
        <v>21</v>
      </c>
      <c r="E11" s="56" t="s">
        <v>237</v>
      </c>
      <c r="F11" s="56" t="s">
        <v>237</v>
      </c>
      <c r="G11" s="56">
        <v>0.99855766453456807</v>
      </c>
      <c r="H11" s="56">
        <v>1</v>
      </c>
      <c r="I11" s="56" t="s">
        <v>237</v>
      </c>
      <c r="J11" s="56">
        <v>0.94210643933021965</v>
      </c>
      <c r="K11" s="56" t="s">
        <v>237</v>
      </c>
      <c r="L11" s="56" t="s">
        <v>237</v>
      </c>
      <c r="M11" s="56" t="s">
        <v>237</v>
      </c>
      <c r="N11" s="56">
        <v>0.9949016945759307</v>
      </c>
      <c r="O11" s="56" t="s">
        <v>237</v>
      </c>
      <c r="P11" s="57" t="s">
        <v>237</v>
      </c>
      <c r="Q11" s="58">
        <v>0.93615767418295093</v>
      </c>
    </row>
    <row r="12" spans="1:17" s="17" customFormat="1" ht="19.2" customHeight="1">
      <c r="A12" s="3"/>
      <c r="B12" s="3"/>
      <c r="C12" s="587"/>
      <c r="D12" s="59" t="s">
        <v>22</v>
      </c>
      <c r="E12" s="56" t="s">
        <v>237</v>
      </c>
      <c r="F12" s="56" t="s">
        <v>237</v>
      </c>
      <c r="G12" s="56">
        <v>1</v>
      </c>
      <c r="H12" s="56">
        <v>1</v>
      </c>
      <c r="I12" s="56" t="s">
        <v>237</v>
      </c>
      <c r="J12" s="56">
        <v>0.99764727347533666</v>
      </c>
      <c r="K12" s="56" t="s">
        <v>237</v>
      </c>
      <c r="L12" s="56" t="s">
        <v>237</v>
      </c>
      <c r="M12" s="56" t="s">
        <v>237</v>
      </c>
      <c r="N12" s="56">
        <v>1</v>
      </c>
      <c r="O12" s="56" t="s">
        <v>237</v>
      </c>
      <c r="P12" s="57" t="s">
        <v>237</v>
      </c>
      <c r="Q12" s="58">
        <v>0.97542582983476001</v>
      </c>
    </row>
    <row r="13" spans="1:17" s="17" customFormat="1" ht="19.2" customHeight="1" thickBot="1">
      <c r="A13" s="3"/>
      <c r="B13" s="3"/>
      <c r="C13" s="588"/>
      <c r="D13" s="60" t="s">
        <v>185</v>
      </c>
      <c r="E13" s="61" t="s">
        <v>237</v>
      </c>
      <c r="F13" s="61" t="s">
        <v>237</v>
      </c>
      <c r="G13" s="61">
        <v>1</v>
      </c>
      <c r="H13" s="61">
        <v>1</v>
      </c>
      <c r="I13" s="61" t="s">
        <v>237</v>
      </c>
      <c r="J13" s="61">
        <v>1</v>
      </c>
      <c r="K13" s="61" t="s">
        <v>237</v>
      </c>
      <c r="L13" s="61" t="s">
        <v>237</v>
      </c>
      <c r="M13" s="61" t="s">
        <v>237</v>
      </c>
      <c r="N13" s="61">
        <v>1</v>
      </c>
      <c r="O13" s="61" t="s">
        <v>237</v>
      </c>
      <c r="P13" s="62" t="s">
        <v>237</v>
      </c>
      <c r="Q13" s="63">
        <v>0.99170438058569221</v>
      </c>
    </row>
    <row r="14" spans="1:17" s="17" customFormat="1" ht="19.2" customHeight="1">
      <c r="A14" s="3"/>
      <c r="B14" s="3"/>
      <c r="C14" s="589" t="s">
        <v>77</v>
      </c>
      <c r="D14" s="363" t="s">
        <v>32</v>
      </c>
      <c r="E14" s="346" t="s">
        <v>237</v>
      </c>
      <c r="F14" s="346" t="s">
        <v>237</v>
      </c>
      <c r="G14" s="346">
        <v>0.6923740875055121</v>
      </c>
      <c r="H14" s="346">
        <v>0.72569201675609107</v>
      </c>
      <c r="I14" s="346">
        <v>0.52987548238617721</v>
      </c>
      <c r="J14" s="346">
        <v>0.76995304269317677</v>
      </c>
      <c r="K14" s="346">
        <v>0.6641003327074414</v>
      </c>
      <c r="L14" s="346">
        <v>0.66882776051023518</v>
      </c>
      <c r="M14" s="346" t="s">
        <v>237</v>
      </c>
      <c r="N14" s="346">
        <v>0.74961518731739341</v>
      </c>
      <c r="O14" s="346">
        <v>0.71218523660355459</v>
      </c>
      <c r="P14" s="344">
        <v>0.67462112411175135</v>
      </c>
      <c r="Q14" s="364">
        <v>0.76391643996750569</v>
      </c>
    </row>
    <row r="15" spans="1:17" s="17" customFormat="1" ht="19.2" customHeight="1">
      <c r="A15" s="3"/>
      <c r="B15" s="3"/>
      <c r="C15" s="590"/>
      <c r="D15" s="361" t="s">
        <v>17</v>
      </c>
      <c r="E15" s="342" t="s">
        <v>237</v>
      </c>
      <c r="F15" s="342" t="s">
        <v>237</v>
      </c>
      <c r="G15" s="342">
        <v>0</v>
      </c>
      <c r="H15" s="342">
        <v>0</v>
      </c>
      <c r="I15" s="342">
        <v>0</v>
      </c>
      <c r="J15" s="342">
        <v>0</v>
      </c>
      <c r="K15" s="342">
        <v>7.4995019807599317E-2</v>
      </c>
      <c r="L15" s="342">
        <v>1.442294993823522E-3</v>
      </c>
      <c r="M15" s="342" t="s">
        <v>237</v>
      </c>
      <c r="N15" s="342">
        <v>3.7810234268521807E-2</v>
      </c>
      <c r="O15" s="342">
        <v>1.4440302036134E-3</v>
      </c>
      <c r="P15" s="340">
        <v>0</v>
      </c>
      <c r="Q15" s="362">
        <v>0</v>
      </c>
    </row>
    <row r="16" spans="1:17" s="17" customFormat="1" ht="19.2" customHeight="1">
      <c r="A16" s="3"/>
      <c r="B16" s="3"/>
      <c r="C16" s="590"/>
      <c r="D16" s="64" t="s">
        <v>18</v>
      </c>
      <c r="E16" s="65" t="s">
        <v>237</v>
      </c>
      <c r="F16" s="65" t="s">
        <v>237</v>
      </c>
      <c r="G16" s="65">
        <v>0.21486285682532641</v>
      </c>
      <c r="H16" s="65">
        <v>0.13879496382097531</v>
      </c>
      <c r="I16" s="65">
        <v>0</v>
      </c>
      <c r="J16" s="65">
        <v>0.25570169555769312</v>
      </c>
      <c r="K16" s="65">
        <v>0.21859005209752869</v>
      </c>
      <c r="L16" s="65">
        <v>0.15107227063806389</v>
      </c>
      <c r="M16" s="65" t="s">
        <v>237</v>
      </c>
      <c r="N16" s="65">
        <v>0.2210967939378142</v>
      </c>
      <c r="O16" s="65">
        <v>0.29490361997629588</v>
      </c>
      <c r="P16" s="66">
        <v>0.1111195025897256</v>
      </c>
      <c r="Q16" s="67">
        <v>0.1163226724938963</v>
      </c>
    </row>
    <row r="17" spans="1:17" s="17" customFormat="1" ht="19.2" customHeight="1">
      <c r="A17" s="3"/>
      <c r="B17" s="3"/>
      <c r="C17" s="590"/>
      <c r="D17" s="64" t="s">
        <v>19</v>
      </c>
      <c r="E17" s="65" t="s">
        <v>237</v>
      </c>
      <c r="F17" s="65" t="s">
        <v>237</v>
      </c>
      <c r="G17" s="65">
        <v>0.50530790433511141</v>
      </c>
      <c r="H17" s="65">
        <v>0.50875383611558189</v>
      </c>
      <c r="I17" s="65">
        <v>7.4016191864723427E-2</v>
      </c>
      <c r="J17" s="65">
        <v>0.67202806052512576</v>
      </c>
      <c r="K17" s="65">
        <v>0.4594053486705546</v>
      </c>
      <c r="L17" s="65">
        <v>0.29946025527641718</v>
      </c>
      <c r="M17" s="65" t="s">
        <v>237</v>
      </c>
      <c r="N17" s="65">
        <v>0.58424787294831426</v>
      </c>
      <c r="O17" s="65">
        <v>0.52883443893876425</v>
      </c>
      <c r="P17" s="66">
        <v>0.44807200246243928</v>
      </c>
      <c r="Q17" s="67">
        <v>0.72501917055280729</v>
      </c>
    </row>
    <row r="18" spans="1:17" s="17" customFormat="1" ht="19.2" customHeight="1">
      <c r="A18" s="3"/>
      <c r="B18" s="3"/>
      <c r="C18" s="590"/>
      <c r="D18" s="64" t="s">
        <v>20</v>
      </c>
      <c r="E18" s="65" t="s">
        <v>237</v>
      </c>
      <c r="F18" s="65" t="s">
        <v>237</v>
      </c>
      <c r="G18" s="65">
        <v>0.77387708070957162</v>
      </c>
      <c r="H18" s="65">
        <v>0.88470805692116117</v>
      </c>
      <c r="I18" s="65">
        <v>0.62373719659065663</v>
      </c>
      <c r="J18" s="65">
        <v>0.91287277472619965</v>
      </c>
      <c r="K18" s="65">
        <v>0.78666827644016002</v>
      </c>
      <c r="L18" s="65">
        <v>0.8374031782148752</v>
      </c>
      <c r="M18" s="65" t="s">
        <v>237</v>
      </c>
      <c r="N18" s="65">
        <v>0.88877124361276305</v>
      </c>
      <c r="O18" s="65">
        <v>0.82221000576218184</v>
      </c>
      <c r="P18" s="66">
        <v>0.84154794346398831</v>
      </c>
      <c r="Q18" s="67">
        <v>0.91154507851993904</v>
      </c>
    </row>
    <row r="19" spans="1:17" s="17" customFormat="1" ht="19.2" customHeight="1">
      <c r="A19" s="3"/>
      <c r="B19" s="3"/>
      <c r="C19" s="590"/>
      <c r="D19" s="64" t="s">
        <v>21</v>
      </c>
      <c r="E19" s="65" t="s">
        <v>237</v>
      </c>
      <c r="F19" s="65" t="s">
        <v>237</v>
      </c>
      <c r="G19" s="65">
        <v>0.93894555294856974</v>
      </c>
      <c r="H19" s="65">
        <v>0.99679189934539703</v>
      </c>
      <c r="I19" s="65">
        <v>0.88707207522456644</v>
      </c>
      <c r="J19" s="65">
        <v>0.98469252193401691</v>
      </c>
      <c r="K19" s="65">
        <v>0.95459916925239807</v>
      </c>
      <c r="L19" s="65">
        <v>0.98221599173507368</v>
      </c>
      <c r="M19" s="65" t="s">
        <v>237</v>
      </c>
      <c r="N19" s="65">
        <v>0.99158878386225413</v>
      </c>
      <c r="O19" s="65">
        <v>0.95723974370567566</v>
      </c>
      <c r="P19" s="66">
        <v>0.91049857773553855</v>
      </c>
      <c r="Q19" s="67">
        <v>0.97966514506812508</v>
      </c>
    </row>
    <row r="20" spans="1:17" s="17" customFormat="1" ht="19.2" customHeight="1">
      <c r="A20" s="3"/>
      <c r="B20" s="3"/>
      <c r="C20" s="590"/>
      <c r="D20" s="68" t="s">
        <v>22</v>
      </c>
      <c r="E20" s="65" t="s">
        <v>237</v>
      </c>
      <c r="F20" s="65" t="s">
        <v>237</v>
      </c>
      <c r="G20" s="65">
        <v>0.99948504890097378</v>
      </c>
      <c r="H20" s="65">
        <v>1</v>
      </c>
      <c r="I20" s="65">
        <v>0.95947274175577646</v>
      </c>
      <c r="J20" s="65">
        <v>1</v>
      </c>
      <c r="K20" s="65">
        <v>0.99443997967253761</v>
      </c>
      <c r="L20" s="65">
        <v>1</v>
      </c>
      <c r="M20" s="65" t="s">
        <v>237</v>
      </c>
      <c r="N20" s="65">
        <v>1</v>
      </c>
      <c r="O20" s="65">
        <v>0.98633087176549716</v>
      </c>
      <c r="P20" s="66">
        <v>0.99469233501184851</v>
      </c>
      <c r="Q20" s="67">
        <v>1</v>
      </c>
    </row>
    <row r="21" spans="1:17" s="17" customFormat="1" ht="19.2" customHeight="1" thickBot="1">
      <c r="A21" s="3"/>
      <c r="B21" s="3"/>
      <c r="C21" s="591"/>
      <c r="D21" s="69" t="s">
        <v>185</v>
      </c>
      <c r="E21" s="70" t="s">
        <v>237</v>
      </c>
      <c r="F21" s="70" t="s">
        <v>237</v>
      </c>
      <c r="G21" s="70">
        <v>1</v>
      </c>
      <c r="H21" s="70">
        <v>1</v>
      </c>
      <c r="I21" s="70">
        <v>0.99637897581393453</v>
      </c>
      <c r="J21" s="70">
        <v>1</v>
      </c>
      <c r="K21" s="70">
        <v>1</v>
      </c>
      <c r="L21" s="70">
        <v>1</v>
      </c>
      <c r="M21" s="70" t="s">
        <v>237</v>
      </c>
      <c r="N21" s="70">
        <v>1</v>
      </c>
      <c r="O21" s="70">
        <v>1</v>
      </c>
      <c r="P21" s="71">
        <v>1</v>
      </c>
      <c r="Q21" s="72">
        <v>1</v>
      </c>
    </row>
    <row r="22" spans="1:17" s="17" customFormat="1" ht="19.2" customHeight="1">
      <c r="A22" s="3"/>
      <c r="B22" s="3"/>
      <c r="C22" s="586" t="s">
        <v>78</v>
      </c>
      <c r="D22" s="359" t="s">
        <v>32</v>
      </c>
      <c r="E22" s="354" t="s">
        <v>237</v>
      </c>
      <c r="F22" s="354" t="s">
        <v>237</v>
      </c>
      <c r="G22" s="354">
        <v>0.63471929937245475</v>
      </c>
      <c r="H22" s="354">
        <v>0.63732803020339057</v>
      </c>
      <c r="I22" s="354" t="s">
        <v>237</v>
      </c>
      <c r="J22" s="354">
        <v>0.55852673604270697</v>
      </c>
      <c r="K22" s="354">
        <v>0.9030934687432034</v>
      </c>
      <c r="L22" s="354">
        <v>0.6951658908794125</v>
      </c>
      <c r="M22" s="354" t="s">
        <v>237</v>
      </c>
      <c r="N22" s="354">
        <v>0.85231216606369808</v>
      </c>
      <c r="O22" s="354" t="s">
        <v>237</v>
      </c>
      <c r="P22" s="352">
        <v>0.7328511164315874</v>
      </c>
      <c r="Q22" s="360">
        <v>0.69344109163203782</v>
      </c>
    </row>
    <row r="23" spans="1:17" s="17" customFormat="1" ht="19.2" customHeight="1">
      <c r="A23" s="3"/>
      <c r="B23" s="3"/>
      <c r="C23" s="587"/>
      <c r="D23" s="357" t="s">
        <v>17</v>
      </c>
      <c r="E23" s="350" t="s">
        <v>237</v>
      </c>
      <c r="F23" s="350" t="s">
        <v>237</v>
      </c>
      <c r="G23" s="350">
        <v>0</v>
      </c>
      <c r="H23" s="350">
        <v>0</v>
      </c>
      <c r="I23" s="350" t="s">
        <v>237</v>
      </c>
      <c r="J23" s="350">
        <v>0</v>
      </c>
      <c r="K23" s="350">
        <v>0.54371585336268724</v>
      </c>
      <c r="L23" s="350">
        <v>0</v>
      </c>
      <c r="M23" s="350" t="s">
        <v>237</v>
      </c>
      <c r="N23" s="350">
        <v>0.1017932594278899</v>
      </c>
      <c r="O23" s="350" t="s">
        <v>237</v>
      </c>
      <c r="P23" s="348">
        <v>0</v>
      </c>
      <c r="Q23" s="358">
        <v>0</v>
      </c>
    </row>
    <row r="24" spans="1:17" s="17" customFormat="1" ht="19.2" customHeight="1">
      <c r="A24" s="3"/>
      <c r="B24" s="3"/>
      <c r="C24" s="587"/>
      <c r="D24" s="55" t="s">
        <v>18</v>
      </c>
      <c r="E24" s="56" t="s">
        <v>237</v>
      </c>
      <c r="F24" s="56" t="s">
        <v>237</v>
      </c>
      <c r="G24" s="56">
        <v>0.15842831208466271</v>
      </c>
      <c r="H24" s="56">
        <v>0.1113689440293414</v>
      </c>
      <c r="I24" s="56" t="s">
        <v>237</v>
      </c>
      <c r="J24" s="56">
        <v>2.366696959653785E-3</v>
      </c>
      <c r="K24" s="56">
        <v>0.78257477136460263</v>
      </c>
      <c r="L24" s="56">
        <v>7.6963000092368158E-2</v>
      </c>
      <c r="M24" s="56" t="s">
        <v>237</v>
      </c>
      <c r="N24" s="56">
        <v>0.34550228907343472</v>
      </c>
      <c r="O24" s="56" t="s">
        <v>237</v>
      </c>
      <c r="P24" s="57">
        <v>0.20195486977689059</v>
      </c>
      <c r="Q24" s="58">
        <v>0.29176833523456669</v>
      </c>
    </row>
    <row r="25" spans="1:17" s="17" customFormat="1" ht="19.2" customHeight="1">
      <c r="A25" s="3"/>
      <c r="B25" s="3"/>
      <c r="C25" s="587"/>
      <c r="D25" s="55" t="s">
        <v>19</v>
      </c>
      <c r="E25" s="56" t="s">
        <v>237</v>
      </c>
      <c r="F25" s="56" t="s">
        <v>237</v>
      </c>
      <c r="G25" s="56">
        <v>0.24669959278222331</v>
      </c>
      <c r="H25" s="56">
        <v>0.29078165374951609</v>
      </c>
      <c r="I25" s="56" t="s">
        <v>237</v>
      </c>
      <c r="J25" s="56">
        <v>0.13566409989433159</v>
      </c>
      <c r="K25" s="56">
        <v>0.84558195316742291</v>
      </c>
      <c r="L25" s="56">
        <v>0.37823472977048578</v>
      </c>
      <c r="M25" s="56" t="s">
        <v>237</v>
      </c>
      <c r="N25" s="56">
        <v>0.99560690769098692</v>
      </c>
      <c r="O25" s="56" t="s">
        <v>237</v>
      </c>
      <c r="P25" s="57">
        <v>0.5970485238010721</v>
      </c>
      <c r="Q25" s="58">
        <v>0.52021168790672856</v>
      </c>
    </row>
    <row r="26" spans="1:17" s="17" customFormat="1" ht="19.2" customHeight="1">
      <c r="A26" s="3"/>
      <c r="B26" s="3"/>
      <c r="C26" s="587"/>
      <c r="D26" s="55" t="s">
        <v>20</v>
      </c>
      <c r="E26" s="56" t="s">
        <v>237</v>
      </c>
      <c r="F26" s="56" t="s">
        <v>237</v>
      </c>
      <c r="G26" s="56">
        <v>0.83078269647694414</v>
      </c>
      <c r="H26" s="56">
        <v>0.81789548345917207</v>
      </c>
      <c r="I26" s="56" t="s">
        <v>237</v>
      </c>
      <c r="J26" s="56">
        <v>0.64484679268466449</v>
      </c>
      <c r="K26" s="56">
        <v>0.98594734922143079</v>
      </c>
      <c r="L26" s="56">
        <v>0.97021879550283363</v>
      </c>
      <c r="M26" s="56" t="s">
        <v>237</v>
      </c>
      <c r="N26" s="56">
        <v>1</v>
      </c>
      <c r="O26" s="56" t="s">
        <v>237</v>
      </c>
      <c r="P26" s="57">
        <v>0.8447858814748529</v>
      </c>
      <c r="Q26" s="58">
        <v>0.72626774195106647</v>
      </c>
    </row>
    <row r="27" spans="1:17" s="17" customFormat="1" ht="19.2" customHeight="1">
      <c r="A27" s="3"/>
      <c r="B27" s="3"/>
      <c r="C27" s="587"/>
      <c r="D27" s="55" t="s">
        <v>21</v>
      </c>
      <c r="E27" s="56" t="s">
        <v>237</v>
      </c>
      <c r="F27" s="56" t="s">
        <v>237</v>
      </c>
      <c r="G27" s="56">
        <v>0.99947608396291898</v>
      </c>
      <c r="H27" s="56">
        <v>0.9888265022638445</v>
      </c>
      <c r="I27" s="56" t="s">
        <v>237</v>
      </c>
      <c r="J27" s="56">
        <v>0.9576951169908644</v>
      </c>
      <c r="K27" s="56">
        <v>1</v>
      </c>
      <c r="L27" s="56">
        <v>1</v>
      </c>
      <c r="M27" s="56" t="s">
        <v>237</v>
      </c>
      <c r="N27" s="56">
        <v>1</v>
      </c>
      <c r="O27" s="56" t="s">
        <v>237</v>
      </c>
      <c r="P27" s="57">
        <v>0.99519916189956437</v>
      </c>
      <c r="Q27" s="58">
        <v>0.99214565296960511</v>
      </c>
    </row>
    <row r="28" spans="1:17" s="17" customFormat="1" ht="19.2" customHeight="1">
      <c r="A28" s="3"/>
      <c r="B28" s="3"/>
      <c r="C28" s="587"/>
      <c r="D28" s="59" t="s">
        <v>22</v>
      </c>
      <c r="E28" s="56" t="s">
        <v>237</v>
      </c>
      <c r="F28" s="56" t="s">
        <v>237</v>
      </c>
      <c r="G28" s="56">
        <v>1</v>
      </c>
      <c r="H28" s="56">
        <v>1</v>
      </c>
      <c r="I28" s="56" t="s">
        <v>237</v>
      </c>
      <c r="J28" s="56">
        <v>1</v>
      </c>
      <c r="K28" s="56">
        <v>1</v>
      </c>
      <c r="L28" s="56">
        <v>1</v>
      </c>
      <c r="M28" s="56" t="s">
        <v>237</v>
      </c>
      <c r="N28" s="56">
        <v>1</v>
      </c>
      <c r="O28" s="56" t="s">
        <v>237</v>
      </c>
      <c r="P28" s="57">
        <v>1</v>
      </c>
      <c r="Q28" s="58">
        <v>1</v>
      </c>
    </row>
    <row r="29" spans="1:17" s="17" customFormat="1" ht="19.2" customHeight="1" thickBot="1">
      <c r="A29" s="3"/>
      <c r="B29" s="3"/>
      <c r="C29" s="588"/>
      <c r="D29" s="60" t="s">
        <v>185</v>
      </c>
      <c r="E29" s="61" t="s">
        <v>237</v>
      </c>
      <c r="F29" s="61" t="s">
        <v>237</v>
      </c>
      <c r="G29" s="61">
        <v>1</v>
      </c>
      <c r="H29" s="61">
        <v>1</v>
      </c>
      <c r="I29" s="61" t="s">
        <v>237</v>
      </c>
      <c r="J29" s="61">
        <v>1</v>
      </c>
      <c r="K29" s="61">
        <v>1</v>
      </c>
      <c r="L29" s="61">
        <v>1</v>
      </c>
      <c r="M29" s="61" t="s">
        <v>237</v>
      </c>
      <c r="N29" s="61">
        <v>1</v>
      </c>
      <c r="O29" s="61" t="s">
        <v>237</v>
      </c>
      <c r="P29" s="62">
        <v>1</v>
      </c>
      <c r="Q29" s="63">
        <v>1</v>
      </c>
    </row>
    <row r="30" spans="1:17" s="17" customFormat="1" ht="19.2" customHeight="1">
      <c r="A30" s="3"/>
      <c r="B30" s="3"/>
      <c r="C30" s="589" t="s">
        <v>79</v>
      </c>
      <c r="D30" s="363" t="s">
        <v>32</v>
      </c>
      <c r="E30" s="346" t="s">
        <v>237</v>
      </c>
      <c r="F30" s="346" t="s">
        <v>237</v>
      </c>
      <c r="G30" s="346">
        <v>0.66243946672031795</v>
      </c>
      <c r="H30" s="346" t="s">
        <v>237</v>
      </c>
      <c r="I30" s="346" t="s">
        <v>237</v>
      </c>
      <c r="J30" s="346">
        <v>0.70701870457900795</v>
      </c>
      <c r="K30" s="346" t="s">
        <v>237</v>
      </c>
      <c r="L30" s="346">
        <v>0.46652262014296592</v>
      </c>
      <c r="M30" s="346" t="s">
        <v>237</v>
      </c>
      <c r="N30" s="346">
        <v>0.84500196283497531</v>
      </c>
      <c r="O30" s="346" t="s">
        <v>237</v>
      </c>
      <c r="P30" s="344" t="s">
        <v>237</v>
      </c>
      <c r="Q30" s="364">
        <v>0.7501886262716172</v>
      </c>
    </row>
    <row r="31" spans="1:17" s="17" customFormat="1" ht="19.2" customHeight="1">
      <c r="A31" s="3"/>
      <c r="B31" s="3"/>
      <c r="C31" s="590"/>
      <c r="D31" s="361" t="s">
        <v>17</v>
      </c>
      <c r="E31" s="342" t="s">
        <v>237</v>
      </c>
      <c r="F31" s="342" t="s">
        <v>237</v>
      </c>
      <c r="G31" s="342">
        <v>0</v>
      </c>
      <c r="H31" s="342" t="s">
        <v>237</v>
      </c>
      <c r="I31" s="342" t="s">
        <v>237</v>
      </c>
      <c r="J31" s="342">
        <v>0</v>
      </c>
      <c r="K31" s="342" t="s">
        <v>237</v>
      </c>
      <c r="L31" s="342">
        <v>4.2453007319867363E-2</v>
      </c>
      <c r="M31" s="342" t="s">
        <v>237</v>
      </c>
      <c r="N31" s="342">
        <v>2.7001527693641621E-2</v>
      </c>
      <c r="O31" s="342" t="s">
        <v>237</v>
      </c>
      <c r="P31" s="340" t="s">
        <v>237</v>
      </c>
      <c r="Q31" s="362">
        <v>0</v>
      </c>
    </row>
    <row r="32" spans="1:17" s="17" customFormat="1" ht="19.2" customHeight="1">
      <c r="A32" s="3"/>
      <c r="B32" s="3"/>
      <c r="C32" s="590"/>
      <c r="D32" s="64" t="s">
        <v>18</v>
      </c>
      <c r="E32" s="65" t="s">
        <v>237</v>
      </c>
      <c r="F32" s="65" t="s">
        <v>237</v>
      </c>
      <c r="G32" s="65">
        <v>0.2630622732674559</v>
      </c>
      <c r="H32" s="65" t="s">
        <v>237</v>
      </c>
      <c r="I32" s="65" t="s">
        <v>237</v>
      </c>
      <c r="J32" s="65">
        <v>0.15313317004891661</v>
      </c>
      <c r="K32" s="65" t="s">
        <v>237</v>
      </c>
      <c r="L32" s="65">
        <v>6.8610069051056127E-2</v>
      </c>
      <c r="M32" s="65" t="s">
        <v>237</v>
      </c>
      <c r="N32" s="65">
        <v>0.56189753400855857</v>
      </c>
      <c r="O32" s="65" t="s">
        <v>237</v>
      </c>
      <c r="P32" s="66" t="s">
        <v>237</v>
      </c>
      <c r="Q32" s="67">
        <v>0.26143843090700741</v>
      </c>
    </row>
    <row r="33" spans="1:17" s="17" customFormat="1" ht="19.2" customHeight="1">
      <c r="A33" s="3"/>
      <c r="B33" s="3"/>
      <c r="C33" s="590"/>
      <c r="D33" s="64" t="s">
        <v>19</v>
      </c>
      <c r="E33" s="65" t="s">
        <v>237</v>
      </c>
      <c r="F33" s="65" t="s">
        <v>237</v>
      </c>
      <c r="G33" s="65">
        <v>0.4365903592824405</v>
      </c>
      <c r="H33" s="65" t="s">
        <v>237</v>
      </c>
      <c r="I33" s="65" t="s">
        <v>237</v>
      </c>
      <c r="J33" s="65">
        <v>0.3431987026609612</v>
      </c>
      <c r="K33" s="65" t="s">
        <v>237</v>
      </c>
      <c r="L33" s="65">
        <v>0.19328516865145831</v>
      </c>
      <c r="M33" s="65" t="s">
        <v>237</v>
      </c>
      <c r="N33" s="65">
        <v>0.78087080650738483</v>
      </c>
      <c r="O33" s="65" t="s">
        <v>237</v>
      </c>
      <c r="P33" s="66" t="s">
        <v>237</v>
      </c>
      <c r="Q33" s="67">
        <v>0.60496484286779983</v>
      </c>
    </row>
    <row r="34" spans="1:17" s="17" customFormat="1" ht="19.2" customHeight="1">
      <c r="A34" s="3"/>
      <c r="B34" s="3"/>
      <c r="C34" s="590"/>
      <c r="D34" s="64" t="s">
        <v>20</v>
      </c>
      <c r="E34" s="65" t="s">
        <v>237</v>
      </c>
      <c r="F34" s="65" t="s">
        <v>237</v>
      </c>
      <c r="G34" s="65">
        <v>0.68481970780152013</v>
      </c>
      <c r="H34" s="65" t="s">
        <v>237</v>
      </c>
      <c r="I34" s="65" t="s">
        <v>237</v>
      </c>
      <c r="J34" s="65">
        <v>0.95733393124220756</v>
      </c>
      <c r="K34" s="65" t="s">
        <v>237</v>
      </c>
      <c r="L34" s="65">
        <v>0.41057112117038391</v>
      </c>
      <c r="M34" s="65" t="s">
        <v>237</v>
      </c>
      <c r="N34" s="65">
        <v>0.9950804739234671</v>
      </c>
      <c r="O34" s="65" t="s">
        <v>237</v>
      </c>
      <c r="P34" s="66" t="s">
        <v>237</v>
      </c>
      <c r="Q34" s="67">
        <v>0.98529744833541688</v>
      </c>
    </row>
    <row r="35" spans="1:17" s="17" customFormat="1" ht="19.2" customHeight="1">
      <c r="A35" s="3"/>
      <c r="B35" s="3"/>
      <c r="C35" s="590"/>
      <c r="D35" s="64" t="s">
        <v>21</v>
      </c>
      <c r="E35" s="65" t="s">
        <v>237</v>
      </c>
      <c r="F35" s="65" t="s">
        <v>237</v>
      </c>
      <c r="G35" s="65">
        <v>0.99721648828248477</v>
      </c>
      <c r="H35" s="65" t="s">
        <v>237</v>
      </c>
      <c r="I35" s="65" t="s">
        <v>237</v>
      </c>
      <c r="J35" s="65">
        <v>0.99870638492365571</v>
      </c>
      <c r="K35" s="65" t="s">
        <v>237</v>
      </c>
      <c r="L35" s="65">
        <v>0.65371119070631312</v>
      </c>
      <c r="M35" s="65" t="s">
        <v>237</v>
      </c>
      <c r="N35" s="65">
        <v>1</v>
      </c>
      <c r="O35" s="65" t="s">
        <v>237</v>
      </c>
      <c r="P35" s="66" t="s">
        <v>237</v>
      </c>
      <c r="Q35" s="67">
        <v>1</v>
      </c>
    </row>
    <row r="36" spans="1:17" s="17" customFormat="1" ht="19.2" customHeight="1">
      <c r="A36" s="3"/>
      <c r="B36" s="3"/>
      <c r="C36" s="590"/>
      <c r="D36" s="68" t="s">
        <v>22</v>
      </c>
      <c r="E36" s="65" t="s">
        <v>237</v>
      </c>
      <c r="F36" s="65" t="s">
        <v>237</v>
      </c>
      <c r="G36" s="65">
        <v>1</v>
      </c>
      <c r="H36" s="65" t="s">
        <v>237</v>
      </c>
      <c r="I36" s="65" t="s">
        <v>237</v>
      </c>
      <c r="J36" s="65">
        <v>1</v>
      </c>
      <c r="K36" s="65" t="s">
        <v>237</v>
      </c>
      <c r="L36" s="65">
        <v>0.99909968997718346</v>
      </c>
      <c r="M36" s="65" t="s">
        <v>237</v>
      </c>
      <c r="N36" s="65">
        <v>1</v>
      </c>
      <c r="O36" s="65" t="s">
        <v>237</v>
      </c>
      <c r="P36" s="66" t="s">
        <v>237</v>
      </c>
      <c r="Q36" s="67">
        <v>1</v>
      </c>
    </row>
    <row r="37" spans="1:17" s="17" customFormat="1" ht="19.2" customHeight="1" thickBot="1">
      <c r="A37" s="3"/>
      <c r="B37" s="3"/>
      <c r="C37" s="591"/>
      <c r="D37" s="69" t="s">
        <v>185</v>
      </c>
      <c r="E37" s="70" t="s">
        <v>237</v>
      </c>
      <c r="F37" s="70" t="s">
        <v>237</v>
      </c>
      <c r="G37" s="70">
        <v>1</v>
      </c>
      <c r="H37" s="70" t="s">
        <v>237</v>
      </c>
      <c r="I37" s="70" t="s">
        <v>237</v>
      </c>
      <c r="J37" s="70">
        <v>1</v>
      </c>
      <c r="K37" s="70" t="s">
        <v>237</v>
      </c>
      <c r="L37" s="70">
        <v>1</v>
      </c>
      <c r="M37" s="70" t="s">
        <v>237</v>
      </c>
      <c r="N37" s="70">
        <v>1</v>
      </c>
      <c r="O37" s="70" t="s">
        <v>237</v>
      </c>
      <c r="P37" s="71" t="s">
        <v>237</v>
      </c>
      <c r="Q37" s="72">
        <v>1</v>
      </c>
    </row>
    <row r="38" spans="1:17" s="17" customFormat="1" ht="19.2" hidden="1" customHeight="1" outlineLevel="1">
      <c r="A38" s="3"/>
      <c r="B38" s="3"/>
      <c r="C38" s="586" t="s">
        <v>103</v>
      </c>
      <c r="D38" s="178" t="s">
        <v>32</v>
      </c>
      <c r="E38" s="176" t="s">
        <v>237</v>
      </c>
      <c r="F38" s="176" t="s">
        <v>237</v>
      </c>
      <c r="G38" s="176" t="s">
        <v>237</v>
      </c>
      <c r="H38" s="176" t="s">
        <v>237</v>
      </c>
      <c r="I38" s="176" t="s">
        <v>237</v>
      </c>
      <c r="J38" s="176" t="s">
        <v>237</v>
      </c>
      <c r="K38" s="176" t="s">
        <v>237</v>
      </c>
      <c r="L38" s="176" t="s">
        <v>237</v>
      </c>
      <c r="M38" s="176" t="s">
        <v>237</v>
      </c>
      <c r="N38" s="176" t="s">
        <v>237</v>
      </c>
      <c r="O38" s="176" t="s">
        <v>237</v>
      </c>
      <c r="P38" s="179" t="s">
        <v>237</v>
      </c>
      <c r="Q38" s="177" t="s">
        <v>237</v>
      </c>
    </row>
    <row r="39" spans="1:17" s="17" customFormat="1" ht="19.2" hidden="1" customHeight="1" outlineLevel="1">
      <c r="A39" s="3"/>
      <c r="B39" s="3"/>
      <c r="C39" s="587"/>
      <c r="D39" s="55" t="s">
        <v>186</v>
      </c>
      <c r="E39" s="56" t="s">
        <v>237</v>
      </c>
      <c r="F39" s="56" t="s">
        <v>237</v>
      </c>
      <c r="G39" s="56" t="s">
        <v>237</v>
      </c>
      <c r="H39" s="56" t="s">
        <v>237</v>
      </c>
      <c r="I39" s="56" t="s">
        <v>237</v>
      </c>
      <c r="J39" s="56" t="s">
        <v>237</v>
      </c>
      <c r="K39" s="56" t="s">
        <v>237</v>
      </c>
      <c r="L39" s="56" t="s">
        <v>237</v>
      </c>
      <c r="M39" s="56" t="s">
        <v>237</v>
      </c>
      <c r="N39" s="56" t="s">
        <v>237</v>
      </c>
      <c r="O39" s="56" t="s">
        <v>237</v>
      </c>
      <c r="P39" s="57" t="s">
        <v>237</v>
      </c>
      <c r="Q39" s="58" t="s">
        <v>237</v>
      </c>
    </row>
    <row r="40" spans="1:17" s="17" customFormat="1" ht="19.2" hidden="1" customHeight="1" outlineLevel="1">
      <c r="A40" s="3"/>
      <c r="B40" s="3"/>
      <c r="C40" s="587"/>
      <c r="D40" s="55" t="s">
        <v>18</v>
      </c>
      <c r="E40" s="56" t="s">
        <v>237</v>
      </c>
      <c r="F40" s="56" t="s">
        <v>237</v>
      </c>
      <c r="G40" s="56" t="s">
        <v>237</v>
      </c>
      <c r="H40" s="56" t="s">
        <v>237</v>
      </c>
      <c r="I40" s="56" t="s">
        <v>237</v>
      </c>
      <c r="J40" s="56" t="s">
        <v>237</v>
      </c>
      <c r="K40" s="56" t="s">
        <v>237</v>
      </c>
      <c r="L40" s="56" t="s">
        <v>237</v>
      </c>
      <c r="M40" s="56" t="s">
        <v>237</v>
      </c>
      <c r="N40" s="56" t="s">
        <v>237</v>
      </c>
      <c r="O40" s="56" t="s">
        <v>237</v>
      </c>
      <c r="P40" s="57" t="s">
        <v>237</v>
      </c>
      <c r="Q40" s="58" t="s">
        <v>237</v>
      </c>
    </row>
    <row r="41" spans="1:17" s="17" customFormat="1" ht="19.2" hidden="1" customHeight="1" outlineLevel="1">
      <c r="A41" s="3"/>
      <c r="B41" s="3"/>
      <c r="C41" s="587"/>
      <c r="D41" s="55" t="s">
        <v>19</v>
      </c>
      <c r="E41" s="56" t="s">
        <v>237</v>
      </c>
      <c r="F41" s="56" t="s">
        <v>237</v>
      </c>
      <c r="G41" s="56" t="s">
        <v>237</v>
      </c>
      <c r="H41" s="56" t="s">
        <v>237</v>
      </c>
      <c r="I41" s="56" t="s">
        <v>237</v>
      </c>
      <c r="J41" s="56" t="s">
        <v>237</v>
      </c>
      <c r="K41" s="56" t="s">
        <v>237</v>
      </c>
      <c r="L41" s="56" t="s">
        <v>237</v>
      </c>
      <c r="M41" s="56" t="s">
        <v>237</v>
      </c>
      <c r="N41" s="56" t="s">
        <v>237</v>
      </c>
      <c r="O41" s="56" t="s">
        <v>237</v>
      </c>
      <c r="P41" s="57" t="s">
        <v>237</v>
      </c>
      <c r="Q41" s="58" t="s">
        <v>237</v>
      </c>
    </row>
    <row r="42" spans="1:17" s="17" customFormat="1" ht="19.2" hidden="1" customHeight="1" outlineLevel="1">
      <c r="A42" s="3"/>
      <c r="B42" s="3"/>
      <c r="C42" s="587"/>
      <c r="D42" s="55" t="s">
        <v>20</v>
      </c>
      <c r="E42" s="56" t="s">
        <v>237</v>
      </c>
      <c r="F42" s="56" t="s">
        <v>237</v>
      </c>
      <c r="G42" s="56" t="s">
        <v>237</v>
      </c>
      <c r="H42" s="56" t="s">
        <v>237</v>
      </c>
      <c r="I42" s="56" t="s">
        <v>237</v>
      </c>
      <c r="J42" s="56" t="s">
        <v>237</v>
      </c>
      <c r="K42" s="56" t="s">
        <v>237</v>
      </c>
      <c r="L42" s="56" t="s">
        <v>237</v>
      </c>
      <c r="M42" s="56" t="s">
        <v>237</v>
      </c>
      <c r="N42" s="56" t="s">
        <v>237</v>
      </c>
      <c r="O42" s="56" t="s">
        <v>237</v>
      </c>
      <c r="P42" s="57" t="s">
        <v>237</v>
      </c>
      <c r="Q42" s="58" t="s">
        <v>237</v>
      </c>
    </row>
    <row r="43" spans="1:17" s="17" customFormat="1" ht="19.2" hidden="1" customHeight="1" outlineLevel="1">
      <c r="A43" s="3"/>
      <c r="B43" s="3"/>
      <c r="C43" s="587"/>
      <c r="D43" s="55" t="s">
        <v>21</v>
      </c>
      <c r="E43" s="56" t="s">
        <v>237</v>
      </c>
      <c r="F43" s="56" t="s">
        <v>237</v>
      </c>
      <c r="G43" s="56" t="s">
        <v>237</v>
      </c>
      <c r="H43" s="56" t="s">
        <v>237</v>
      </c>
      <c r="I43" s="56" t="s">
        <v>237</v>
      </c>
      <c r="J43" s="56" t="s">
        <v>237</v>
      </c>
      <c r="K43" s="56" t="s">
        <v>237</v>
      </c>
      <c r="L43" s="56" t="s">
        <v>237</v>
      </c>
      <c r="M43" s="56" t="s">
        <v>237</v>
      </c>
      <c r="N43" s="56" t="s">
        <v>237</v>
      </c>
      <c r="O43" s="56" t="s">
        <v>237</v>
      </c>
      <c r="P43" s="57" t="s">
        <v>237</v>
      </c>
      <c r="Q43" s="58" t="s">
        <v>237</v>
      </c>
    </row>
    <row r="44" spans="1:17" s="17" customFormat="1" ht="19.2" hidden="1" customHeight="1" outlineLevel="1">
      <c r="A44" s="3"/>
      <c r="B44" s="3"/>
      <c r="C44" s="587"/>
      <c r="D44" s="59" t="s">
        <v>22</v>
      </c>
      <c r="E44" s="56" t="s">
        <v>237</v>
      </c>
      <c r="F44" s="56" t="s">
        <v>237</v>
      </c>
      <c r="G44" s="56" t="s">
        <v>237</v>
      </c>
      <c r="H44" s="56" t="s">
        <v>237</v>
      </c>
      <c r="I44" s="56" t="s">
        <v>237</v>
      </c>
      <c r="J44" s="56" t="s">
        <v>237</v>
      </c>
      <c r="K44" s="56" t="s">
        <v>237</v>
      </c>
      <c r="L44" s="56" t="s">
        <v>237</v>
      </c>
      <c r="M44" s="56" t="s">
        <v>237</v>
      </c>
      <c r="N44" s="56" t="s">
        <v>237</v>
      </c>
      <c r="O44" s="56" t="s">
        <v>237</v>
      </c>
      <c r="P44" s="57" t="s">
        <v>237</v>
      </c>
      <c r="Q44" s="58" t="s">
        <v>237</v>
      </c>
    </row>
    <row r="45" spans="1:17" s="17" customFormat="1" ht="19.2" hidden="1" customHeight="1" outlineLevel="1" thickBot="1">
      <c r="A45" s="3"/>
      <c r="B45" s="3"/>
      <c r="C45" s="588"/>
      <c r="D45" s="60" t="s">
        <v>187</v>
      </c>
      <c r="E45" s="61" t="s">
        <v>237</v>
      </c>
      <c r="F45" s="61" t="s">
        <v>237</v>
      </c>
      <c r="G45" s="61" t="s">
        <v>237</v>
      </c>
      <c r="H45" s="61" t="s">
        <v>237</v>
      </c>
      <c r="I45" s="61" t="s">
        <v>237</v>
      </c>
      <c r="J45" s="61" t="s">
        <v>237</v>
      </c>
      <c r="K45" s="61" t="s">
        <v>237</v>
      </c>
      <c r="L45" s="61" t="s">
        <v>237</v>
      </c>
      <c r="M45" s="61" t="s">
        <v>237</v>
      </c>
      <c r="N45" s="61" t="s">
        <v>237</v>
      </c>
      <c r="O45" s="61" t="s">
        <v>237</v>
      </c>
      <c r="P45" s="62" t="s">
        <v>237</v>
      </c>
      <c r="Q45" s="63" t="s">
        <v>237</v>
      </c>
    </row>
    <row r="46" spans="1:17" s="17" customFormat="1" ht="19.2" customHeight="1" collapsed="1">
      <c r="A46" s="3"/>
      <c r="B46" s="3"/>
      <c r="C46" s="586" t="s">
        <v>80</v>
      </c>
      <c r="D46" s="359" t="s">
        <v>32</v>
      </c>
      <c r="E46" s="354" t="s">
        <v>237</v>
      </c>
      <c r="F46" s="354" t="s">
        <v>237</v>
      </c>
      <c r="G46" s="354">
        <v>0.66155910078231706</v>
      </c>
      <c r="H46" s="354" t="s">
        <v>237</v>
      </c>
      <c r="I46" s="354" t="s">
        <v>237</v>
      </c>
      <c r="J46" s="354">
        <v>0.83340908404308933</v>
      </c>
      <c r="K46" s="354" t="s">
        <v>237</v>
      </c>
      <c r="L46" s="354" t="s">
        <v>237</v>
      </c>
      <c r="M46" s="354" t="s">
        <v>237</v>
      </c>
      <c r="N46" s="354">
        <v>0.77361592049215988</v>
      </c>
      <c r="O46" s="354" t="s">
        <v>237</v>
      </c>
      <c r="P46" s="352">
        <v>0.68024287568246589</v>
      </c>
      <c r="Q46" s="360" t="s">
        <v>237</v>
      </c>
    </row>
    <row r="47" spans="1:17" s="17" customFormat="1" ht="19.2" customHeight="1">
      <c r="A47" s="3"/>
      <c r="B47" s="3"/>
      <c r="C47" s="587"/>
      <c r="D47" s="357" t="s">
        <v>17</v>
      </c>
      <c r="E47" s="350" t="s">
        <v>237</v>
      </c>
      <c r="F47" s="350" t="s">
        <v>237</v>
      </c>
      <c r="G47" s="350">
        <v>0</v>
      </c>
      <c r="H47" s="350" t="s">
        <v>237</v>
      </c>
      <c r="I47" s="350" t="s">
        <v>237</v>
      </c>
      <c r="J47" s="350">
        <v>0</v>
      </c>
      <c r="K47" s="350" t="s">
        <v>237</v>
      </c>
      <c r="L47" s="350" t="s">
        <v>237</v>
      </c>
      <c r="M47" s="350" t="s">
        <v>237</v>
      </c>
      <c r="N47" s="350">
        <v>0</v>
      </c>
      <c r="O47" s="350" t="s">
        <v>237</v>
      </c>
      <c r="P47" s="348">
        <v>0</v>
      </c>
      <c r="Q47" s="358" t="s">
        <v>237</v>
      </c>
    </row>
    <row r="48" spans="1:17" s="17" customFormat="1" ht="19.2" customHeight="1">
      <c r="A48" s="3"/>
      <c r="B48" s="3"/>
      <c r="C48" s="587"/>
      <c r="D48" s="55" t="s">
        <v>18</v>
      </c>
      <c r="E48" s="56" t="s">
        <v>237</v>
      </c>
      <c r="F48" s="56" t="s">
        <v>237</v>
      </c>
      <c r="G48" s="56">
        <v>1.533252878148276E-2</v>
      </c>
      <c r="H48" s="56" t="s">
        <v>237</v>
      </c>
      <c r="I48" s="56" t="s">
        <v>237</v>
      </c>
      <c r="J48" s="56">
        <v>0.31234704062258162</v>
      </c>
      <c r="K48" s="56" t="s">
        <v>237</v>
      </c>
      <c r="L48" s="56" t="s">
        <v>237</v>
      </c>
      <c r="M48" s="56" t="s">
        <v>237</v>
      </c>
      <c r="N48" s="56">
        <v>0.38379023496434672</v>
      </c>
      <c r="O48" s="56" t="s">
        <v>237</v>
      </c>
      <c r="P48" s="57">
        <v>1.854415643124754E-2</v>
      </c>
      <c r="Q48" s="58" t="s">
        <v>237</v>
      </c>
    </row>
    <row r="49" spans="1:20" s="17" customFormat="1" ht="19.2" customHeight="1">
      <c r="A49" s="3"/>
      <c r="B49" s="3"/>
      <c r="C49" s="587"/>
      <c r="D49" s="55" t="s">
        <v>19</v>
      </c>
      <c r="E49" s="56" t="s">
        <v>237</v>
      </c>
      <c r="F49" s="56" t="s">
        <v>237</v>
      </c>
      <c r="G49" s="56">
        <v>0.27504179995096439</v>
      </c>
      <c r="H49" s="56" t="s">
        <v>237</v>
      </c>
      <c r="I49" s="56" t="s">
        <v>237</v>
      </c>
      <c r="J49" s="56">
        <v>0.92672544943315049</v>
      </c>
      <c r="K49" s="56" t="s">
        <v>237</v>
      </c>
      <c r="L49" s="56" t="s">
        <v>237</v>
      </c>
      <c r="M49" s="56" t="s">
        <v>237</v>
      </c>
      <c r="N49" s="56">
        <v>0.53408587365023319</v>
      </c>
      <c r="O49" s="56" t="s">
        <v>237</v>
      </c>
      <c r="P49" s="57">
        <v>0.6164088092932386</v>
      </c>
      <c r="Q49" s="58" t="s">
        <v>237</v>
      </c>
    </row>
    <row r="50" spans="1:20" s="17" customFormat="1" ht="19.2" customHeight="1">
      <c r="A50" s="3"/>
      <c r="B50" s="3"/>
      <c r="C50" s="587"/>
      <c r="D50" s="55" t="s">
        <v>20</v>
      </c>
      <c r="E50" s="56" t="s">
        <v>237</v>
      </c>
      <c r="F50" s="56" t="s">
        <v>237</v>
      </c>
      <c r="G50" s="56">
        <v>0.98785680172264589</v>
      </c>
      <c r="H50" s="56" t="s">
        <v>237</v>
      </c>
      <c r="I50" s="56" t="s">
        <v>237</v>
      </c>
      <c r="J50" s="56">
        <v>0.98576781819104264</v>
      </c>
      <c r="K50" s="56" t="s">
        <v>237</v>
      </c>
      <c r="L50" s="56" t="s">
        <v>237</v>
      </c>
      <c r="M50" s="56" t="s">
        <v>237</v>
      </c>
      <c r="N50" s="56">
        <v>1</v>
      </c>
      <c r="O50" s="56" t="s">
        <v>237</v>
      </c>
      <c r="P50" s="57">
        <v>0.84222306482308074</v>
      </c>
      <c r="Q50" s="58" t="s">
        <v>237</v>
      </c>
    </row>
    <row r="51" spans="1:20" s="17" customFormat="1" ht="19.2" customHeight="1">
      <c r="A51" s="3"/>
      <c r="B51" s="3"/>
      <c r="C51" s="587"/>
      <c r="D51" s="55" t="s">
        <v>21</v>
      </c>
      <c r="E51" s="56" t="s">
        <v>237</v>
      </c>
      <c r="F51" s="56" t="s">
        <v>237</v>
      </c>
      <c r="G51" s="56">
        <v>1</v>
      </c>
      <c r="H51" s="56" t="s">
        <v>237</v>
      </c>
      <c r="I51" s="56" t="s">
        <v>237</v>
      </c>
      <c r="J51" s="56">
        <v>0.9997522306164226</v>
      </c>
      <c r="K51" s="56" t="s">
        <v>237</v>
      </c>
      <c r="L51" s="56" t="s">
        <v>237</v>
      </c>
      <c r="M51" s="56" t="s">
        <v>237</v>
      </c>
      <c r="N51" s="56">
        <v>1</v>
      </c>
      <c r="O51" s="56" t="s">
        <v>237</v>
      </c>
      <c r="P51" s="57">
        <v>0.92099429193068605</v>
      </c>
      <c r="Q51" s="58" t="s">
        <v>237</v>
      </c>
    </row>
    <row r="52" spans="1:20" s="17" customFormat="1" ht="19.2" customHeight="1">
      <c r="A52" s="3"/>
      <c r="B52" s="3"/>
      <c r="C52" s="587"/>
      <c r="D52" s="59" t="s">
        <v>22</v>
      </c>
      <c r="E52" s="56" t="s">
        <v>237</v>
      </c>
      <c r="F52" s="56" t="s">
        <v>237</v>
      </c>
      <c r="G52" s="56">
        <v>1</v>
      </c>
      <c r="H52" s="56" t="s">
        <v>237</v>
      </c>
      <c r="I52" s="56" t="s">
        <v>237</v>
      </c>
      <c r="J52" s="56">
        <v>1</v>
      </c>
      <c r="K52" s="56" t="s">
        <v>237</v>
      </c>
      <c r="L52" s="56" t="s">
        <v>237</v>
      </c>
      <c r="M52" s="56" t="s">
        <v>237</v>
      </c>
      <c r="N52" s="56">
        <v>1</v>
      </c>
      <c r="O52" s="56" t="s">
        <v>237</v>
      </c>
      <c r="P52" s="57">
        <v>0.99639723155302762</v>
      </c>
      <c r="Q52" s="58" t="s">
        <v>237</v>
      </c>
    </row>
    <row r="53" spans="1:20" s="17" customFormat="1" ht="19.2" customHeight="1" thickBot="1">
      <c r="A53" s="3"/>
      <c r="B53" s="3"/>
      <c r="C53" s="588"/>
      <c r="D53" s="60" t="s">
        <v>185</v>
      </c>
      <c r="E53" s="61" t="s">
        <v>237</v>
      </c>
      <c r="F53" s="61" t="s">
        <v>237</v>
      </c>
      <c r="G53" s="61">
        <v>1</v>
      </c>
      <c r="H53" s="61" t="s">
        <v>237</v>
      </c>
      <c r="I53" s="61" t="s">
        <v>237</v>
      </c>
      <c r="J53" s="61">
        <v>1</v>
      </c>
      <c r="K53" s="61" t="s">
        <v>237</v>
      </c>
      <c r="L53" s="61" t="s">
        <v>237</v>
      </c>
      <c r="M53" s="61" t="s">
        <v>237</v>
      </c>
      <c r="N53" s="61">
        <v>1</v>
      </c>
      <c r="O53" s="61" t="s">
        <v>237</v>
      </c>
      <c r="P53" s="62">
        <v>1</v>
      </c>
      <c r="Q53" s="63" t="s">
        <v>237</v>
      </c>
    </row>
    <row r="54" spans="1:20" s="17" customFormat="1" ht="19.2" customHeight="1">
      <c r="A54" s="3"/>
      <c r="B54" s="3"/>
      <c r="C54" s="589" t="s">
        <v>81</v>
      </c>
      <c r="D54" s="363" t="s">
        <v>32</v>
      </c>
      <c r="E54" s="346" t="s">
        <v>237</v>
      </c>
      <c r="F54" s="346">
        <v>0.8714947063840639</v>
      </c>
      <c r="G54" s="346">
        <v>0.7258882722587926</v>
      </c>
      <c r="H54" s="346">
        <v>0.69199497724544623</v>
      </c>
      <c r="I54" s="346">
        <v>0.70795954267688077</v>
      </c>
      <c r="J54" s="346">
        <v>0.90664849187114027</v>
      </c>
      <c r="K54" s="346" t="s">
        <v>237</v>
      </c>
      <c r="L54" s="346">
        <v>0.70068761266182433</v>
      </c>
      <c r="M54" s="346" t="s">
        <v>237</v>
      </c>
      <c r="N54" s="346">
        <v>0.61198266471691498</v>
      </c>
      <c r="O54" s="346" t="s">
        <v>237</v>
      </c>
      <c r="P54" s="344">
        <v>0.81858449838717207</v>
      </c>
      <c r="Q54" s="364">
        <v>0.78754195318838216</v>
      </c>
    </row>
    <row r="55" spans="1:20" s="17" customFormat="1" ht="19.2" customHeight="1">
      <c r="A55" s="3"/>
      <c r="B55" s="3"/>
      <c r="C55" s="590"/>
      <c r="D55" s="361" t="s">
        <v>17</v>
      </c>
      <c r="E55" s="342" t="s">
        <v>237</v>
      </c>
      <c r="F55" s="342">
        <v>0.26424826605375068</v>
      </c>
      <c r="G55" s="342">
        <v>0</v>
      </c>
      <c r="H55" s="342">
        <v>0</v>
      </c>
      <c r="I55" s="342">
        <v>3.1754123830322209E-2</v>
      </c>
      <c r="J55" s="342">
        <v>0</v>
      </c>
      <c r="K55" s="342" t="s">
        <v>237</v>
      </c>
      <c r="L55" s="342">
        <v>0</v>
      </c>
      <c r="M55" s="342" t="s">
        <v>237</v>
      </c>
      <c r="N55" s="342">
        <v>0</v>
      </c>
      <c r="O55" s="342" t="s">
        <v>237</v>
      </c>
      <c r="P55" s="340">
        <v>0</v>
      </c>
      <c r="Q55" s="362">
        <v>0</v>
      </c>
    </row>
    <row r="56" spans="1:20" s="17" customFormat="1" ht="19.2" customHeight="1">
      <c r="A56" s="3"/>
      <c r="B56" s="3"/>
      <c r="C56" s="590"/>
      <c r="D56" s="64" t="s">
        <v>18</v>
      </c>
      <c r="E56" s="65" t="s">
        <v>237</v>
      </c>
      <c r="F56" s="65">
        <v>0.67901299171154306</v>
      </c>
      <c r="G56" s="65">
        <v>3.5581110739239842E-2</v>
      </c>
      <c r="H56" s="65">
        <v>9.8447144648786178E-2</v>
      </c>
      <c r="I56" s="65">
        <v>0.16017677830068469</v>
      </c>
      <c r="J56" s="65">
        <v>0.72956983691354382</v>
      </c>
      <c r="K56" s="65" t="s">
        <v>237</v>
      </c>
      <c r="L56" s="65">
        <v>5.9514421306498429E-3</v>
      </c>
      <c r="M56" s="65" t="s">
        <v>237</v>
      </c>
      <c r="N56" s="65">
        <v>0</v>
      </c>
      <c r="O56" s="65" t="s">
        <v>237</v>
      </c>
      <c r="P56" s="66">
        <v>0.38526107601874199</v>
      </c>
      <c r="Q56" s="67">
        <v>0.37766102680253338</v>
      </c>
    </row>
    <row r="57" spans="1:20" s="17" customFormat="1" ht="19.2" customHeight="1">
      <c r="A57" s="3"/>
      <c r="B57" s="3"/>
      <c r="C57" s="590"/>
      <c r="D57" s="64" t="s">
        <v>19</v>
      </c>
      <c r="E57" s="65" t="s">
        <v>237</v>
      </c>
      <c r="F57" s="65">
        <v>0.80676977836323205</v>
      </c>
      <c r="G57" s="65">
        <v>0.43149647313986472</v>
      </c>
      <c r="H57" s="65">
        <v>0.3822127419570589</v>
      </c>
      <c r="I57" s="65">
        <v>0.4394788119241137</v>
      </c>
      <c r="J57" s="65">
        <v>0.96825811440111731</v>
      </c>
      <c r="K57" s="65" t="s">
        <v>237</v>
      </c>
      <c r="L57" s="65">
        <v>0.3341736425293706</v>
      </c>
      <c r="M57" s="65" t="s">
        <v>237</v>
      </c>
      <c r="N57" s="65">
        <v>9.9303134002480836E-2</v>
      </c>
      <c r="O57" s="65" t="s">
        <v>237</v>
      </c>
      <c r="P57" s="66">
        <v>0.7979285081548888</v>
      </c>
      <c r="Q57" s="67">
        <v>0.66084046422936238</v>
      </c>
    </row>
    <row r="58" spans="1:20" s="17" customFormat="1" ht="19.2" customHeight="1">
      <c r="A58" s="3"/>
      <c r="B58" s="3"/>
      <c r="C58" s="590"/>
      <c r="D58" s="64" t="s">
        <v>20</v>
      </c>
      <c r="E58" s="65" t="s">
        <v>237</v>
      </c>
      <c r="F58" s="65">
        <v>0.96130328027804302</v>
      </c>
      <c r="G58" s="65">
        <v>0.96998041044667083</v>
      </c>
      <c r="H58" s="65">
        <v>0.93736046862914812</v>
      </c>
      <c r="I58" s="65">
        <v>0.98606961272616866</v>
      </c>
      <c r="J58" s="65">
        <v>0.99476582706326633</v>
      </c>
      <c r="K58" s="65" t="s">
        <v>237</v>
      </c>
      <c r="L58" s="65">
        <v>0.96443236023902634</v>
      </c>
      <c r="M58" s="65" t="s">
        <v>237</v>
      </c>
      <c r="N58" s="65">
        <v>0.85510842725149006</v>
      </c>
      <c r="O58" s="65" t="s">
        <v>237</v>
      </c>
      <c r="P58" s="66">
        <v>0.97003434256675425</v>
      </c>
      <c r="Q58" s="67">
        <v>0.93806548236337384</v>
      </c>
    </row>
    <row r="59" spans="1:20" s="17" customFormat="1" ht="19.2" customHeight="1">
      <c r="A59" s="3"/>
      <c r="B59" s="3"/>
      <c r="C59" s="590"/>
      <c r="D59" s="64" t="s">
        <v>21</v>
      </c>
      <c r="E59" s="65" t="s">
        <v>237</v>
      </c>
      <c r="F59" s="65">
        <v>1</v>
      </c>
      <c r="G59" s="65">
        <v>1</v>
      </c>
      <c r="H59" s="65">
        <v>0.99680215804525441</v>
      </c>
      <c r="I59" s="65">
        <v>1</v>
      </c>
      <c r="J59" s="65">
        <v>0.99999819975633508</v>
      </c>
      <c r="K59" s="65" t="s">
        <v>237</v>
      </c>
      <c r="L59" s="65">
        <v>1</v>
      </c>
      <c r="M59" s="65" t="s">
        <v>237</v>
      </c>
      <c r="N59" s="65">
        <v>0.99432553361028253</v>
      </c>
      <c r="O59" s="65" t="s">
        <v>237</v>
      </c>
      <c r="P59" s="66">
        <v>1</v>
      </c>
      <c r="Q59" s="67">
        <v>0.99168008833330423</v>
      </c>
    </row>
    <row r="60" spans="1:20" s="17" customFormat="1" ht="19.2" customHeight="1">
      <c r="A60" s="3"/>
      <c r="B60" s="3"/>
      <c r="C60" s="590"/>
      <c r="D60" s="68" t="s">
        <v>22</v>
      </c>
      <c r="E60" s="65" t="s">
        <v>237</v>
      </c>
      <c r="F60" s="65">
        <v>1</v>
      </c>
      <c r="G60" s="65">
        <v>1</v>
      </c>
      <c r="H60" s="65">
        <v>1</v>
      </c>
      <c r="I60" s="65">
        <v>1</v>
      </c>
      <c r="J60" s="65">
        <v>1</v>
      </c>
      <c r="K60" s="65" t="s">
        <v>237</v>
      </c>
      <c r="L60" s="65">
        <v>1</v>
      </c>
      <c r="M60" s="65" t="s">
        <v>237</v>
      </c>
      <c r="N60" s="65">
        <v>1</v>
      </c>
      <c r="O60" s="65" t="s">
        <v>237</v>
      </c>
      <c r="P60" s="66">
        <v>1</v>
      </c>
      <c r="Q60" s="67">
        <v>1</v>
      </c>
    </row>
    <row r="61" spans="1:20" s="17" customFormat="1" ht="19.2" customHeight="1" thickBot="1">
      <c r="A61" s="3"/>
      <c r="B61" s="3"/>
      <c r="C61" s="591"/>
      <c r="D61" s="69" t="s">
        <v>185</v>
      </c>
      <c r="E61" s="70" t="s">
        <v>237</v>
      </c>
      <c r="F61" s="70">
        <v>1</v>
      </c>
      <c r="G61" s="70">
        <v>1</v>
      </c>
      <c r="H61" s="70">
        <v>1</v>
      </c>
      <c r="I61" s="70">
        <v>1</v>
      </c>
      <c r="J61" s="70">
        <v>1</v>
      </c>
      <c r="K61" s="70" t="s">
        <v>237</v>
      </c>
      <c r="L61" s="70">
        <v>1</v>
      </c>
      <c r="M61" s="70" t="s">
        <v>237</v>
      </c>
      <c r="N61" s="70">
        <v>1</v>
      </c>
      <c r="O61" s="70" t="s">
        <v>237</v>
      </c>
      <c r="P61" s="71">
        <v>1</v>
      </c>
      <c r="Q61" s="72">
        <v>1</v>
      </c>
    </row>
    <row r="62" spans="1:20" s="17" customFormat="1" ht="19.2" hidden="1" customHeight="1" outlineLevel="1">
      <c r="A62" s="3"/>
      <c r="B62" s="3"/>
      <c r="C62" s="586" t="s">
        <v>104</v>
      </c>
      <c r="D62" s="178" t="s">
        <v>32</v>
      </c>
      <c r="E62" s="176" t="s">
        <v>237</v>
      </c>
      <c r="F62" s="176" t="s">
        <v>237</v>
      </c>
      <c r="G62" s="176" t="s">
        <v>237</v>
      </c>
      <c r="H62" s="176" t="s">
        <v>237</v>
      </c>
      <c r="I62" s="176" t="s">
        <v>237</v>
      </c>
      <c r="J62" s="176" t="s">
        <v>237</v>
      </c>
      <c r="K62" s="176" t="s">
        <v>237</v>
      </c>
      <c r="L62" s="176" t="s">
        <v>237</v>
      </c>
      <c r="M62" s="176" t="s">
        <v>237</v>
      </c>
      <c r="N62" s="176" t="s">
        <v>237</v>
      </c>
      <c r="O62" s="176" t="s">
        <v>237</v>
      </c>
      <c r="P62" s="179" t="s">
        <v>237</v>
      </c>
      <c r="Q62" s="177" t="s">
        <v>237</v>
      </c>
      <c r="T62" s="17" t="s">
        <v>82</v>
      </c>
    </row>
    <row r="63" spans="1:20" s="17" customFormat="1" ht="19.2" hidden="1" customHeight="1" outlineLevel="1">
      <c r="A63" s="3"/>
      <c r="B63" s="3"/>
      <c r="C63" s="587"/>
      <c r="D63" s="55" t="s">
        <v>186</v>
      </c>
      <c r="E63" s="56" t="s">
        <v>237</v>
      </c>
      <c r="F63" s="56" t="s">
        <v>237</v>
      </c>
      <c r="G63" s="56" t="s">
        <v>237</v>
      </c>
      <c r="H63" s="56" t="s">
        <v>237</v>
      </c>
      <c r="I63" s="56" t="s">
        <v>237</v>
      </c>
      <c r="J63" s="56" t="s">
        <v>237</v>
      </c>
      <c r="K63" s="56" t="s">
        <v>237</v>
      </c>
      <c r="L63" s="56" t="s">
        <v>237</v>
      </c>
      <c r="M63" s="56" t="s">
        <v>237</v>
      </c>
      <c r="N63" s="56" t="s">
        <v>237</v>
      </c>
      <c r="O63" s="56" t="s">
        <v>237</v>
      </c>
      <c r="P63" s="57" t="s">
        <v>237</v>
      </c>
      <c r="Q63" s="58" t="s">
        <v>237</v>
      </c>
    </row>
    <row r="64" spans="1:20" s="17" customFormat="1" ht="19.2" hidden="1" customHeight="1" outlineLevel="1">
      <c r="A64" s="3"/>
      <c r="B64" s="3"/>
      <c r="C64" s="587"/>
      <c r="D64" s="55" t="s">
        <v>18</v>
      </c>
      <c r="E64" s="56" t="s">
        <v>237</v>
      </c>
      <c r="F64" s="56" t="s">
        <v>237</v>
      </c>
      <c r="G64" s="56" t="s">
        <v>237</v>
      </c>
      <c r="H64" s="56" t="s">
        <v>237</v>
      </c>
      <c r="I64" s="56" t="s">
        <v>237</v>
      </c>
      <c r="J64" s="56" t="s">
        <v>237</v>
      </c>
      <c r="K64" s="56" t="s">
        <v>237</v>
      </c>
      <c r="L64" s="56" t="s">
        <v>237</v>
      </c>
      <c r="M64" s="56" t="s">
        <v>237</v>
      </c>
      <c r="N64" s="56" t="s">
        <v>237</v>
      </c>
      <c r="O64" s="56" t="s">
        <v>237</v>
      </c>
      <c r="P64" s="57" t="s">
        <v>237</v>
      </c>
      <c r="Q64" s="58" t="s">
        <v>237</v>
      </c>
    </row>
    <row r="65" spans="1:18" s="17" customFormat="1" ht="19.2" hidden="1" customHeight="1" outlineLevel="1">
      <c r="A65" s="3"/>
      <c r="B65" s="3"/>
      <c r="C65" s="587"/>
      <c r="D65" s="55" t="s">
        <v>19</v>
      </c>
      <c r="E65" s="56" t="s">
        <v>237</v>
      </c>
      <c r="F65" s="56" t="s">
        <v>237</v>
      </c>
      <c r="G65" s="56" t="s">
        <v>237</v>
      </c>
      <c r="H65" s="56" t="s">
        <v>237</v>
      </c>
      <c r="I65" s="56" t="s">
        <v>237</v>
      </c>
      <c r="J65" s="56" t="s">
        <v>237</v>
      </c>
      <c r="K65" s="56" t="s">
        <v>237</v>
      </c>
      <c r="L65" s="56" t="s">
        <v>237</v>
      </c>
      <c r="M65" s="56" t="s">
        <v>237</v>
      </c>
      <c r="N65" s="56" t="s">
        <v>237</v>
      </c>
      <c r="O65" s="56" t="s">
        <v>237</v>
      </c>
      <c r="P65" s="57" t="s">
        <v>237</v>
      </c>
      <c r="Q65" s="58" t="s">
        <v>237</v>
      </c>
    </row>
    <row r="66" spans="1:18" s="17" customFormat="1" ht="19.2" hidden="1" customHeight="1" outlineLevel="1">
      <c r="A66" s="3"/>
      <c r="B66" s="3"/>
      <c r="C66" s="587"/>
      <c r="D66" s="55" t="s">
        <v>20</v>
      </c>
      <c r="E66" s="56" t="s">
        <v>237</v>
      </c>
      <c r="F66" s="56" t="s">
        <v>237</v>
      </c>
      <c r="G66" s="56" t="s">
        <v>237</v>
      </c>
      <c r="H66" s="56" t="s">
        <v>237</v>
      </c>
      <c r="I66" s="56" t="s">
        <v>237</v>
      </c>
      <c r="J66" s="56" t="s">
        <v>237</v>
      </c>
      <c r="K66" s="56" t="s">
        <v>237</v>
      </c>
      <c r="L66" s="56" t="s">
        <v>237</v>
      </c>
      <c r="M66" s="56" t="s">
        <v>237</v>
      </c>
      <c r="N66" s="56" t="s">
        <v>237</v>
      </c>
      <c r="O66" s="56" t="s">
        <v>237</v>
      </c>
      <c r="P66" s="57" t="s">
        <v>237</v>
      </c>
      <c r="Q66" s="58" t="s">
        <v>237</v>
      </c>
    </row>
    <row r="67" spans="1:18" s="17" customFormat="1" ht="19.2" hidden="1" customHeight="1" outlineLevel="1">
      <c r="A67" s="3"/>
      <c r="B67" s="3"/>
      <c r="C67" s="587"/>
      <c r="D67" s="55" t="s">
        <v>21</v>
      </c>
      <c r="E67" s="56" t="s">
        <v>237</v>
      </c>
      <c r="F67" s="56" t="s">
        <v>237</v>
      </c>
      <c r="G67" s="56" t="s">
        <v>237</v>
      </c>
      <c r="H67" s="56" t="s">
        <v>237</v>
      </c>
      <c r="I67" s="56" t="s">
        <v>237</v>
      </c>
      <c r="J67" s="56" t="s">
        <v>237</v>
      </c>
      <c r="K67" s="56" t="s">
        <v>237</v>
      </c>
      <c r="L67" s="56" t="s">
        <v>237</v>
      </c>
      <c r="M67" s="56" t="s">
        <v>237</v>
      </c>
      <c r="N67" s="56" t="s">
        <v>237</v>
      </c>
      <c r="O67" s="56" t="s">
        <v>237</v>
      </c>
      <c r="P67" s="57" t="s">
        <v>237</v>
      </c>
      <c r="Q67" s="58" t="s">
        <v>237</v>
      </c>
    </row>
    <row r="68" spans="1:18" s="17" customFormat="1" ht="19.2" hidden="1" customHeight="1" outlineLevel="1">
      <c r="A68" s="3"/>
      <c r="B68" s="3"/>
      <c r="C68" s="587"/>
      <c r="D68" s="59" t="s">
        <v>22</v>
      </c>
      <c r="E68" s="56" t="s">
        <v>237</v>
      </c>
      <c r="F68" s="56" t="s">
        <v>237</v>
      </c>
      <c r="G68" s="56" t="s">
        <v>237</v>
      </c>
      <c r="H68" s="56" t="s">
        <v>237</v>
      </c>
      <c r="I68" s="56" t="s">
        <v>237</v>
      </c>
      <c r="J68" s="56" t="s">
        <v>237</v>
      </c>
      <c r="K68" s="56" t="s">
        <v>237</v>
      </c>
      <c r="L68" s="56" t="s">
        <v>237</v>
      </c>
      <c r="M68" s="56" t="s">
        <v>237</v>
      </c>
      <c r="N68" s="56" t="s">
        <v>237</v>
      </c>
      <c r="O68" s="56" t="s">
        <v>237</v>
      </c>
      <c r="P68" s="57" t="s">
        <v>237</v>
      </c>
      <c r="Q68" s="58" t="s">
        <v>237</v>
      </c>
    </row>
    <row r="69" spans="1:18" s="17" customFormat="1" ht="19.2" hidden="1" customHeight="1" outlineLevel="1" thickBot="1">
      <c r="A69" s="3"/>
      <c r="B69" s="3"/>
      <c r="C69" s="588"/>
      <c r="D69" s="60" t="s">
        <v>187</v>
      </c>
      <c r="E69" s="61" t="s">
        <v>237</v>
      </c>
      <c r="F69" s="61" t="s">
        <v>237</v>
      </c>
      <c r="G69" s="61" t="s">
        <v>237</v>
      </c>
      <c r="H69" s="61" t="s">
        <v>237</v>
      </c>
      <c r="I69" s="61" t="s">
        <v>237</v>
      </c>
      <c r="J69" s="61" t="s">
        <v>237</v>
      </c>
      <c r="K69" s="61" t="s">
        <v>237</v>
      </c>
      <c r="L69" s="61" t="s">
        <v>237</v>
      </c>
      <c r="M69" s="61" t="s">
        <v>237</v>
      </c>
      <c r="N69" s="61" t="s">
        <v>237</v>
      </c>
      <c r="O69" s="61" t="s">
        <v>237</v>
      </c>
      <c r="P69" s="62" t="s">
        <v>237</v>
      </c>
      <c r="Q69" s="63" t="s">
        <v>237</v>
      </c>
    </row>
    <row r="70" spans="1:18" collapsed="1">
      <c r="R70" s="17"/>
    </row>
    <row r="71" spans="1:18">
      <c r="R71" s="17"/>
    </row>
    <row r="72" spans="1:18">
      <c r="R72" s="17"/>
    </row>
    <row r="73" spans="1:18">
      <c r="R73" s="17"/>
    </row>
    <row r="74" spans="1:18">
      <c r="R74" s="17"/>
    </row>
    <row r="75" spans="1:18">
      <c r="R75" s="17"/>
    </row>
    <row r="76" spans="1:18">
      <c r="R76" s="17"/>
    </row>
    <row r="77" spans="1:18">
      <c r="R77" s="17"/>
    </row>
    <row r="78" spans="1:18">
      <c r="R78" s="17"/>
    </row>
    <row r="79" spans="1:18">
      <c r="R79" s="17"/>
    </row>
    <row r="80" spans="1:18">
      <c r="R80" s="17"/>
    </row>
    <row r="81" spans="18:18">
      <c r="R81" s="17"/>
    </row>
    <row r="82" spans="18:18">
      <c r="R82" s="17"/>
    </row>
    <row r="83" spans="18:18">
      <c r="R83" s="17"/>
    </row>
    <row r="84" spans="18:18">
      <c r="R84" s="17"/>
    </row>
  </sheetData>
  <mergeCells count="9">
    <mergeCell ref="C38:C45"/>
    <mergeCell ref="C46:C53"/>
    <mergeCell ref="C54:C61"/>
    <mergeCell ref="C62:C69"/>
    <mergeCell ref="C3:Q3"/>
    <mergeCell ref="C6:C13"/>
    <mergeCell ref="C14:C21"/>
    <mergeCell ref="C22:C29"/>
    <mergeCell ref="C30:C37"/>
  </mergeCells>
  <conditionalFormatting sqref="E6:Q29">
    <cfRule type="expression" dxfId="20" priority="2">
      <formula>ISERROR(E6)=TRUE</formula>
    </cfRule>
  </conditionalFormatting>
  <conditionalFormatting sqref="E30:Q37">
    <cfRule type="expression" dxfId="19" priority="5">
      <formula>ISERROR(E30)=TRUE</formula>
    </cfRule>
  </conditionalFormatting>
  <conditionalFormatting sqref="E38:Q53">
    <cfRule type="expression" dxfId="18" priority="4">
      <formula>ISERROR(E38)=TRUE</formula>
    </cfRule>
  </conditionalFormatting>
  <conditionalFormatting sqref="E54:Q61">
    <cfRule type="expression" dxfId="17" priority="3">
      <formula>ISERROR(E54)=TRUE</formula>
    </cfRule>
  </conditionalFormatting>
  <conditionalFormatting sqref="E62:Q69">
    <cfRule type="expression" dxfId="16" priority="1">
      <formula>ISERROR(E62)=TRUE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F06B7-B583-4E08-B55E-F05BE10FFF87}">
  <dimension ref="A1:N84"/>
  <sheetViews>
    <sheetView workbookViewId="0"/>
  </sheetViews>
  <sheetFormatPr defaultColWidth="9.296875" defaultRowHeight="14.4" outlineLevelRow="1"/>
  <cols>
    <col min="1" max="1" width="9.296875" style="3" customWidth="1"/>
    <col min="2" max="2" width="0.3984375" style="3" customWidth="1"/>
    <col min="3" max="3" width="16.69921875" style="4" customWidth="1"/>
    <col min="4" max="4" width="22.69921875" style="5" bestFit="1" customWidth="1"/>
    <col min="5" max="11" width="17.3984375" style="8" customWidth="1"/>
    <col min="12" max="16384" width="9.296875" style="3"/>
  </cols>
  <sheetData>
    <row r="1" spans="1:11">
      <c r="E1" s="6"/>
      <c r="F1" s="6"/>
      <c r="G1" s="6"/>
      <c r="H1" s="6"/>
      <c r="I1" s="6"/>
      <c r="J1" s="6"/>
      <c r="K1" s="6"/>
    </row>
    <row r="2" spans="1:11">
      <c r="D2" s="7"/>
    </row>
    <row r="3" spans="1:11" ht="15.6">
      <c r="C3" s="583" t="s">
        <v>411</v>
      </c>
      <c r="D3" s="583"/>
      <c r="E3" s="583"/>
      <c r="F3" s="583"/>
      <c r="G3" s="583"/>
      <c r="H3" s="583"/>
      <c r="I3" s="583"/>
      <c r="J3" s="583"/>
      <c r="K3" s="583"/>
    </row>
    <row r="4" spans="1:11" ht="15" thickBot="1">
      <c r="D4" s="7"/>
    </row>
    <row r="5" spans="1:11" ht="37.200000000000003" customHeight="1" thickBot="1">
      <c r="C5" s="166"/>
      <c r="D5" s="10" t="s">
        <v>49</v>
      </c>
      <c r="E5" s="39" t="str">
        <f>RR_SecGrp_Year!C4</f>
        <v>Financial institutions</v>
      </c>
      <c r="F5" s="40" t="str">
        <f>RR_SecGrp_Year!D4</f>
        <v>Non-financial institutions</v>
      </c>
      <c r="G5" s="73" t="str">
        <f>RR_SecGrp_Year!E4</f>
        <v>Banking</v>
      </c>
      <c r="H5" s="37" t="str">
        <f>RR_SecGrp_Year!F4</f>
        <v>Infrastructure</v>
      </c>
      <c r="I5" s="37" t="str">
        <f>RR_SecGrp_Year!G4</f>
        <v>Non-bank financials</v>
      </c>
      <c r="J5" s="37" t="str">
        <f>RR_SecGrp_Year!H4</f>
        <v>Renewables</v>
      </c>
      <c r="K5" s="37" t="str">
        <f>RR_SecGrp_Year!I4</f>
        <v>Services</v>
      </c>
    </row>
    <row r="6" spans="1:11" s="17" customFormat="1" ht="19.2" customHeight="1">
      <c r="A6" s="3"/>
      <c r="B6" s="3"/>
      <c r="C6" s="586" t="s">
        <v>76</v>
      </c>
      <c r="D6" s="359" t="s">
        <v>32</v>
      </c>
      <c r="E6" s="351">
        <v>0.69070557771627572</v>
      </c>
      <c r="F6" s="352">
        <v>0.70996534622803076</v>
      </c>
      <c r="G6" s="355">
        <v>0.73708709573900855</v>
      </c>
      <c r="H6" s="356">
        <v>0.75303418448007742</v>
      </c>
      <c r="I6" s="356" t="s">
        <v>237</v>
      </c>
      <c r="J6" s="356" t="s">
        <v>237</v>
      </c>
      <c r="K6" s="356">
        <v>0.71210084889560765</v>
      </c>
    </row>
    <row r="7" spans="1:11" s="17" customFormat="1" ht="19.2" customHeight="1">
      <c r="A7" s="3"/>
      <c r="B7" s="3"/>
      <c r="C7" s="587"/>
      <c r="D7" s="357" t="s">
        <v>17</v>
      </c>
      <c r="E7" s="347">
        <v>3.0447472717288399E-2</v>
      </c>
      <c r="F7" s="348">
        <v>0</v>
      </c>
      <c r="G7" s="349">
        <v>3.0447472717288399E-2</v>
      </c>
      <c r="H7" s="350">
        <v>2.985321776972915E-2</v>
      </c>
      <c r="I7" s="350" t="s">
        <v>237</v>
      </c>
      <c r="J7" s="350" t="s">
        <v>237</v>
      </c>
      <c r="K7" s="350">
        <v>0</v>
      </c>
    </row>
    <row r="8" spans="1:11" s="17" customFormat="1" ht="19.2" customHeight="1">
      <c r="A8" s="3"/>
      <c r="B8" s="3"/>
      <c r="C8" s="587"/>
      <c r="D8" s="55" t="s">
        <v>18</v>
      </c>
      <c r="E8" s="167">
        <v>0.30939327902457497</v>
      </c>
      <c r="F8" s="57">
        <v>0.1224623138384793</v>
      </c>
      <c r="G8" s="302">
        <v>0.43855903549807013</v>
      </c>
      <c r="H8" s="56">
        <v>0.49779637386569381</v>
      </c>
      <c r="I8" s="56" t="s">
        <v>237</v>
      </c>
      <c r="J8" s="56" t="s">
        <v>237</v>
      </c>
      <c r="K8" s="56">
        <v>2.481452793279806E-2</v>
      </c>
    </row>
    <row r="9" spans="1:11" s="17" customFormat="1" ht="19.2" customHeight="1">
      <c r="A9" s="3"/>
      <c r="B9" s="3"/>
      <c r="C9" s="587"/>
      <c r="D9" s="55" t="s">
        <v>19</v>
      </c>
      <c r="E9" s="167">
        <v>0.41627804036994098</v>
      </c>
      <c r="F9" s="57">
        <v>0.47799742508861742</v>
      </c>
      <c r="G9" s="302">
        <v>0.60303164974092716</v>
      </c>
      <c r="H9" s="56">
        <v>0.52156372217572333</v>
      </c>
      <c r="I9" s="56" t="s">
        <v>237</v>
      </c>
      <c r="J9" s="56" t="s">
        <v>237</v>
      </c>
      <c r="K9" s="56">
        <v>0.61977524930014638</v>
      </c>
    </row>
    <row r="10" spans="1:11" s="17" customFormat="1" ht="19.2" customHeight="1">
      <c r="A10" s="3"/>
      <c r="B10" s="3"/>
      <c r="C10" s="587"/>
      <c r="D10" s="55" t="s">
        <v>20</v>
      </c>
      <c r="E10" s="167">
        <v>0.83008253330376691</v>
      </c>
      <c r="F10" s="57">
        <v>0.90875032921446663</v>
      </c>
      <c r="G10" s="302">
        <v>0.87988448295750066</v>
      </c>
      <c r="H10" s="56">
        <v>0.89906114277797355</v>
      </c>
      <c r="I10" s="56" t="s">
        <v>237</v>
      </c>
      <c r="J10" s="56" t="s">
        <v>237</v>
      </c>
      <c r="K10" s="56">
        <v>0.92842663895285149</v>
      </c>
    </row>
    <row r="11" spans="1:11" s="17" customFormat="1" ht="19.2" customHeight="1">
      <c r="A11" s="3"/>
      <c r="B11" s="3"/>
      <c r="C11" s="587"/>
      <c r="D11" s="55" t="s">
        <v>21</v>
      </c>
      <c r="E11" s="167">
        <v>0.94210643933021965</v>
      </c>
      <c r="F11" s="57">
        <v>0.99377814161364708</v>
      </c>
      <c r="G11" s="302">
        <v>0.94210643933021965</v>
      </c>
      <c r="H11" s="56">
        <v>0.97846386941317698</v>
      </c>
      <c r="I11" s="56" t="s">
        <v>237</v>
      </c>
      <c r="J11" s="56" t="s">
        <v>237</v>
      </c>
      <c r="K11" s="56">
        <v>0.98650740372928558</v>
      </c>
    </row>
    <row r="12" spans="1:11" s="17" customFormat="1" ht="19.2" customHeight="1">
      <c r="A12" s="3"/>
      <c r="B12" s="3"/>
      <c r="C12" s="587"/>
      <c r="D12" s="59" t="s">
        <v>22</v>
      </c>
      <c r="E12" s="167">
        <v>0.99764727347533666</v>
      </c>
      <c r="F12" s="57">
        <v>1</v>
      </c>
      <c r="G12" s="302">
        <v>0.99322865101209135</v>
      </c>
      <c r="H12" s="56">
        <v>1</v>
      </c>
      <c r="I12" s="56" t="s">
        <v>237</v>
      </c>
      <c r="J12" s="56" t="s">
        <v>237</v>
      </c>
      <c r="K12" s="56">
        <v>0.99870189808111121</v>
      </c>
    </row>
    <row r="13" spans="1:11" s="17" customFormat="1" ht="19.2" customHeight="1" thickBot="1">
      <c r="A13" s="3"/>
      <c r="B13" s="3"/>
      <c r="C13" s="588"/>
      <c r="D13" s="60" t="s">
        <v>185</v>
      </c>
      <c r="E13" s="168">
        <v>1</v>
      </c>
      <c r="F13" s="62">
        <v>1</v>
      </c>
      <c r="G13" s="303">
        <v>1</v>
      </c>
      <c r="H13" s="61">
        <v>1</v>
      </c>
      <c r="I13" s="61" t="s">
        <v>237</v>
      </c>
      <c r="J13" s="61" t="s">
        <v>237</v>
      </c>
      <c r="K13" s="61">
        <v>1</v>
      </c>
    </row>
    <row r="14" spans="1:11" s="17" customFormat="1" ht="19.2" customHeight="1">
      <c r="A14" s="3"/>
      <c r="B14" s="3"/>
      <c r="C14" s="589" t="s">
        <v>77</v>
      </c>
      <c r="D14" s="363" t="s">
        <v>32</v>
      </c>
      <c r="E14" s="343">
        <v>0.76995304269317677</v>
      </c>
      <c r="F14" s="344">
        <v>0.70719679297822335</v>
      </c>
      <c r="G14" s="345">
        <v>0.78282952163734187</v>
      </c>
      <c r="H14" s="346">
        <v>0.6853677203226568</v>
      </c>
      <c r="I14" s="346">
        <v>0.71737408700450345</v>
      </c>
      <c r="J14" s="346">
        <v>0.63881464643081642</v>
      </c>
      <c r="K14" s="346">
        <v>0.79594098342990027</v>
      </c>
    </row>
    <row r="15" spans="1:11" s="17" customFormat="1" ht="19.2" customHeight="1">
      <c r="A15" s="3"/>
      <c r="B15" s="3"/>
      <c r="C15" s="590"/>
      <c r="D15" s="361" t="s">
        <v>17</v>
      </c>
      <c r="E15" s="339">
        <v>0</v>
      </c>
      <c r="F15" s="340">
        <v>0</v>
      </c>
      <c r="G15" s="341">
        <v>0</v>
      </c>
      <c r="H15" s="342">
        <v>0</v>
      </c>
      <c r="I15" s="342">
        <v>0</v>
      </c>
      <c r="J15" s="342">
        <v>0</v>
      </c>
      <c r="K15" s="342">
        <v>9.868825581963124E-2</v>
      </c>
    </row>
    <row r="16" spans="1:11" s="17" customFormat="1" ht="19.2" customHeight="1">
      <c r="A16" s="3"/>
      <c r="B16" s="3"/>
      <c r="C16" s="590"/>
      <c r="D16" s="64" t="s">
        <v>18</v>
      </c>
      <c r="E16" s="169">
        <v>0.25570169555769312</v>
      </c>
      <c r="F16" s="66">
        <v>0.14415055943389571</v>
      </c>
      <c r="G16" s="304">
        <v>0.2818341159237181</v>
      </c>
      <c r="H16" s="65">
        <v>0.17198456009020099</v>
      </c>
      <c r="I16" s="65">
        <v>0.26074010353940108</v>
      </c>
      <c r="J16" s="65">
        <v>5.1796988745591868E-2</v>
      </c>
      <c r="K16" s="65">
        <v>0.4878022957638749</v>
      </c>
    </row>
    <row r="17" spans="1:11" s="17" customFormat="1" ht="19.2" customHeight="1">
      <c r="A17" s="3"/>
      <c r="B17" s="3"/>
      <c r="C17" s="590"/>
      <c r="D17" s="64" t="s">
        <v>19</v>
      </c>
      <c r="E17" s="169">
        <v>0.67202806052512576</v>
      </c>
      <c r="F17" s="66">
        <v>0.4878022957638749</v>
      </c>
      <c r="G17" s="304">
        <v>0.6839671085786484</v>
      </c>
      <c r="H17" s="65">
        <v>0.4518051767010659</v>
      </c>
      <c r="I17" s="65">
        <v>0.45471885889678842</v>
      </c>
      <c r="J17" s="65">
        <v>0.38190773314589888</v>
      </c>
      <c r="K17" s="65">
        <v>0.63576628623990894</v>
      </c>
    </row>
    <row r="18" spans="1:11" s="17" customFormat="1" ht="19.2" customHeight="1">
      <c r="A18" s="3"/>
      <c r="B18" s="3"/>
      <c r="C18" s="590"/>
      <c r="D18" s="64" t="s">
        <v>20</v>
      </c>
      <c r="E18" s="169">
        <v>0.91287277472619965</v>
      </c>
      <c r="F18" s="66">
        <v>0.85447520732260462</v>
      </c>
      <c r="G18" s="304">
        <v>0.91488618353185391</v>
      </c>
      <c r="H18" s="65">
        <v>0.84382732057159737</v>
      </c>
      <c r="I18" s="65">
        <v>0.81453406497948233</v>
      </c>
      <c r="J18" s="65">
        <v>0.84018353672672508</v>
      </c>
      <c r="K18" s="65">
        <v>0.91816374075489571</v>
      </c>
    </row>
    <row r="19" spans="1:11" s="17" customFormat="1" ht="19.2" customHeight="1">
      <c r="A19" s="3"/>
      <c r="B19" s="3"/>
      <c r="C19" s="590"/>
      <c r="D19" s="64" t="s">
        <v>21</v>
      </c>
      <c r="E19" s="169">
        <v>0.98469252193401691</v>
      </c>
      <c r="F19" s="66">
        <v>0.98146659890845889</v>
      </c>
      <c r="G19" s="304">
        <v>0.98529223659358145</v>
      </c>
      <c r="H19" s="65">
        <v>0.95685257494391651</v>
      </c>
      <c r="I19" s="65">
        <v>0.9674766089364395</v>
      </c>
      <c r="J19" s="65">
        <v>0.89332390520101101</v>
      </c>
      <c r="K19" s="65">
        <v>0.99822109295292116</v>
      </c>
    </row>
    <row r="20" spans="1:11" s="17" customFormat="1" ht="19.2" customHeight="1">
      <c r="A20" s="3"/>
      <c r="B20" s="3"/>
      <c r="C20" s="590"/>
      <c r="D20" s="68" t="s">
        <v>22</v>
      </c>
      <c r="E20" s="169">
        <v>1</v>
      </c>
      <c r="F20" s="66">
        <v>1</v>
      </c>
      <c r="G20" s="304">
        <v>1</v>
      </c>
      <c r="H20" s="65">
        <v>1</v>
      </c>
      <c r="I20" s="65">
        <v>0.99805743085525955</v>
      </c>
      <c r="J20" s="65">
        <v>0.97526454144365504</v>
      </c>
      <c r="K20" s="65">
        <v>1</v>
      </c>
    </row>
    <row r="21" spans="1:11" s="17" customFormat="1" ht="19.2" customHeight="1" thickBot="1">
      <c r="A21" s="3"/>
      <c r="B21" s="3"/>
      <c r="C21" s="591"/>
      <c r="D21" s="69" t="s">
        <v>185</v>
      </c>
      <c r="E21" s="170">
        <v>1</v>
      </c>
      <c r="F21" s="71">
        <v>1</v>
      </c>
      <c r="G21" s="305">
        <v>1</v>
      </c>
      <c r="H21" s="70">
        <v>1</v>
      </c>
      <c r="I21" s="70">
        <v>1</v>
      </c>
      <c r="J21" s="70">
        <v>1</v>
      </c>
      <c r="K21" s="70">
        <v>1</v>
      </c>
    </row>
    <row r="22" spans="1:11" s="17" customFormat="1" ht="19.2" customHeight="1">
      <c r="A22" s="3"/>
      <c r="B22" s="3"/>
      <c r="C22" s="586" t="s">
        <v>78</v>
      </c>
      <c r="D22" s="359" t="s">
        <v>32</v>
      </c>
      <c r="E22" s="351">
        <v>0.55852673604270697</v>
      </c>
      <c r="F22" s="352">
        <v>0.7069724260261625</v>
      </c>
      <c r="G22" s="353">
        <v>0.53186134225667181</v>
      </c>
      <c r="H22" s="354">
        <v>0.70718869235329851</v>
      </c>
      <c r="I22" s="354">
        <v>0.58048647210179483</v>
      </c>
      <c r="J22" s="354">
        <v>0.62393943411640251</v>
      </c>
      <c r="K22" s="354">
        <v>0.55446511098779938</v>
      </c>
    </row>
    <row r="23" spans="1:11" s="17" customFormat="1" ht="19.2" customHeight="1">
      <c r="A23" s="3"/>
      <c r="B23" s="3"/>
      <c r="C23" s="587"/>
      <c r="D23" s="357" t="s">
        <v>17</v>
      </c>
      <c r="E23" s="347">
        <v>0</v>
      </c>
      <c r="F23" s="348">
        <v>0</v>
      </c>
      <c r="G23" s="349">
        <v>0</v>
      </c>
      <c r="H23" s="350">
        <v>0</v>
      </c>
      <c r="I23" s="350">
        <v>0</v>
      </c>
      <c r="J23" s="350">
        <v>0</v>
      </c>
      <c r="K23" s="350">
        <v>0</v>
      </c>
    </row>
    <row r="24" spans="1:11" s="17" customFormat="1" ht="19.2" customHeight="1">
      <c r="A24" s="3"/>
      <c r="B24" s="3"/>
      <c r="C24" s="587"/>
      <c r="D24" s="55" t="s">
        <v>18</v>
      </c>
      <c r="E24" s="167">
        <v>2.366696959653785E-3</v>
      </c>
      <c r="F24" s="57">
        <v>0.1344070544703613</v>
      </c>
      <c r="G24" s="302">
        <v>2.8776391494686152E-2</v>
      </c>
      <c r="H24" s="56">
        <v>0.1099733294693658</v>
      </c>
      <c r="I24" s="56">
        <v>0</v>
      </c>
      <c r="J24" s="56">
        <v>3.6038878000659642E-2</v>
      </c>
      <c r="K24" s="56">
        <v>0</v>
      </c>
    </row>
    <row r="25" spans="1:11" s="17" customFormat="1" ht="19.2" customHeight="1">
      <c r="A25" s="3"/>
      <c r="B25" s="3"/>
      <c r="C25" s="587"/>
      <c r="D25" s="55" t="s">
        <v>19</v>
      </c>
      <c r="E25" s="167">
        <v>0.13566409989433159</v>
      </c>
      <c r="F25" s="57">
        <v>0.44517407317769792</v>
      </c>
      <c r="G25" s="302">
        <v>0.12772629852683429</v>
      </c>
      <c r="H25" s="56">
        <v>0.465134297733585</v>
      </c>
      <c r="I25" s="56">
        <v>0.1405073009210257</v>
      </c>
      <c r="J25" s="56">
        <v>0.29798933328558869</v>
      </c>
      <c r="K25" s="56">
        <v>2.5019417283711091E-2</v>
      </c>
    </row>
    <row r="26" spans="1:11" s="17" customFormat="1" ht="19.2" customHeight="1">
      <c r="A26" s="3"/>
      <c r="B26" s="3"/>
      <c r="C26" s="587"/>
      <c r="D26" s="55" t="s">
        <v>20</v>
      </c>
      <c r="E26" s="167">
        <v>0.64484679268466449</v>
      </c>
      <c r="F26" s="57">
        <v>0.86988646469656861</v>
      </c>
      <c r="G26" s="302">
        <v>0.54402857402741411</v>
      </c>
      <c r="H26" s="56">
        <v>0.86336720629099384</v>
      </c>
      <c r="I26" s="56">
        <v>0.71830070101071364</v>
      </c>
      <c r="J26" s="56">
        <v>0.70905317009472613</v>
      </c>
      <c r="K26" s="56">
        <v>0.77960701272928545</v>
      </c>
    </row>
    <row r="27" spans="1:11" s="17" customFormat="1" ht="19.2" customHeight="1">
      <c r="A27" s="3"/>
      <c r="B27" s="3"/>
      <c r="C27" s="587"/>
      <c r="D27" s="55" t="s">
        <v>21</v>
      </c>
      <c r="E27" s="167">
        <v>0.9576951169908644</v>
      </c>
      <c r="F27" s="57">
        <v>1</v>
      </c>
      <c r="G27" s="302">
        <v>0.92293739607029768</v>
      </c>
      <c r="H27" s="56">
        <v>0.9999363371004053</v>
      </c>
      <c r="I27" s="56">
        <v>0.97450359811281639</v>
      </c>
      <c r="J27" s="56">
        <v>0.9728495612526934</v>
      </c>
      <c r="K27" s="56">
        <v>0.9945984196218316</v>
      </c>
    </row>
    <row r="28" spans="1:11" s="17" customFormat="1" ht="19.2" customHeight="1">
      <c r="A28" s="3"/>
      <c r="B28" s="3"/>
      <c r="C28" s="587"/>
      <c r="D28" s="59" t="s">
        <v>22</v>
      </c>
      <c r="E28" s="167">
        <v>1</v>
      </c>
      <c r="F28" s="57">
        <v>1</v>
      </c>
      <c r="G28" s="302">
        <v>0.99351006902123484</v>
      </c>
      <c r="H28" s="56">
        <v>1</v>
      </c>
      <c r="I28" s="56">
        <v>1</v>
      </c>
      <c r="J28" s="56">
        <v>1</v>
      </c>
      <c r="K28" s="56">
        <v>1</v>
      </c>
    </row>
    <row r="29" spans="1:11" s="17" customFormat="1" ht="19.2" customHeight="1" thickBot="1">
      <c r="A29" s="3"/>
      <c r="B29" s="3"/>
      <c r="C29" s="588"/>
      <c r="D29" s="60" t="s">
        <v>185</v>
      </c>
      <c r="E29" s="168">
        <v>1</v>
      </c>
      <c r="F29" s="62">
        <v>1</v>
      </c>
      <c r="G29" s="303">
        <v>1</v>
      </c>
      <c r="H29" s="61">
        <v>1</v>
      </c>
      <c r="I29" s="61">
        <v>1</v>
      </c>
      <c r="J29" s="61">
        <v>1</v>
      </c>
      <c r="K29" s="61">
        <v>1</v>
      </c>
    </row>
    <row r="30" spans="1:11" s="17" customFormat="1" ht="19.2" customHeight="1">
      <c r="A30" s="3"/>
      <c r="B30" s="3"/>
      <c r="C30" s="589" t="s">
        <v>79</v>
      </c>
      <c r="D30" s="363" t="s">
        <v>32</v>
      </c>
      <c r="E30" s="343">
        <v>0.70701870457900795</v>
      </c>
      <c r="F30" s="344">
        <v>0.72135214301294037</v>
      </c>
      <c r="G30" s="345">
        <v>0.63928896104616872</v>
      </c>
      <c r="H30" s="346">
        <v>0.65260917920000261</v>
      </c>
      <c r="I30" s="346">
        <v>0.8142574651726705</v>
      </c>
      <c r="J30" s="346" t="s">
        <v>237</v>
      </c>
      <c r="K30" s="346">
        <v>0.67221424695305498</v>
      </c>
    </row>
    <row r="31" spans="1:11" s="17" customFormat="1" ht="19.2" customHeight="1">
      <c r="A31" s="3"/>
      <c r="B31" s="3"/>
      <c r="C31" s="590"/>
      <c r="D31" s="361" t="s">
        <v>17</v>
      </c>
      <c r="E31" s="339">
        <v>0</v>
      </c>
      <c r="F31" s="340">
        <v>0</v>
      </c>
      <c r="G31" s="341">
        <v>0</v>
      </c>
      <c r="H31" s="342">
        <v>4.2453007319867363E-2</v>
      </c>
      <c r="I31" s="342">
        <v>0.15313317004891661</v>
      </c>
      <c r="J31" s="342" t="s">
        <v>237</v>
      </c>
      <c r="K31" s="342">
        <v>4.2453007319867363E-2</v>
      </c>
    </row>
    <row r="32" spans="1:11" s="17" customFormat="1" ht="19.2" customHeight="1">
      <c r="A32" s="3"/>
      <c r="B32" s="3"/>
      <c r="C32" s="590"/>
      <c r="D32" s="64" t="s">
        <v>18</v>
      </c>
      <c r="E32" s="169">
        <v>0.15313317004891661</v>
      </c>
      <c r="F32" s="66">
        <v>0.20459410254457649</v>
      </c>
      <c r="G32" s="304">
        <v>6.7524193745174266E-2</v>
      </c>
      <c r="H32" s="65">
        <v>0.17962299223070119</v>
      </c>
      <c r="I32" s="65">
        <v>0.30318965159185979</v>
      </c>
      <c r="J32" s="65" t="s">
        <v>237</v>
      </c>
      <c r="K32" s="65">
        <v>0.15313317004891661</v>
      </c>
    </row>
    <row r="33" spans="1:11" s="17" customFormat="1" ht="19.2" customHeight="1">
      <c r="A33" s="3"/>
      <c r="B33" s="3"/>
      <c r="C33" s="590"/>
      <c r="D33" s="64" t="s">
        <v>19</v>
      </c>
      <c r="E33" s="169">
        <v>0.3431987026609612</v>
      </c>
      <c r="F33" s="66">
        <v>0.48977323540044632</v>
      </c>
      <c r="G33" s="304">
        <v>0.25154072841803848</v>
      </c>
      <c r="H33" s="65">
        <v>0.44803920591161389</v>
      </c>
      <c r="I33" s="65">
        <v>0.75045143921970237</v>
      </c>
      <c r="J33" s="65" t="s">
        <v>237</v>
      </c>
      <c r="K33" s="65">
        <v>0.37730543414601447</v>
      </c>
    </row>
    <row r="34" spans="1:11" s="17" customFormat="1" ht="19.2" customHeight="1">
      <c r="A34" s="3"/>
      <c r="B34" s="3"/>
      <c r="C34" s="590"/>
      <c r="D34" s="64" t="s">
        <v>20</v>
      </c>
      <c r="E34" s="169">
        <v>0.95733393124220756</v>
      </c>
      <c r="F34" s="66">
        <v>0.91948433173601107</v>
      </c>
      <c r="G34" s="304">
        <v>0.84957360290052664</v>
      </c>
      <c r="H34" s="65">
        <v>0.64775187948226609</v>
      </c>
      <c r="I34" s="65">
        <v>0.9900848130354043</v>
      </c>
      <c r="J34" s="65" t="s">
        <v>237</v>
      </c>
      <c r="K34" s="65">
        <v>0.80531988729141979</v>
      </c>
    </row>
    <row r="35" spans="1:11" s="17" customFormat="1" ht="19.2" customHeight="1">
      <c r="A35" s="3"/>
      <c r="B35" s="3"/>
      <c r="C35" s="590"/>
      <c r="D35" s="64" t="s">
        <v>21</v>
      </c>
      <c r="E35" s="169">
        <v>0.99870638492365571</v>
      </c>
      <c r="F35" s="66">
        <v>1</v>
      </c>
      <c r="G35" s="304">
        <v>0.99967240446034933</v>
      </c>
      <c r="H35" s="65">
        <v>0.9996325694861985</v>
      </c>
      <c r="I35" s="65">
        <v>0.99803199262144693</v>
      </c>
      <c r="J35" s="65" t="s">
        <v>237</v>
      </c>
      <c r="K35" s="65">
        <v>0.99757933987583214</v>
      </c>
    </row>
    <row r="36" spans="1:11" s="17" customFormat="1" ht="19.2" customHeight="1">
      <c r="A36" s="3"/>
      <c r="B36" s="3"/>
      <c r="C36" s="590"/>
      <c r="D36" s="68" t="s">
        <v>22</v>
      </c>
      <c r="E36" s="169">
        <v>1</v>
      </c>
      <c r="F36" s="66">
        <v>1</v>
      </c>
      <c r="G36" s="304">
        <v>1</v>
      </c>
      <c r="H36" s="65">
        <v>1</v>
      </c>
      <c r="I36" s="65">
        <v>0.99974156022354521</v>
      </c>
      <c r="J36" s="65" t="s">
        <v>237</v>
      </c>
      <c r="K36" s="65">
        <v>1</v>
      </c>
    </row>
    <row r="37" spans="1:11" s="17" customFormat="1" ht="19.2" customHeight="1" thickBot="1">
      <c r="A37" s="3"/>
      <c r="B37" s="3"/>
      <c r="C37" s="591"/>
      <c r="D37" s="69" t="s">
        <v>185</v>
      </c>
      <c r="E37" s="170">
        <v>1</v>
      </c>
      <c r="F37" s="71">
        <v>1</v>
      </c>
      <c r="G37" s="305">
        <v>1</v>
      </c>
      <c r="H37" s="70">
        <v>1</v>
      </c>
      <c r="I37" s="70">
        <v>1</v>
      </c>
      <c r="J37" s="70" t="s">
        <v>237</v>
      </c>
      <c r="K37" s="70">
        <v>1</v>
      </c>
    </row>
    <row r="38" spans="1:11" s="17" customFormat="1" ht="19.2" hidden="1" customHeight="1" outlineLevel="1">
      <c r="A38" s="3"/>
      <c r="B38" s="3"/>
      <c r="C38" s="586" t="s">
        <v>103</v>
      </c>
      <c r="D38" s="178" t="s">
        <v>32</v>
      </c>
      <c r="E38" s="175" t="s">
        <v>237</v>
      </c>
      <c r="F38" s="179" t="s">
        <v>237</v>
      </c>
      <c r="G38" s="301" t="s">
        <v>237</v>
      </c>
      <c r="H38" s="54" t="s">
        <v>237</v>
      </c>
      <c r="I38" s="54" t="s">
        <v>237</v>
      </c>
      <c r="J38" s="54" t="s">
        <v>237</v>
      </c>
      <c r="K38" s="54" t="s">
        <v>237</v>
      </c>
    </row>
    <row r="39" spans="1:11" s="17" customFormat="1" ht="19.2" hidden="1" customHeight="1" outlineLevel="1">
      <c r="A39" s="3"/>
      <c r="B39" s="3"/>
      <c r="C39" s="587"/>
      <c r="D39" s="55" t="s">
        <v>186</v>
      </c>
      <c r="E39" s="167" t="s">
        <v>237</v>
      </c>
      <c r="F39" s="57" t="s">
        <v>237</v>
      </c>
      <c r="G39" s="302" t="s">
        <v>237</v>
      </c>
      <c r="H39" s="56" t="s">
        <v>237</v>
      </c>
      <c r="I39" s="56" t="s">
        <v>237</v>
      </c>
      <c r="J39" s="56" t="s">
        <v>237</v>
      </c>
      <c r="K39" s="56" t="s">
        <v>237</v>
      </c>
    </row>
    <row r="40" spans="1:11" s="17" customFormat="1" ht="19.2" hidden="1" customHeight="1" outlineLevel="1">
      <c r="A40" s="3"/>
      <c r="B40" s="3"/>
      <c r="C40" s="587"/>
      <c r="D40" s="55" t="s">
        <v>18</v>
      </c>
      <c r="E40" s="167" t="s">
        <v>237</v>
      </c>
      <c r="F40" s="57" t="s">
        <v>237</v>
      </c>
      <c r="G40" s="302" t="s">
        <v>237</v>
      </c>
      <c r="H40" s="56" t="s">
        <v>237</v>
      </c>
      <c r="I40" s="56" t="s">
        <v>237</v>
      </c>
      <c r="J40" s="56" t="s">
        <v>237</v>
      </c>
      <c r="K40" s="56" t="s">
        <v>237</v>
      </c>
    </row>
    <row r="41" spans="1:11" s="17" customFormat="1" ht="19.2" hidden="1" customHeight="1" outlineLevel="1">
      <c r="A41" s="3"/>
      <c r="B41" s="3"/>
      <c r="C41" s="587"/>
      <c r="D41" s="55" t="s">
        <v>19</v>
      </c>
      <c r="E41" s="167" t="s">
        <v>237</v>
      </c>
      <c r="F41" s="57" t="s">
        <v>237</v>
      </c>
      <c r="G41" s="302" t="s">
        <v>237</v>
      </c>
      <c r="H41" s="56" t="s">
        <v>237</v>
      </c>
      <c r="I41" s="56" t="s">
        <v>237</v>
      </c>
      <c r="J41" s="56" t="s">
        <v>237</v>
      </c>
      <c r="K41" s="56" t="s">
        <v>237</v>
      </c>
    </row>
    <row r="42" spans="1:11" s="17" customFormat="1" ht="19.2" hidden="1" customHeight="1" outlineLevel="1">
      <c r="A42" s="3"/>
      <c r="B42" s="3"/>
      <c r="C42" s="587"/>
      <c r="D42" s="55" t="s">
        <v>20</v>
      </c>
      <c r="E42" s="167" t="s">
        <v>237</v>
      </c>
      <c r="F42" s="57" t="s">
        <v>237</v>
      </c>
      <c r="G42" s="302" t="s">
        <v>237</v>
      </c>
      <c r="H42" s="56" t="s">
        <v>237</v>
      </c>
      <c r="I42" s="56" t="s">
        <v>237</v>
      </c>
      <c r="J42" s="56" t="s">
        <v>237</v>
      </c>
      <c r="K42" s="56" t="s">
        <v>237</v>
      </c>
    </row>
    <row r="43" spans="1:11" s="17" customFormat="1" ht="19.2" hidden="1" customHeight="1" outlineLevel="1">
      <c r="A43" s="3"/>
      <c r="B43" s="3"/>
      <c r="C43" s="587"/>
      <c r="D43" s="55" t="s">
        <v>21</v>
      </c>
      <c r="E43" s="167" t="s">
        <v>237</v>
      </c>
      <c r="F43" s="57" t="s">
        <v>237</v>
      </c>
      <c r="G43" s="302" t="s">
        <v>237</v>
      </c>
      <c r="H43" s="56" t="s">
        <v>237</v>
      </c>
      <c r="I43" s="56" t="s">
        <v>237</v>
      </c>
      <c r="J43" s="56" t="s">
        <v>237</v>
      </c>
      <c r="K43" s="56" t="s">
        <v>237</v>
      </c>
    </row>
    <row r="44" spans="1:11" s="17" customFormat="1" ht="19.2" hidden="1" customHeight="1" outlineLevel="1">
      <c r="A44" s="3"/>
      <c r="B44" s="3"/>
      <c r="C44" s="587"/>
      <c r="D44" s="59" t="s">
        <v>22</v>
      </c>
      <c r="E44" s="167" t="s">
        <v>237</v>
      </c>
      <c r="F44" s="57" t="s">
        <v>237</v>
      </c>
      <c r="G44" s="302" t="s">
        <v>237</v>
      </c>
      <c r="H44" s="56" t="s">
        <v>237</v>
      </c>
      <c r="I44" s="56" t="s">
        <v>237</v>
      </c>
      <c r="J44" s="56" t="s">
        <v>237</v>
      </c>
      <c r="K44" s="56" t="s">
        <v>237</v>
      </c>
    </row>
    <row r="45" spans="1:11" s="17" customFormat="1" ht="19.2" hidden="1" customHeight="1" outlineLevel="1" thickBot="1">
      <c r="A45" s="3"/>
      <c r="B45" s="3"/>
      <c r="C45" s="588"/>
      <c r="D45" s="60" t="s">
        <v>187</v>
      </c>
      <c r="E45" s="168" t="s">
        <v>237</v>
      </c>
      <c r="F45" s="62" t="s">
        <v>237</v>
      </c>
      <c r="G45" s="303" t="s">
        <v>237</v>
      </c>
      <c r="H45" s="61" t="s">
        <v>237</v>
      </c>
      <c r="I45" s="61" t="s">
        <v>237</v>
      </c>
      <c r="J45" s="61" t="s">
        <v>237</v>
      </c>
      <c r="K45" s="61" t="s">
        <v>237</v>
      </c>
    </row>
    <row r="46" spans="1:11" s="17" customFormat="1" ht="19.2" customHeight="1" collapsed="1">
      <c r="A46" s="3"/>
      <c r="B46" s="3"/>
      <c r="C46" s="586" t="s">
        <v>80</v>
      </c>
      <c r="D46" s="359" t="s">
        <v>32</v>
      </c>
      <c r="E46" s="351">
        <v>0.83340908404308933</v>
      </c>
      <c r="F46" s="352">
        <v>0.67423850214275571</v>
      </c>
      <c r="G46" s="353">
        <v>0.8156264494077754</v>
      </c>
      <c r="H46" s="354">
        <v>0.64322322504751417</v>
      </c>
      <c r="I46" s="354">
        <v>0.86389360056077036</v>
      </c>
      <c r="J46" s="354">
        <v>0.72670381183983712</v>
      </c>
      <c r="K46" s="354">
        <v>0.69378089779860086</v>
      </c>
    </row>
    <row r="47" spans="1:11" s="17" customFormat="1" ht="19.2" customHeight="1">
      <c r="A47" s="3"/>
      <c r="B47" s="3"/>
      <c r="C47" s="587"/>
      <c r="D47" s="357" t="s">
        <v>17</v>
      </c>
      <c r="E47" s="347">
        <v>0</v>
      </c>
      <c r="F47" s="348">
        <v>0</v>
      </c>
      <c r="G47" s="349">
        <v>0</v>
      </c>
      <c r="H47" s="350">
        <v>0</v>
      </c>
      <c r="I47" s="350">
        <v>3.5443814921964821E-2</v>
      </c>
      <c r="J47" s="350">
        <v>0</v>
      </c>
      <c r="K47" s="350">
        <v>2.133035643763985E-2</v>
      </c>
    </row>
    <row r="48" spans="1:11" s="17" customFormat="1" ht="19.2" customHeight="1">
      <c r="A48" s="3"/>
      <c r="B48" s="3"/>
      <c r="C48" s="587"/>
      <c r="D48" s="55" t="s">
        <v>18</v>
      </c>
      <c r="E48" s="167">
        <v>0.31234704062258162</v>
      </c>
      <c r="F48" s="57">
        <v>2.1387682048373401E-2</v>
      </c>
      <c r="G48" s="302">
        <v>0.2112620059565205</v>
      </c>
      <c r="H48" s="56">
        <v>1.9585259947522669E-2</v>
      </c>
      <c r="I48" s="56">
        <v>0.53837253413554853</v>
      </c>
      <c r="J48" s="56">
        <v>0.50615231913912428</v>
      </c>
      <c r="K48" s="56">
        <v>3.7639764106684993E-2</v>
      </c>
    </row>
    <row r="49" spans="1:14" s="17" customFormat="1" ht="19.2" customHeight="1">
      <c r="A49" s="3"/>
      <c r="B49" s="3"/>
      <c r="C49" s="587"/>
      <c r="D49" s="55" t="s">
        <v>19</v>
      </c>
      <c r="E49" s="167">
        <v>0.92672544943315049</v>
      </c>
      <c r="F49" s="57">
        <v>0.3357507140987554</v>
      </c>
      <c r="G49" s="302">
        <v>0.93134830637963117</v>
      </c>
      <c r="H49" s="56">
        <v>0.45100831776008998</v>
      </c>
      <c r="I49" s="56">
        <v>0.92816694324489801</v>
      </c>
      <c r="J49" s="56">
        <v>0.6893363839707175</v>
      </c>
      <c r="K49" s="56">
        <v>0.39507100794833427</v>
      </c>
    </row>
    <row r="50" spans="1:14" s="17" customFormat="1" ht="19.2" customHeight="1">
      <c r="A50" s="3"/>
      <c r="B50" s="3"/>
      <c r="C50" s="587"/>
      <c r="D50" s="55" t="s">
        <v>20</v>
      </c>
      <c r="E50" s="167">
        <v>0.98576781819104264</v>
      </c>
      <c r="F50" s="57">
        <v>0.84316300567169544</v>
      </c>
      <c r="G50" s="302">
        <v>0.98516216297209247</v>
      </c>
      <c r="H50" s="56">
        <v>0.79231164352515493</v>
      </c>
      <c r="I50" s="56">
        <v>0.98708922787588826</v>
      </c>
      <c r="J50" s="56">
        <v>0.79231164352515493</v>
      </c>
      <c r="K50" s="56">
        <v>0.92229184131236219</v>
      </c>
    </row>
    <row r="51" spans="1:14" s="17" customFormat="1" ht="19.2" customHeight="1">
      <c r="A51" s="3"/>
      <c r="B51" s="3"/>
      <c r="C51" s="587"/>
      <c r="D51" s="55" t="s">
        <v>21</v>
      </c>
      <c r="E51" s="167">
        <v>0.9997522306164226</v>
      </c>
      <c r="F51" s="57">
        <v>1</v>
      </c>
      <c r="G51" s="302">
        <v>0.99526024459345763</v>
      </c>
      <c r="H51" s="56">
        <v>0.92764856217800529</v>
      </c>
      <c r="I51" s="56">
        <v>1</v>
      </c>
      <c r="J51" s="56">
        <v>0.86910651004678963</v>
      </c>
      <c r="K51" s="56">
        <v>0.98025313833285499</v>
      </c>
    </row>
    <row r="52" spans="1:14" s="17" customFormat="1" ht="19.2" customHeight="1">
      <c r="A52" s="3"/>
      <c r="B52" s="3"/>
      <c r="C52" s="587"/>
      <c r="D52" s="59" t="s">
        <v>22</v>
      </c>
      <c r="E52" s="167">
        <v>1</v>
      </c>
      <c r="F52" s="57">
        <v>1</v>
      </c>
      <c r="G52" s="302">
        <v>1</v>
      </c>
      <c r="H52" s="56">
        <v>0.99859538354512101</v>
      </c>
      <c r="I52" s="56">
        <v>1</v>
      </c>
      <c r="J52" s="56">
        <v>0.98378754198862428</v>
      </c>
      <c r="K52" s="56">
        <v>1</v>
      </c>
    </row>
    <row r="53" spans="1:14" s="17" customFormat="1" ht="19.2" customHeight="1" thickBot="1">
      <c r="A53" s="3"/>
      <c r="B53" s="3"/>
      <c r="C53" s="588"/>
      <c r="D53" s="60" t="s">
        <v>185</v>
      </c>
      <c r="E53" s="168">
        <v>1</v>
      </c>
      <c r="F53" s="62">
        <v>1</v>
      </c>
      <c r="G53" s="303">
        <v>1</v>
      </c>
      <c r="H53" s="61">
        <v>1</v>
      </c>
      <c r="I53" s="61">
        <v>1</v>
      </c>
      <c r="J53" s="61">
        <v>1</v>
      </c>
      <c r="K53" s="61">
        <v>1</v>
      </c>
    </row>
    <row r="54" spans="1:14" s="17" customFormat="1" ht="19.2" customHeight="1">
      <c r="A54" s="3"/>
      <c r="B54" s="3"/>
      <c r="C54" s="589" t="s">
        <v>81</v>
      </c>
      <c r="D54" s="363" t="s">
        <v>32</v>
      </c>
      <c r="E54" s="343">
        <v>0.90664849187114027</v>
      </c>
      <c r="F54" s="344">
        <v>0.72729895860980298</v>
      </c>
      <c r="G54" s="345">
        <v>0.92759854562558475</v>
      </c>
      <c r="H54" s="346">
        <v>0.80937434463731373</v>
      </c>
      <c r="I54" s="346">
        <v>0.72857303495836334</v>
      </c>
      <c r="J54" s="346">
        <v>0.84517293325449028</v>
      </c>
      <c r="K54" s="346">
        <v>0.74016770260959208</v>
      </c>
    </row>
    <row r="55" spans="1:14" s="17" customFormat="1" ht="19.2" customHeight="1">
      <c r="A55" s="3"/>
      <c r="B55" s="3"/>
      <c r="C55" s="590"/>
      <c r="D55" s="361" t="s">
        <v>17</v>
      </c>
      <c r="E55" s="339">
        <v>0</v>
      </c>
      <c r="F55" s="340">
        <v>0</v>
      </c>
      <c r="G55" s="341">
        <v>0</v>
      </c>
      <c r="H55" s="342">
        <v>0</v>
      </c>
      <c r="I55" s="342">
        <v>0</v>
      </c>
      <c r="J55" s="342">
        <v>0</v>
      </c>
      <c r="K55" s="342">
        <v>0</v>
      </c>
    </row>
    <row r="56" spans="1:14" s="17" customFormat="1" ht="19.2" customHeight="1">
      <c r="A56" s="3"/>
      <c r="B56" s="3"/>
      <c r="C56" s="590"/>
      <c r="D56" s="64" t="s">
        <v>18</v>
      </c>
      <c r="E56" s="169">
        <v>0.72956983691354382</v>
      </c>
      <c r="F56" s="66">
        <v>6.5091427824798681E-2</v>
      </c>
      <c r="G56" s="304">
        <v>0.88510042558154478</v>
      </c>
      <c r="H56" s="65">
        <v>0.2780658488563586</v>
      </c>
      <c r="I56" s="65">
        <v>0</v>
      </c>
      <c r="J56" s="65">
        <v>0.51181505468038724</v>
      </c>
      <c r="K56" s="65">
        <v>3.31344771985988E-2</v>
      </c>
    </row>
    <row r="57" spans="1:14" s="17" customFormat="1" ht="19.2" customHeight="1">
      <c r="A57" s="3"/>
      <c r="B57" s="3"/>
      <c r="C57" s="590"/>
      <c r="D57" s="64" t="s">
        <v>19</v>
      </c>
      <c r="E57" s="169">
        <v>0.96825811440111731</v>
      </c>
      <c r="F57" s="66">
        <v>0.49304194955767888</v>
      </c>
      <c r="G57" s="304">
        <v>0.97521707444436123</v>
      </c>
      <c r="H57" s="65">
        <v>0.78070580168218418</v>
      </c>
      <c r="I57" s="65">
        <v>0.5223355764259715</v>
      </c>
      <c r="J57" s="65">
        <v>0.78070580168218418</v>
      </c>
      <c r="K57" s="65">
        <v>0.56731774738073448</v>
      </c>
    </row>
    <row r="58" spans="1:14" s="17" customFormat="1" ht="19.2" customHeight="1">
      <c r="A58" s="3"/>
      <c r="B58" s="3"/>
      <c r="C58" s="590"/>
      <c r="D58" s="64" t="s">
        <v>20</v>
      </c>
      <c r="E58" s="169">
        <v>0.99476582706326633</v>
      </c>
      <c r="F58" s="66">
        <v>0.93751939962694231</v>
      </c>
      <c r="G58" s="304">
        <v>0.99512463025269149</v>
      </c>
      <c r="H58" s="65">
        <v>0.98696323967041988</v>
      </c>
      <c r="I58" s="65">
        <v>0.96908098563456346</v>
      </c>
      <c r="J58" s="65">
        <v>0.99696247734691024</v>
      </c>
      <c r="K58" s="65">
        <v>0.95944233377713728</v>
      </c>
    </row>
    <row r="59" spans="1:14" s="17" customFormat="1" ht="19.2" customHeight="1">
      <c r="A59" s="3"/>
      <c r="B59" s="3"/>
      <c r="C59" s="590"/>
      <c r="D59" s="64" t="s">
        <v>21</v>
      </c>
      <c r="E59" s="169">
        <v>0.99999819975633508</v>
      </c>
      <c r="F59" s="66">
        <v>0.99973052917806515</v>
      </c>
      <c r="G59" s="304">
        <v>1</v>
      </c>
      <c r="H59" s="65">
        <v>1</v>
      </c>
      <c r="I59" s="65">
        <v>0.99590834446747545</v>
      </c>
      <c r="J59" s="65">
        <v>1</v>
      </c>
      <c r="K59" s="65">
        <v>0.99937473651940989</v>
      </c>
    </row>
    <row r="60" spans="1:14" s="17" customFormat="1" ht="19.2" customHeight="1">
      <c r="A60" s="3"/>
      <c r="B60" s="3"/>
      <c r="C60" s="590"/>
      <c r="D60" s="68" t="s">
        <v>22</v>
      </c>
      <c r="E60" s="169">
        <v>1</v>
      </c>
      <c r="F60" s="66">
        <v>1</v>
      </c>
      <c r="G60" s="304">
        <v>1</v>
      </c>
      <c r="H60" s="65">
        <v>1</v>
      </c>
      <c r="I60" s="65">
        <v>0.99999802285498851</v>
      </c>
      <c r="J60" s="65">
        <v>1</v>
      </c>
      <c r="K60" s="65">
        <v>1</v>
      </c>
    </row>
    <row r="61" spans="1:14" s="17" customFormat="1" ht="19.2" customHeight="1" thickBot="1">
      <c r="A61" s="3"/>
      <c r="B61" s="3"/>
      <c r="C61" s="591"/>
      <c r="D61" s="69" t="s">
        <v>185</v>
      </c>
      <c r="E61" s="170">
        <v>1</v>
      </c>
      <c r="F61" s="71">
        <v>1</v>
      </c>
      <c r="G61" s="305">
        <v>1</v>
      </c>
      <c r="H61" s="70">
        <v>1</v>
      </c>
      <c r="I61" s="70">
        <v>1</v>
      </c>
      <c r="J61" s="70">
        <v>1</v>
      </c>
      <c r="K61" s="70">
        <v>1</v>
      </c>
    </row>
    <row r="62" spans="1:14" s="17" customFormat="1" ht="19.2" hidden="1" customHeight="1" outlineLevel="1">
      <c r="A62" s="3"/>
      <c r="B62" s="3"/>
      <c r="C62" s="586" t="s">
        <v>104</v>
      </c>
      <c r="D62" s="174" t="s">
        <v>32</v>
      </c>
      <c r="E62" s="175" t="s">
        <v>237</v>
      </c>
      <c r="F62" s="179" t="s">
        <v>237</v>
      </c>
      <c r="G62" s="301" t="s">
        <v>237</v>
      </c>
      <c r="H62" s="54" t="s">
        <v>237</v>
      </c>
      <c r="I62" s="54" t="s">
        <v>237</v>
      </c>
      <c r="J62" s="54" t="s">
        <v>237</v>
      </c>
      <c r="K62" s="54" t="s">
        <v>237</v>
      </c>
      <c r="N62" s="17" t="s">
        <v>82</v>
      </c>
    </row>
    <row r="63" spans="1:14" s="17" customFormat="1" ht="19.2" hidden="1" customHeight="1" outlineLevel="1">
      <c r="A63" s="3"/>
      <c r="B63" s="3"/>
      <c r="C63" s="587"/>
      <c r="D63" s="171" t="s">
        <v>186</v>
      </c>
      <c r="E63" s="167" t="s">
        <v>237</v>
      </c>
      <c r="F63" s="57" t="s">
        <v>237</v>
      </c>
      <c r="G63" s="302" t="s">
        <v>237</v>
      </c>
      <c r="H63" s="56" t="s">
        <v>237</v>
      </c>
      <c r="I63" s="56" t="s">
        <v>237</v>
      </c>
      <c r="J63" s="56" t="s">
        <v>237</v>
      </c>
      <c r="K63" s="56" t="s">
        <v>237</v>
      </c>
    </row>
    <row r="64" spans="1:14" s="17" customFormat="1" ht="19.2" hidden="1" customHeight="1" outlineLevel="1">
      <c r="A64" s="3"/>
      <c r="B64" s="3"/>
      <c r="C64" s="587"/>
      <c r="D64" s="171" t="s">
        <v>18</v>
      </c>
      <c r="E64" s="167" t="s">
        <v>237</v>
      </c>
      <c r="F64" s="57" t="s">
        <v>237</v>
      </c>
      <c r="G64" s="302" t="s">
        <v>237</v>
      </c>
      <c r="H64" s="56" t="s">
        <v>237</v>
      </c>
      <c r="I64" s="56" t="s">
        <v>237</v>
      </c>
      <c r="J64" s="56" t="s">
        <v>237</v>
      </c>
      <c r="K64" s="56" t="s">
        <v>237</v>
      </c>
    </row>
    <row r="65" spans="1:12" s="17" customFormat="1" ht="19.2" hidden="1" customHeight="1" outlineLevel="1">
      <c r="A65" s="3"/>
      <c r="B65" s="3"/>
      <c r="C65" s="587"/>
      <c r="D65" s="171" t="s">
        <v>19</v>
      </c>
      <c r="E65" s="167" t="s">
        <v>237</v>
      </c>
      <c r="F65" s="57" t="s">
        <v>237</v>
      </c>
      <c r="G65" s="302" t="s">
        <v>237</v>
      </c>
      <c r="H65" s="56" t="s">
        <v>237</v>
      </c>
      <c r="I65" s="56" t="s">
        <v>237</v>
      </c>
      <c r="J65" s="56" t="s">
        <v>237</v>
      </c>
      <c r="K65" s="56" t="s">
        <v>237</v>
      </c>
    </row>
    <row r="66" spans="1:12" s="17" customFormat="1" ht="19.2" hidden="1" customHeight="1" outlineLevel="1">
      <c r="A66" s="3"/>
      <c r="B66" s="3"/>
      <c r="C66" s="587"/>
      <c r="D66" s="171" t="s">
        <v>20</v>
      </c>
      <c r="E66" s="167" t="s">
        <v>237</v>
      </c>
      <c r="F66" s="57" t="s">
        <v>237</v>
      </c>
      <c r="G66" s="302" t="s">
        <v>237</v>
      </c>
      <c r="H66" s="56" t="s">
        <v>237</v>
      </c>
      <c r="I66" s="56" t="s">
        <v>237</v>
      </c>
      <c r="J66" s="56" t="s">
        <v>237</v>
      </c>
      <c r="K66" s="56" t="s">
        <v>237</v>
      </c>
    </row>
    <row r="67" spans="1:12" s="17" customFormat="1" ht="19.2" hidden="1" customHeight="1" outlineLevel="1">
      <c r="A67" s="3"/>
      <c r="B67" s="3"/>
      <c r="C67" s="587"/>
      <c r="D67" s="171" t="s">
        <v>21</v>
      </c>
      <c r="E67" s="167" t="s">
        <v>237</v>
      </c>
      <c r="F67" s="57" t="s">
        <v>237</v>
      </c>
      <c r="G67" s="302" t="s">
        <v>237</v>
      </c>
      <c r="H67" s="56" t="s">
        <v>237</v>
      </c>
      <c r="I67" s="56" t="s">
        <v>237</v>
      </c>
      <c r="J67" s="56" t="s">
        <v>237</v>
      </c>
      <c r="K67" s="56" t="s">
        <v>237</v>
      </c>
    </row>
    <row r="68" spans="1:12" s="17" customFormat="1" ht="19.2" hidden="1" customHeight="1" outlineLevel="1">
      <c r="A68" s="3"/>
      <c r="B68" s="3"/>
      <c r="C68" s="587"/>
      <c r="D68" s="172" t="s">
        <v>22</v>
      </c>
      <c r="E68" s="167" t="s">
        <v>237</v>
      </c>
      <c r="F68" s="57" t="s">
        <v>237</v>
      </c>
      <c r="G68" s="302" t="s">
        <v>237</v>
      </c>
      <c r="H68" s="56" t="s">
        <v>237</v>
      </c>
      <c r="I68" s="56" t="s">
        <v>237</v>
      </c>
      <c r="J68" s="56" t="s">
        <v>237</v>
      </c>
      <c r="K68" s="56" t="s">
        <v>237</v>
      </c>
    </row>
    <row r="69" spans="1:12" s="17" customFormat="1" ht="19.2" hidden="1" customHeight="1" outlineLevel="1" thickBot="1">
      <c r="A69" s="3"/>
      <c r="B69" s="3"/>
      <c r="C69" s="588"/>
      <c r="D69" s="173" t="s">
        <v>187</v>
      </c>
      <c r="E69" s="168" t="s">
        <v>237</v>
      </c>
      <c r="F69" s="62" t="s">
        <v>237</v>
      </c>
      <c r="G69" s="303" t="s">
        <v>237</v>
      </c>
      <c r="H69" s="61" t="s">
        <v>237</v>
      </c>
      <c r="I69" s="61" t="s">
        <v>237</v>
      </c>
      <c r="J69" s="61" t="s">
        <v>237</v>
      </c>
      <c r="K69" s="61" t="s">
        <v>237</v>
      </c>
    </row>
    <row r="70" spans="1:12" collapsed="1">
      <c r="L70" s="17"/>
    </row>
    <row r="71" spans="1:12">
      <c r="L71" s="17"/>
    </row>
    <row r="72" spans="1:12">
      <c r="L72" s="17"/>
    </row>
    <row r="73" spans="1:12">
      <c r="L73" s="17"/>
    </row>
    <row r="74" spans="1:12">
      <c r="L74" s="17"/>
    </row>
    <row r="75" spans="1:12">
      <c r="L75" s="17"/>
    </row>
    <row r="76" spans="1:12">
      <c r="L76" s="17"/>
    </row>
    <row r="77" spans="1:12">
      <c r="L77" s="17"/>
    </row>
    <row r="78" spans="1:12">
      <c r="L78" s="17"/>
    </row>
    <row r="79" spans="1:12">
      <c r="L79" s="17"/>
    </row>
    <row r="80" spans="1:12">
      <c r="L80" s="17"/>
    </row>
    <row r="81" spans="12:12">
      <c r="L81" s="17"/>
    </row>
    <row r="82" spans="12:12">
      <c r="L82" s="17"/>
    </row>
    <row r="83" spans="12:12">
      <c r="L83" s="17"/>
    </row>
    <row r="84" spans="12:12">
      <c r="L84" s="17"/>
    </row>
  </sheetData>
  <mergeCells count="9">
    <mergeCell ref="C46:C53"/>
    <mergeCell ref="C54:C61"/>
    <mergeCell ref="C62:C69"/>
    <mergeCell ref="C3:K3"/>
    <mergeCell ref="C6:C13"/>
    <mergeCell ref="C14:C21"/>
    <mergeCell ref="C22:C29"/>
    <mergeCell ref="C30:C37"/>
    <mergeCell ref="C38:C45"/>
  </mergeCells>
  <conditionalFormatting sqref="E6:K29">
    <cfRule type="expression" dxfId="15" priority="2">
      <formula>ISERROR(E6)=TRUE</formula>
    </cfRule>
  </conditionalFormatting>
  <conditionalFormatting sqref="E30:K37">
    <cfRule type="expression" dxfId="14" priority="5">
      <formula>ISERROR(E30)=TRUE</formula>
    </cfRule>
  </conditionalFormatting>
  <conditionalFormatting sqref="E38:K53">
    <cfRule type="expression" dxfId="13" priority="4">
      <formula>ISERROR(E38)=TRUE</formula>
    </cfRule>
  </conditionalFormatting>
  <conditionalFormatting sqref="E54:K61">
    <cfRule type="expression" dxfId="12" priority="3">
      <formula>ISERROR(E54)=TRUE</formula>
    </cfRule>
  </conditionalFormatting>
  <conditionalFormatting sqref="E62:K69">
    <cfRule type="expression" dxfId="11" priority="1">
      <formula>ISERROR(E62)=TRUE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8648-B659-4DA3-ABAF-FFD26C03C23F}">
  <dimension ref="B5:R247"/>
  <sheetViews>
    <sheetView workbookViewId="0">
      <selection activeCell="A2" sqref="A2"/>
    </sheetView>
  </sheetViews>
  <sheetFormatPr defaultColWidth="9.296875" defaultRowHeight="14.4" outlineLevelRow="1"/>
  <cols>
    <col min="1" max="1" width="3.296875" style="3" customWidth="1"/>
    <col min="2" max="2" width="28.296875" style="3" customWidth="1"/>
    <col min="3" max="12" width="13" style="3" customWidth="1"/>
    <col min="13" max="15" width="5.69921875" style="3" customWidth="1"/>
    <col min="16" max="16" width="22.59765625" style="3" bestFit="1" customWidth="1"/>
    <col min="17" max="18" width="13.59765625" style="3" customWidth="1"/>
    <col min="19" max="16384" width="9.296875" style="3"/>
  </cols>
  <sheetData>
    <row r="5" spans="2:18" ht="15.6">
      <c r="B5" s="583" t="s">
        <v>412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8" s="43" customFormat="1" ht="51" customHeight="1">
      <c r="B7" s="414" t="s">
        <v>125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  <c r="Q7" s="3"/>
      <c r="R7" s="3"/>
    </row>
    <row r="8" spans="2:18">
      <c r="B8" s="376" t="s">
        <v>432</v>
      </c>
      <c r="C8" s="76">
        <v>15</v>
      </c>
      <c r="D8" s="76">
        <v>222.12119230682845</v>
      </c>
      <c r="E8" s="448">
        <v>0.80220365440182906</v>
      </c>
      <c r="F8" s="131">
        <v>0.32975091961637099</v>
      </c>
      <c r="G8" s="131">
        <v>0.44244394406536108</v>
      </c>
      <c r="H8" s="131">
        <v>0.71296485537423815</v>
      </c>
      <c r="I8" s="448">
        <v>0.89113568782485908</v>
      </c>
      <c r="J8" s="131">
        <v>0.96119993451837771</v>
      </c>
      <c r="K8" s="131">
        <v>0.99554403900587429</v>
      </c>
      <c r="L8" s="131">
        <v>1</v>
      </c>
    </row>
    <row r="9" spans="2:18">
      <c r="B9" s="377" t="s">
        <v>433</v>
      </c>
      <c r="C9" s="74">
        <v>10</v>
      </c>
      <c r="D9" s="74">
        <v>66.367004197304084</v>
      </c>
      <c r="E9" s="449">
        <v>0.61755172688155413</v>
      </c>
      <c r="F9" s="198">
        <v>0</v>
      </c>
      <c r="G9" s="198">
        <v>0.10022573145568341</v>
      </c>
      <c r="H9" s="198">
        <v>0.38725291069976192</v>
      </c>
      <c r="I9" s="449">
        <v>0.71501843064645065</v>
      </c>
      <c r="J9" s="198">
        <v>0.90260523225957268</v>
      </c>
      <c r="K9" s="198">
        <v>0.99764165104068714</v>
      </c>
      <c r="L9" s="198">
        <v>1</v>
      </c>
    </row>
    <row r="10" spans="2:18">
      <c r="B10" s="376" t="s">
        <v>434</v>
      </c>
      <c r="C10" s="76">
        <v>54</v>
      </c>
      <c r="D10" s="76">
        <v>965.42670299412816</v>
      </c>
      <c r="E10" s="448">
        <v>0.7622638565123615</v>
      </c>
      <c r="F10" s="131">
        <v>0</v>
      </c>
      <c r="G10" s="131">
        <v>0.18975823645539139</v>
      </c>
      <c r="H10" s="131">
        <v>0.65310615412026063</v>
      </c>
      <c r="I10" s="448">
        <v>0.89914173899489291</v>
      </c>
      <c r="J10" s="131">
        <v>0.99124956523239749</v>
      </c>
      <c r="K10" s="131">
        <v>1</v>
      </c>
      <c r="L10" s="131">
        <v>1</v>
      </c>
    </row>
    <row r="11" spans="2:18">
      <c r="B11" s="377" t="s">
        <v>435</v>
      </c>
      <c r="C11" s="74">
        <v>43</v>
      </c>
      <c r="D11" s="74">
        <v>350.05617629538045</v>
      </c>
      <c r="E11" s="449">
        <v>0.66186754040377294</v>
      </c>
      <c r="F11" s="198">
        <v>0</v>
      </c>
      <c r="G11" s="198">
        <v>7.0322219036908412E-2</v>
      </c>
      <c r="H11" s="198">
        <v>0.48074253987085208</v>
      </c>
      <c r="I11" s="449">
        <v>0.74883719775606028</v>
      </c>
      <c r="J11" s="198">
        <v>0.91534127878264382</v>
      </c>
      <c r="K11" s="198">
        <v>0.98740266856314252</v>
      </c>
      <c r="L11" s="198">
        <v>1</v>
      </c>
    </row>
    <row r="12" spans="2:18">
      <c r="B12" s="376" t="s">
        <v>436</v>
      </c>
      <c r="C12" s="76">
        <v>14</v>
      </c>
      <c r="D12" s="76">
        <v>45.876566334999161</v>
      </c>
      <c r="E12" s="448">
        <v>0.70679293485265815</v>
      </c>
      <c r="F12" s="131">
        <v>4.0253451725828962E-2</v>
      </c>
      <c r="G12" s="131">
        <v>0.269270291734649</v>
      </c>
      <c r="H12" s="131">
        <v>0.52535897870559889</v>
      </c>
      <c r="I12" s="448">
        <v>0.82063973019476255</v>
      </c>
      <c r="J12" s="131">
        <v>0.93422994754262711</v>
      </c>
      <c r="K12" s="131">
        <v>0.98709999762048573</v>
      </c>
      <c r="L12" s="131">
        <v>1</v>
      </c>
    </row>
    <row r="13" spans="2:18">
      <c r="B13" s="377" t="s">
        <v>438</v>
      </c>
      <c r="C13" s="74">
        <v>33</v>
      </c>
      <c r="D13" s="74">
        <v>134.99180481612063</v>
      </c>
      <c r="E13" s="449">
        <v>0.90477858471505923</v>
      </c>
      <c r="F13" s="198">
        <v>0.25322419813323621</v>
      </c>
      <c r="G13" s="198">
        <v>0.56305426678828185</v>
      </c>
      <c r="H13" s="198">
        <v>0.97707318346315131</v>
      </c>
      <c r="I13" s="449">
        <v>0.98171167321512398</v>
      </c>
      <c r="J13" s="198">
        <v>1</v>
      </c>
      <c r="K13" s="198">
        <v>1</v>
      </c>
      <c r="L13" s="198">
        <v>1</v>
      </c>
      <c r="Q13" s="53"/>
      <c r="R13" s="53"/>
    </row>
    <row r="14" spans="2:18">
      <c r="B14" s="376" t="s">
        <v>439</v>
      </c>
      <c r="C14" s="76">
        <v>23</v>
      </c>
      <c r="D14" s="76">
        <v>410.51250303802766</v>
      </c>
      <c r="E14" s="448">
        <v>0.80940372533438665</v>
      </c>
      <c r="F14" s="131">
        <v>5.8475250939784347E-2</v>
      </c>
      <c r="G14" s="131">
        <v>0.51922875310676331</v>
      </c>
      <c r="H14" s="131">
        <v>0.75516076869968041</v>
      </c>
      <c r="I14" s="448">
        <v>0.87045453608594436</v>
      </c>
      <c r="J14" s="131">
        <v>1</v>
      </c>
      <c r="K14" s="131">
        <v>1</v>
      </c>
      <c r="L14" s="131">
        <v>1</v>
      </c>
      <c r="Q14" s="53"/>
      <c r="R14" s="53"/>
    </row>
    <row r="15" spans="2:18">
      <c r="B15" s="377" t="s">
        <v>440</v>
      </c>
      <c r="C15" s="74">
        <v>19</v>
      </c>
      <c r="D15" s="74">
        <v>137.96273984318626</v>
      </c>
      <c r="E15" s="449">
        <v>0.7707500264456485</v>
      </c>
      <c r="F15" s="198">
        <v>5.8682358388895241E-3</v>
      </c>
      <c r="G15" s="198">
        <v>0.21606824327349189</v>
      </c>
      <c r="H15" s="198">
        <v>0.69593423221882822</v>
      </c>
      <c r="I15" s="449">
        <v>0.96807522344838737</v>
      </c>
      <c r="J15" s="198">
        <v>0.9881422375839698</v>
      </c>
      <c r="K15" s="198">
        <v>1</v>
      </c>
      <c r="L15" s="198">
        <v>1</v>
      </c>
      <c r="Q15" s="53"/>
      <c r="R15" s="53"/>
    </row>
    <row r="16" spans="2:18">
      <c r="B16" s="376" t="s">
        <v>442</v>
      </c>
      <c r="C16" s="76">
        <v>32</v>
      </c>
      <c r="D16" s="76">
        <v>1042.7418944481799</v>
      </c>
      <c r="E16" s="448">
        <v>0.70549442813094043</v>
      </c>
      <c r="F16" s="131">
        <v>0</v>
      </c>
      <c r="G16" s="131">
        <v>0.15110838331979201</v>
      </c>
      <c r="H16" s="131">
        <v>0.3141516523763333</v>
      </c>
      <c r="I16" s="448">
        <v>0.95329862286567457</v>
      </c>
      <c r="J16" s="131">
        <v>1</v>
      </c>
      <c r="K16" s="131">
        <v>1</v>
      </c>
      <c r="L16" s="131">
        <v>1</v>
      </c>
      <c r="Q16" s="53"/>
      <c r="R16" s="53"/>
    </row>
    <row r="17" spans="2:18">
      <c r="B17" s="377" t="s">
        <v>444</v>
      </c>
      <c r="C17" s="74">
        <v>11</v>
      </c>
      <c r="D17" s="74">
        <v>143.87697989438175</v>
      </c>
      <c r="E17" s="449">
        <v>0.78965274620821579</v>
      </c>
      <c r="F17" s="198">
        <v>9.9688931362090033E-2</v>
      </c>
      <c r="G17" s="198">
        <v>0.32333477214846712</v>
      </c>
      <c r="H17" s="198">
        <v>0.67993400584778974</v>
      </c>
      <c r="I17" s="449">
        <v>0.95784313524209297</v>
      </c>
      <c r="J17" s="198">
        <v>1</v>
      </c>
      <c r="K17" s="198">
        <v>1</v>
      </c>
      <c r="L17" s="198">
        <v>1</v>
      </c>
      <c r="Q17" s="53"/>
      <c r="R17" s="53"/>
    </row>
    <row r="18" spans="2:18">
      <c r="B18" s="376" t="s">
        <v>521</v>
      </c>
      <c r="C18" s="76">
        <v>50</v>
      </c>
      <c r="D18" s="76">
        <v>351.34921926659382</v>
      </c>
      <c r="E18" s="448">
        <v>0.9271524269124426</v>
      </c>
      <c r="F18" s="131">
        <v>0.19665404564083189</v>
      </c>
      <c r="G18" s="131">
        <v>0.75258429991580733</v>
      </c>
      <c r="H18" s="131">
        <v>0.96394301485037359</v>
      </c>
      <c r="I18" s="448">
        <v>0.98629755185452606</v>
      </c>
      <c r="J18" s="131">
        <v>0.99811932286994742</v>
      </c>
      <c r="K18" s="131">
        <v>1</v>
      </c>
      <c r="L18" s="131">
        <v>1</v>
      </c>
      <c r="Q18" s="53"/>
      <c r="R18" s="53"/>
    </row>
    <row r="19" spans="2:18">
      <c r="B19" s="377" t="s">
        <v>445</v>
      </c>
      <c r="C19" s="74">
        <v>14</v>
      </c>
      <c r="D19" s="74">
        <v>1089.6453365507359</v>
      </c>
      <c r="E19" s="449">
        <v>0.42396598740430502</v>
      </c>
      <c r="F19" s="198">
        <v>0</v>
      </c>
      <c r="G19" s="198">
        <v>7.5795232112076588E-2</v>
      </c>
      <c r="H19" s="198">
        <v>0.1998840920725421</v>
      </c>
      <c r="I19" s="449">
        <v>0.32350150215955992</v>
      </c>
      <c r="J19" s="198">
        <v>0.74987298553953585</v>
      </c>
      <c r="K19" s="198">
        <v>0.87676938337898813</v>
      </c>
      <c r="L19" s="198">
        <v>1</v>
      </c>
      <c r="Q19" s="53"/>
      <c r="R19" s="53"/>
    </row>
    <row r="20" spans="2:18">
      <c r="B20" s="376" t="s">
        <v>446</v>
      </c>
      <c r="C20" s="76">
        <v>11</v>
      </c>
      <c r="D20" s="76">
        <v>95.316449104133355</v>
      </c>
      <c r="E20" s="448">
        <v>0.68327130690670335</v>
      </c>
      <c r="F20" s="131">
        <v>0</v>
      </c>
      <c r="G20" s="131">
        <v>0</v>
      </c>
      <c r="H20" s="131">
        <v>0.25799218798686813</v>
      </c>
      <c r="I20" s="448">
        <v>1</v>
      </c>
      <c r="J20" s="131">
        <v>1</v>
      </c>
      <c r="K20" s="131">
        <v>1</v>
      </c>
      <c r="L20" s="131">
        <v>1</v>
      </c>
      <c r="Q20" s="53"/>
      <c r="R20" s="53"/>
    </row>
    <row r="21" spans="2:18">
      <c r="B21" s="377" t="s">
        <v>447</v>
      </c>
      <c r="C21" s="74">
        <v>25</v>
      </c>
      <c r="D21" s="74">
        <v>376.60114665800762</v>
      </c>
      <c r="E21" s="449">
        <v>0.67549926875649602</v>
      </c>
      <c r="F21" s="198">
        <v>0</v>
      </c>
      <c r="G21" s="198">
        <v>9.2814217265236934E-2</v>
      </c>
      <c r="H21" s="198">
        <v>0.4262749554338926</v>
      </c>
      <c r="I21" s="449">
        <v>0.87292634716481354</v>
      </c>
      <c r="J21" s="198">
        <v>0.9914014817721879</v>
      </c>
      <c r="K21" s="198">
        <v>1</v>
      </c>
      <c r="L21" s="198">
        <v>1</v>
      </c>
      <c r="Q21" s="53"/>
      <c r="R21" s="53"/>
    </row>
    <row r="22" spans="2:18">
      <c r="B22" s="376" t="s">
        <v>448</v>
      </c>
      <c r="C22" s="76">
        <v>10</v>
      </c>
      <c r="D22" s="76">
        <v>281.18528076345916</v>
      </c>
      <c r="E22" s="448">
        <v>0.55518626191754483</v>
      </c>
      <c r="F22" s="131">
        <v>6.2383267366596183E-2</v>
      </c>
      <c r="G22" s="131">
        <v>0.1183744863232062</v>
      </c>
      <c r="H22" s="131">
        <v>0.23792827979610209</v>
      </c>
      <c r="I22" s="448">
        <v>0.53386657570979767</v>
      </c>
      <c r="J22" s="131">
        <v>0.93153842884483196</v>
      </c>
      <c r="K22" s="131">
        <v>0.99678132522366447</v>
      </c>
      <c r="L22" s="131">
        <v>0.9999363371004053</v>
      </c>
      <c r="Q22" s="53"/>
      <c r="R22" s="53"/>
    </row>
    <row r="23" spans="2:18">
      <c r="B23" s="377" t="s">
        <v>451</v>
      </c>
      <c r="C23" s="74">
        <v>11</v>
      </c>
      <c r="D23" s="74">
        <v>106.10871617341438</v>
      </c>
      <c r="E23" s="449">
        <v>0.80890842661116413</v>
      </c>
      <c r="F23" s="198">
        <v>0</v>
      </c>
      <c r="G23" s="198">
        <v>0.48345363324804391</v>
      </c>
      <c r="H23" s="198">
        <v>0.72186921376653856</v>
      </c>
      <c r="I23" s="449">
        <v>0.99072867003033549</v>
      </c>
      <c r="J23" s="198">
        <v>0.99933141297885153</v>
      </c>
      <c r="K23" s="198">
        <v>1</v>
      </c>
      <c r="L23" s="198">
        <v>1</v>
      </c>
      <c r="Q23" s="53"/>
      <c r="R23" s="53"/>
    </row>
    <row r="24" spans="2:18">
      <c r="B24" s="376" t="s">
        <v>453</v>
      </c>
      <c r="C24" s="76">
        <v>23</v>
      </c>
      <c r="D24" s="76">
        <v>635.66544804809428</v>
      </c>
      <c r="E24" s="448">
        <v>0.70883768322147644</v>
      </c>
      <c r="F24" s="131">
        <v>0</v>
      </c>
      <c r="G24" s="131">
        <v>9.992341436649857E-2</v>
      </c>
      <c r="H24" s="131">
        <v>0.51711194017633277</v>
      </c>
      <c r="I24" s="448">
        <v>0.89677512793253122</v>
      </c>
      <c r="J24" s="131">
        <v>0.99975504632413226</v>
      </c>
      <c r="K24" s="131">
        <v>1</v>
      </c>
      <c r="L24" s="131">
        <v>1</v>
      </c>
      <c r="Q24" s="53"/>
      <c r="R24" s="53"/>
    </row>
    <row r="25" spans="2:18">
      <c r="B25" s="377" t="s">
        <v>455</v>
      </c>
      <c r="C25" s="74">
        <v>29</v>
      </c>
      <c r="D25" s="74">
        <v>224.30887886275227</v>
      </c>
      <c r="E25" s="449">
        <v>0.80287161403083307</v>
      </c>
      <c r="F25" s="198">
        <v>0.21486285682532641</v>
      </c>
      <c r="G25" s="198">
        <v>0.42868827918682351</v>
      </c>
      <c r="H25" s="198">
        <v>0.78863798078599334</v>
      </c>
      <c r="I25" s="449">
        <v>0.84465734526625713</v>
      </c>
      <c r="J25" s="198">
        <v>0.99991530700298537</v>
      </c>
      <c r="K25" s="198">
        <v>1</v>
      </c>
      <c r="L25" s="198">
        <v>1</v>
      </c>
      <c r="Q25" s="53"/>
      <c r="R25" s="53"/>
    </row>
    <row r="26" spans="2:18">
      <c r="B26" s="376" t="s">
        <v>456</v>
      </c>
      <c r="C26" s="76">
        <v>19</v>
      </c>
      <c r="D26" s="76">
        <v>138.30266141899955</v>
      </c>
      <c r="E26" s="448">
        <v>0.75825071482203155</v>
      </c>
      <c r="F26" s="131">
        <v>0</v>
      </c>
      <c r="G26" s="131">
        <v>0.2216376114191497</v>
      </c>
      <c r="H26" s="131">
        <v>0.61878769083819307</v>
      </c>
      <c r="I26" s="448">
        <v>0.98697833944622559</v>
      </c>
      <c r="J26" s="131">
        <v>1</v>
      </c>
      <c r="K26" s="131">
        <v>1</v>
      </c>
      <c r="L26" s="131">
        <v>1</v>
      </c>
      <c r="Q26" s="53"/>
      <c r="R26" s="53"/>
    </row>
    <row r="27" spans="2:18">
      <c r="B27" s="377" t="s">
        <v>461</v>
      </c>
      <c r="C27" s="74">
        <v>11</v>
      </c>
      <c r="D27" s="74">
        <v>56.633445634542568</v>
      </c>
      <c r="E27" s="449">
        <v>0.73016781966961342</v>
      </c>
      <c r="F27" s="198">
        <v>0.23631813568544199</v>
      </c>
      <c r="G27" s="198">
        <v>0.41681700102937158</v>
      </c>
      <c r="H27" s="198">
        <v>0.44576494914792358</v>
      </c>
      <c r="I27" s="449">
        <v>0.81728198396768681</v>
      </c>
      <c r="J27" s="198">
        <v>0.99568268617483069</v>
      </c>
      <c r="K27" s="198">
        <v>1</v>
      </c>
      <c r="L27" s="198">
        <v>1</v>
      </c>
      <c r="Q27" s="53"/>
      <c r="R27" s="53"/>
    </row>
    <row r="28" spans="2:18">
      <c r="B28" s="376" t="s">
        <v>463</v>
      </c>
      <c r="C28" s="76">
        <v>28</v>
      </c>
      <c r="D28" s="76">
        <v>339.61924045009147</v>
      </c>
      <c r="E28" s="448">
        <v>0.62713517771382044</v>
      </c>
      <c r="F28" s="131">
        <v>0</v>
      </c>
      <c r="G28" s="131">
        <v>0.1068094867889318</v>
      </c>
      <c r="H28" s="131">
        <v>0.17922061834215791</v>
      </c>
      <c r="I28" s="448">
        <v>0.7173338234618909</v>
      </c>
      <c r="J28" s="131">
        <v>0.98918670496475347</v>
      </c>
      <c r="K28" s="131">
        <v>0.99903124120455011</v>
      </c>
      <c r="L28" s="131">
        <v>1</v>
      </c>
      <c r="Q28" s="53"/>
      <c r="R28" s="53"/>
    </row>
    <row r="29" spans="2:18">
      <c r="B29" s="377" t="s">
        <v>464</v>
      </c>
      <c r="C29" s="74">
        <v>58</v>
      </c>
      <c r="D29" s="74">
        <v>943.13386470645958</v>
      </c>
      <c r="E29" s="449">
        <v>0.58487779748356528</v>
      </c>
      <c r="F29" s="198">
        <v>0</v>
      </c>
      <c r="G29" s="198">
        <v>1.0544970352337479E-2</v>
      </c>
      <c r="H29" s="198">
        <v>0.12738053126439089</v>
      </c>
      <c r="I29" s="449">
        <v>0.74649372762081367</v>
      </c>
      <c r="J29" s="198">
        <v>0.97700527808493964</v>
      </c>
      <c r="K29" s="198">
        <v>1</v>
      </c>
      <c r="L29" s="198">
        <v>1</v>
      </c>
      <c r="Q29" s="53"/>
      <c r="R29" s="53"/>
    </row>
    <row r="30" spans="2:18">
      <c r="B30" s="376" t="s">
        <v>466</v>
      </c>
      <c r="C30" s="76">
        <v>13</v>
      </c>
      <c r="D30" s="76">
        <v>250.90788260941758</v>
      </c>
      <c r="E30" s="448">
        <v>0.79865606371957132</v>
      </c>
      <c r="F30" s="131">
        <v>0.27734696271970488</v>
      </c>
      <c r="G30" s="131">
        <v>0.36678456444728058</v>
      </c>
      <c r="H30" s="131">
        <v>0.69046460242509633</v>
      </c>
      <c r="I30" s="448">
        <v>0.94177598458024547</v>
      </c>
      <c r="J30" s="131">
        <v>1</v>
      </c>
      <c r="K30" s="131">
        <v>1</v>
      </c>
      <c r="L30" s="131">
        <v>1</v>
      </c>
      <c r="Q30" s="53"/>
      <c r="R30" s="53"/>
    </row>
    <row r="31" spans="2:18">
      <c r="B31" s="377" t="s">
        <v>467</v>
      </c>
      <c r="C31" s="74">
        <v>19</v>
      </c>
      <c r="D31" s="74">
        <v>175.17644965566197</v>
      </c>
      <c r="E31" s="449">
        <v>0.67732292511876846</v>
      </c>
      <c r="F31" s="198">
        <v>0</v>
      </c>
      <c r="G31" s="198">
        <v>1.340719440705995E-8</v>
      </c>
      <c r="H31" s="198">
        <v>0.31347174442959341</v>
      </c>
      <c r="I31" s="449">
        <v>0.99522705664030675</v>
      </c>
      <c r="J31" s="198">
        <v>1</v>
      </c>
      <c r="K31" s="198">
        <v>1</v>
      </c>
      <c r="L31" s="198">
        <v>1</v>
      </c>
      <c r="Q31" s="53"/>
      <c r="R31" s="53"/>
    </row>
    <row r="32" spans="2:18">
      <c r="B32" s="376" t="s">
        <v>470</v>
      </c>
      <c r="C32" s="76">
        <v>11</v>
      </c>
      <c r="D32" s="76">
        <v>230.91327834969562</v>
      </c>
      <c r="E32" s="448">
        <v>0.85371739147570225</v>
      </c>
      <c r="F32" s="131">
        <v>0.59125711450069818</v>
      </c>
      <c r="G32" s="131">
        <v>0.62790883789045393</v>
      </c>
      <c r="H32" s="131">
        <v>0.69195049301183664</v>
      </c>
      <c r="I32" s="448">
        <v>0.96853637449876806</v>
      </c>
      <c r="J32" s="131">
        <v>0.98990459600169123</v>
      </c>
      <c r="K32" s="131">
        <v>1</v>
      </c>
      <c r="L32" s="131">
        <v>1</v>
      </c>
      <c r="Q32" s="53"/>
      <c r="R32" s="53"/>
    </row>
    <row r="33" spans="2:18">
      <c r="B33" s="377" t="s">
        <v>471</v>
      </c>
      <c r="C33" s="74">
        <v>29</v>
      </c>
      <c r="D33" s="74">
        <v>457.26300365050668</v>
      </c>
      <c r="E33" s="449">
        <v>0.70302936937823057</v>
      </c>
      <c r="F33" s="198">
        <v>0</v>
      </c>
      <c r="G33" s="198">
        <v>0.2023865990065041</v>
      </c>
      <c r="H33" s="198">
        <v>0.34846556419591052</v>
      </c>
      <c r="I33" s="449">
        <v>0.9821276919186781</v>
      </c>
      <c r="J33" s="198">
        <v>1</v>
      </c>
      <c r="K33" s="198">
        <v>1</v>
      </c>
      <c r="L33" s="198">
        <v>1</v>
      </c>
      <c r="Q33" s="53"/>
      <c r="R33" s="53"/>
    </row>
    <row r="34" spans="2:18">
      <c r="B34" s="376" t="s">
        <v>472</v>
      </c>
      <c r="C34" s="76">
        <v>16</v>
      </c>
      <c r="D34" s="76">
        <v>404.89781622383396</v>
      </c>
      <c r="E34" s="448">
        <v>0.97652752166663737</v>
      </c>
      <c r="F34" s="131">
        <v>0.92229184131236219</v>
      </c>
      <c r="G34" s="131">
        <v>0.94702886564789113</v>
      </c>
      <c r="H34" s="131">
        <v>0.95360327737985928</v>
      </c>
      <c r="I34" s="448">
        <v>0.98714589997586821</v>
      </c>
      <c r="J34" s="131">
        <v>1</v>
      </c>
      <c r="K34" s="131">
        <v>1</v>
      </c>
      <c r="L34" s="131">
        <v>1</v>
      </c>
      <c r="Q34" s="53"/>
      <c r="R34" s="53"/>
    </row>
    <row r="35" spans="2:18">
      <c r="B35" s="377" t="s">
        <v>476</v>
      </c>
      <c r="C35" s="74">
        <v>10</v>
      </c>
      <c r="D35" s="74">
        <v>58.18568000178157</v>
      </c>
      <c r="E35" s="449">
        <v>0.9390529069202822</v>
      </c>
      <c r="F35" s="198">
        <v>0.68204325196777815</v>
      </c>
      <c r="G35" s="198">
        <v>0.85823082811358642</v>
      </c>
      <c r="H35" s="198">
        <v>0.90758277058852344</v>
      </c>
      <c r="I35" s="449">
        <v>0.98637847088854413</v>
      </c>
      <c r="J35" s="198">
        <v>1</v>
      </c>
      <c r="K35" s="198">
        <v>1</v>
      </c>
      <c r="L35" s="198">
        <v>1</v>
      </c>
      <c r="Q35" s="53"/>
      <c r="R35" s="53"/>
    </row>
    <row r="36" spans="2:18">
      <c r="B36" s="376" t="s">
        <v>477</v>
      </c>
      <c r="C36" s="76">
        <v>13</v>
      </c>
      <c r="D36" s="76">
        <v>671.37310007662427</v>
      </c>
      <c r="E36" s="448">
        <v>0.71107415740969793</v>
      </c>
      <c r="F36" s="131">
        <v>6.4635250232839933E-2</v>
      </c>
      <c r="G36" s="131">
        <v>7.3298126922347037E-2</v>
      </c>
      <c r="H36" s="131">
        <v>0.30883899495730099</v>
      </c>
      <c r="I36" s="448">
        <v>0.95423291548373224</v>
      </c>
      <c r="J36" s="131">
        <v>0.98284919293241002</v>
      </c>
      <c r="K36" s="131">
        <v>0.99900990598584005</v>
      </c>
      <c r="L36" s="131">
        <v>1</v>
      </c>
      <c r="Q36" s="53"/>
      <c r="R36" s="53"/>
    </row>
    <row r="37" spans="2:18">
      <c r="B37" s="377" t="s">
        <v>479</v>
      </c>
      <c r="C37" s="74">
        <v>54</v>
      </c>
      <c r="D37" s="74">
        <v>148.60351335212169</v>
      </c>
      <c r="E37" s="449">
        <v>0.86661999419004987</v>
      </c>
      <c r="F37" s="198">
        <v>5.0654460053952584E-3</v>
      </c>
      <c r="G37" s="198">
        <v>0.52331138437478575</v>
      </c>
      <c r="H37" s="198">
        <v>0.90978798229141356</v>
      </c>
      <c r="I37" s="449">
        <v>0.99228177026345987</v>
      </c>
      <c r="J37" s="198">
        <v>0.99972049655972639</v>
      </c>
      <c r="K37" s="198">
        <v>1</v>
      </c>
      <c r="L37" s="198">
        <v>1</v>
      </c>
      <c r="Q37" s="53"/>
      <c r="R37" s="53"/>
    </row>
    <row r="38" spans="2:18">
      <c r="B38" s="376" t="s">
        <v>480</v>
      </c>
      <c r="C38" s="76">
        <v>13</v>
      </c>
      <c r="D38" s="76">
        <v>320.27064970884885</v>
      </c>
      <c r="E38" s="448">
        <v>0.86614503614782401</v>
      </c>
      <c r="F38" s="131">
        <v>0.42205917296834</v>
      </c>
      <c r="G38" s="131">
        <v>0.59653971359897007</v>
      </c>
      <c r="H38" s="131">
        <v>0.89201074776141698</v>
      </c>
      <c r="I38" s="448">
        <v>0.94832971958618839</v>
      </c>
      <c r="J38" s="131">
        <v>0.9887281715564491</v>
      </c>
      <c r="K38" s="131">
        <v>0.99881722985648125</v>
      </c>
      <c r="L38" s="131">
        <v>1</v>
      </c>
      <c r="Q38" s="53"/>
      <c r="R38" s="53"/>
    </row>
    <row r="39" spans="2:18">
      <c r="B39" s="377" t="s">
        <v>481</v>
      </c>
      <c r="C39" s="74">
        <v>12</v>
      </c>
      <c r="D39" s="74">
        <v>252.83792748550439</v>
      </c>
      <c r="E39" s="449">
        <v>0.84341402142364374</v>
      </c>
      <c r="F39" s="198">
        <v>0.56854820857686472</v>
      </c>
      <c r="G39" s="198">
        <v>0.64628503663919412</v>
      </c>
      <c r="H39" s="198">
        <v>0.72351280445682908</v>
      </c>
      <c r="I39" s="449">
        <v>0.89227535314021056</v>
      </c>
      <c r="J39" s="198">
        <v>0.99436139502013088</v>
      </c>
      <c r="K39" s="198">
        <v>0.99718863200207764</v>
      </c>
      <c r="L39" s="198">
        <v>1</v>
      </c>
      <c r="Q39" s="53"/>
      <c r="R39" s="53"/>
    </row>
    <row r="40" spans="2:18">
      <c r="B40" s="376" t="s">
        <v>482</v>
      </c>
      <c r="C40" s="76">
        <v>10</v>
      </c>
      <c r="D40" s="76">
        <v>27.361072027775162</v>
      </c>
      <c r="E40" s="448">
        <v>0.78347130922446084</v>
      </c>
      <c r="F40" s="131">
        <v>0.1159429828792852</v>
      </c>
      <c r="G40" s="131">
        <v>0.15158756557850661</v>
      </c>
      <c r="H40" s="131">
        <v>0.79591842252350586</v>
      </c>
      <c r="I40" s="448">
        <v>0.95891701519137351</v>
      </c>
      <c r="J40" s="131">
        <v>0.99469441778827927</v>
      </c>
      <c r="K40" s="131">
        <v>1</v>
      </c>
      <c r="L40" s="131">
        <v>1</v>
      </c>
      <c r="Q40" s="53"/>
      <c r="R40" s="53"/>
    </row>
    <row r="41" spans="2:18">
      <c r="B41" s="377" t="s">
        <v>484</v>
      </c>
      <c r="C41" s="74">
        <v>41</v>
      </c>
      <c r="D41" s="74">
        <v>1011.5661712108564</v>
      </c>
      <c r="E41" s="449">
        <v>0.68649006163776105</v>
      </c>
      <c r="F41" s="198">
        <v>3.5998684201050892E-3</v>
      </c>
      <c r="G41" s="198">
        <v>4.7076832307371863E-2</v>
      </c>
      <c r="H41" s="198">
        <v>0.39303998742823337</v>
      </c>
      <c r="I41" s="449">
        <v>0.86336720629099384</v>
      </c>
      <c r="J41" s="198">
        <v>0.9888265022638445</v>
      </c>
      <c r="K41" s="198">
        <v>1</v>
      </c>
      <c r="L41" s="198">
        <v>1</v>
      </c>
      <c r="Q41" s="53"/>
      <c r="R41" s="53"/>
    </row>
    <row r="42" spans="2:18">
      <c r="B42" s="376" t="s">
        <v>485</v>
      </c>
      <c r="C42" s="76">
        <v>23</v>
      </c>
      <c r="D42" s="76">
        <v>302.43790114987775</v>
      </c>
      <c r="E42" s="448">
        <v>0.75447673326337206</v>
      </c>
      <c r="F42" s="131">
        <v>0</v>
      </c>
      <c r="G42" s="131">
        <v>6.0530113109322867E-2</v>
      </c>
      <c r="H42" s="131">
        <v>0.58616220150395193</v>
      </c>
      <c r="I42" s="448">
        <v>0.98201660772689858</v>
      </c>
      <c r="J42" s="131">
        <v>0.99930106039779465</v>
      </c>
      <c r="K42" s="131">
        <v>1</v>
      </c>
      <c r="L42" s="131">
        <v>1</v>
      </c>
      <c r="Q42" s="53"/>
      <c r="R42" s="53"/>
    </row>
    <row r="43" spans="2:18">
      <c r="B43" s="377" t="s">
        <v>523</v>
      </c>
      <c r="C43" s="74">
        <v>19</v>
      </c>
      <c r="D43" s="74">
        <v>85.672774281999992</v>
      </c>
      <c r="E43" s="449">
        <v>0.92424272157881704</v>
      </c>
      <c r="F43" s="198">
        <v>0.49974708301526938</v>
      </c>
      <c r="G43" s="198">
        <v>0.82417698313268639</v>
      </c>
      <c r="H43" s="198">
        <v>0.89937906961682557</v>
      </c>
      <c r="I43" s="449">
        <v>0.99585961106051801</v>
      </c>
      <c r="J43" s="198">
        <v>1</v>
      </c>
      <c r="K43" s="198">
        <v>1</v>
      </c>
      <c r="L43" s="198">
        <v>1</v>
      </c>
      <c r="Q43" s="53"/>
      <c r="R43" s="53"/>
    </row>
    <row r="44" spans="2:18">
      <c r="B44" s="376" t="s">
        <v>486</v>
      </c>
      <c r="C44" s="76">
        <v>31</v>
      </c>
      <c r="D44" s="76">
        <v>425.02188583975936</v>
      </c>
      <c r="E44" s="448">
        <v>0.72197869015995164</v>
      </c>
      <c r="F44" s="131">
        <v>0</v>
      </c>
      <c r="G44" s="131">
        <v>4.433952911577331E-2</v>
      </c>
      <c r="H44" s="131">
        <v>0.40563658433325472</v>
      </c>
      <c r="I44" s="448">
        <v>0.94898935763957726</v>
      </c>
      <c r="J44" s="131">
        <v>0.99848547756798312</v>
      </c>
      <c r="K44" s="131">
        <v>1</v>
      </c>
      <c r="L44" s="131">
        <v>1</v>
      </c>
      <c r="Q44" s="53"/>
      <c r="R44" s="53"/>
    </row>
    <row r="45" spans="2:18">
      <c r="B45" s="377" t="s">
        <v>487</v>
      </c>
      <c r="C45" s="74">
        <v>21</v>
      </c>
      <c r="D45" s="74">
        <v>140.85536691296878</v>
      </c>
      <c r="E45" s="449">
        <v>0.69727400218328572</v>
      </c>
      <c r="F45" s="198">
        <v>0</v>
      </c>
      <c r="G45" s="198">
        <v>7.5634925865272568E-2</v>
      </c>
      <c r="H45" s="198">
        <v>0.60443517748762832</v>
      </c>
      <c r="I45" s="449">
        <v>0.77960701272928545</v>
      </c>
      <c r="J45" s="198">
        <v>1</v>
      </c>
      <c r="K45" s="198">
        <v>1</v>
      </c>
      <c r="L45" s="198">
        <v>1</v>
      </c>
      <c r="Q45" s="53"/>
      <c r="R45" s="53"/>
    </row>
    <row r="46" spans="2:18">
      <c r="B46" s="376" t="s">
        <v>489</v>
      </c>
      <c r="C46" s="76">
        <v>33</v>
      </c>
      <c r="D46" s="76">
        <v>439.15832909629171</v>
      </c>
      <c r="E46" s="448">
        <v>0.6179681930826566</v>
      </c>
      <c r="F46" s="131">
        <v>0</v>
      </c>
      <c r="G46" s="131">
        <v>5.9437211670087548E-3</v>
      </c>
      <c r="H46" s="131">
        <v>6.5577365743518676E-2</v>
      </c>
      <c r="I46" s="448">
        <v>0.76120874999999633</v>
      </c>
      <c r="J46" s="131">
        <v>0.94455735817700548</v>
      </c>
      <c r="K46" s="131">
        <v>0.99981474291169437</v>
      </c>
      <c r="L46" s="131">
        <v>1</v>
      </c>
      <c r="Q46" s="53"/>
      <c r="R46" s="53"/>
    </row>
    <row r="47" spans="2:18">
      <c r="B47" s="377" t="s">
        <v>491</v>
      </c>
      <c r="C47" s="74">
        <v>16</v>
      </c>
      <c r="D47" s="74">
        <v>149.40781598133708</v>
      </c>
      <c r="E47" s="449">
        <v>0.71087961140425227</v>
      </c>
      <c r="F47" s="198">
        <v>0</v>
      </c>
      <c r="G47" s="198">
        <v>1.0672946075497401E-2</v>
      </c>
      <c r="H47" s="198">
        <v>0.27808365513906902</v>
      </c>
      <c r="I47" s="449">
        <v>0.99243137590872954</v>
      </c>
      <c r="J47" s="198">
        <v>1</v>
      </c>
      <c r="K47" s="198">
        <v>1</v>
      </c>
      <c r="L47" s="198">
        <v>1</v>
      </c>
      <c r="Q47" s="53"/>
      <c r="R47" s="53"/>
    </row>
    <row r="48" spans="2:18">
      <c r="B48" s="376" t="s">
        <v>492</v>
      </c>
      <c r="C48" s="76">
        <v>22</v>
      </c>
      <c r="D48" s="76">
        <v>346.64948051568581</v>
      </c>
      <c r="E48" s="448">
        <v>0.68435351632341268</v>
      </c>
      <c r="F48" s="131">
        <v>0</v>
      </c>
      <c r="G48" s="131">
        <v>4.9586950113849032E-2</v>
      </c>
      <c r="H48" s="131">
        <v>0.33901549398901959</v>
      </c>
      <c r="I48" s="448">
        <v>0.87958040434632578</v>
      </c>
      <c r="J48" s="131">
        <v>0.9760652878835645</v>
      </c>
      <c r="K48" s="131">
        <v>0.99973858594170406</v>
      </c>
      <c r="L48" s="131">
        <v>1</v>
      </c>
      <c r="Q48" s="53"/>
      <c r="R48" s="53"/>
    </row>
    <row r="49" spans="2:18">
      <c r="B49" s="377" t="s">
        <v>493</v>
      </c>
      <c r="C49" s="74">
        <v>39</v>
      </c>
      <c r="D49" s="74">
        <v>792.77026626329325</v>
      </c>
      <c r="E49" s="449">
        <v>0.8605524720188743</v>
      </c>
      <c r="F49" s="198">
        <v>3.5443814921964821E-2</v>
      </c>
      <c r="G49" s="198">
        <v>0.51048504917825688</v>
      </c>
      <c r="H49" s="198">
        <v>0.89137771767713003</v>
      </c>
      <c r="I49" s="449">
        <v>0.98805491056028749</v>
      </c>
      <c r="J49" s="198">
        <v>1</v>
      </c>
      <c r="K49" s="198">
        <v>1</v>
      </c>
      <c r="L49" s="198">
        <v>1</v>
      </c>
      <c r="Q49" s="53"/>
      <c r="R49" s="53"/>
    </row>
    <row r="50" spans="2:18">
      <c r="B50" s="376" t="s">
        <v>494</v>
      </c>
      <c r="C50" s="76">
        <v>13</v>
      </c>
      <c r="D50" s="76">
        <v>255.17045969015456</v>
      </c>
      <c r="E50" s="448">
        <v>0.46113630234805147</v>
      </c>
      <c r="F50" s="131">
        <v>0</v>
      </c>
      <c r="G50" s="131">
        <v>2.2975392764220101E-2</v>
      </c>
      <c r="H50" s="131">
        <v>0.2048449400105655</v>
      </c>
      <c r="I50" s="448">
        <v>0.530336497692669</v>
      </c>
      <c r="J50" s="131">
        <v>0.61866348917281933</v>
      </c>
      <c r="K50" s="131">
        <v>0.88127168596037153</v>
      </c>
      <c r="L50" s="131">
        <v>0.98761335632104408</v>
      </c>
      <c r="Q50" s="53"/>
      <c r="R50" s="53"/>
    </row>
    <row r="51" spans="2:18">
      <c r="B51" s="377" t="s">
        <v>496</v>
      </c>
      <c r="C51" s="74">
        <v>45</v>
      </c>
      <c r="D51" s="74">
        <v>933.2869989945832</v>
      </c>
      <c r="E51" s="449">
        <v>0.49611801898275859</v>
      </c>
      <c r="F51" s="198">
        <v>0</v>
      </c>
      <c r="G51" s="198">
        <v>0</v>
      </c>
      <c r="H51" s="198">
        <v>0.24049659736698151</v>
      </c>
      <c r="I51" s="449">
        <v>0.42588124026531859</v>
      </c>
      <c r="J51" s="198">
        <v>0.93844640668283341</v>
      </c>
      <c r="K51" s="198">
        <v>1</v>
      </c>
      <c r="L51" s="198">
        <v>1</v>
      </c>
      <c r="Q51" s="53"/>
      <c r="R51" s="53"/>
    </row>
    <row r="52" spans="2:18">
      <c r="B52" s="376" t="s">
        <v>497</v>
      </c>
      <c r="C52" s="76">
        <v>11</v>
      </c>
      <c r="D52" s="76">
        <v>119.95248987989461</v>
      </c>
      <c r="E52" s="448">
        <v>0.81044550969061213</v>
      </c>
      <c r="F52" s="131">
        <v>0.25318249156683897</v>
      </c>
      <c r="G52" s="131">
        <v>0.51146847635393766</v>
      </c>
      <c r="H52" s="131">
        <v>0.7139156013324347</v>
      </c>
      <c r="I52" s="448">
        <v>0.9021538489288583</v>
      </c>
      <c r="J52" s="131">
        <v>0.99962992298354569</v>
      </c>
      <c r="K52" s="131">
        <v>1</v>
      </c>
      <c r="L52" s="131">
        <v>1</v>
      </c>
      <c r="Q52" s="53"/>
      <c r="R52" s="53"/>
    </row>
    <row r="53" spans="2:18">
      <c r="B53" s="377" t="s">
        <v>498</v>
      </c>
      <c r="C53" s="74">
        <v>15</v>
      </c>
      <c r="D53" s="74">
        <v>308.12950127218261</v>
      </c>
      <c r="E53" s="449">
        <v>0.60193756197673054</v>
      </c>
      <c r="F53" s="198">
        <v>0.1277579603403112</v>
      </c>
      <c r="G53" s="198">
        <v>0.16331823686268421</v>
      </c>
      <c r="H53" s="198">
        <v>0.2161831667184253</v>
      </c>
      <c r="I53" s="449">
        <v>0.67294149162745087</v>
      </c>
      <c r="J53" s="198">
        <v>0.92407174314919027</v>
      </c>
      <c r="K53" s="198">
        <v>0.97717298612232628</v>
      </c>
      <c r="L53" s="198">
        <v>0.99955560162167989</v>
      </c>
      <c r="Q53" s="53"/>
      <c r="R53" s="53"/>
    </row>
    <row r="54" spans="2:18">
      <c r="B54" s="376" t="s">
        <v>524</v>
      </c>
      <c r="C54" s="76">
        <v>65</v>
      </c>
      <c r="D54" s="76">
        <v>1305.1136599250797</v>
      </c>
      <c r="E54" s="448">
        <v>0.76047253031159356</v>
      </c>
      <c r="F54" s="131">
        <v>0</v>
      </c>
      <c r="G54" s="131">
        <v>0.141654293500768</v>
      </c>
      <c r="H54" s="131">
        <v>0.69111182487178935</v>
      </c>
      <c r="I54" s="448">
        <v>0.91816374075489571</v>
      </c>
      <c r="J54" s="131">
        <v>0.98469402358864744</v>
      </c>
      <c r="K54" s="131">
        <v>1</v>
      </c>
      <c r="L54" s="131">
        <v>1</v>
      </c>
      <c r="Q54" s="53"/>
      <c r="R54" s="53"/>
    </row>
    <row r="55" spans="2:18">
      <c r="B55" s="377" t="s">
        <v>499</v>
      </c>
      <c r="C55" s="74">
        <v>10</v>
      </c>
      <c r="D55" s="74">
        <v>39.054417095303087</v>
      </c>
      <c r="E55" s="449">
        <v>0.76520082324752703</v>
      </c>
      <c r="F55" s="198">
        <v>0.28449728916058548</v>
      </c>
      <c r="G55" s="198">
        <v>0.3551852297335823</v>
      </c>
      <c r="H55" s="198">
        <v>0.79792867808947077</v>
      </c>
      <c r="I55" s="449">
        <v>0.80649541242561273</v>
      </c>
      <c r="J55" s="198">
        <v>0.94742835365422473</v>
      </c>
      <c r="K55" s="198">
        <v>0.98599004831802839</v>
      </c>
      <c r="L55" s="198">
        <v>0.99112767733344731</v>
      </c>
      <c r="Q55" s="53"/>
      <c r="R55" s="53"/>
    </row>
    <row r="56" spans="2:18">
      <c r="B56" s="376" t="s">
        <v>502</v>
      </c>
      <c r="C56" s="76">
        <v>68</v>
      </c>
      <c r="D56" s="76">
        <v>513.03195813594903</v>
      </c>
      <c r="E56" s="448">
        <v>0.87746979676058667</v>
      </c>
      <c r="F56" s="131">
        <v>0</v>
      </c>
      <c r="G56" s="131">
        <v>0.52860636459496912</v>
      </c>
      <c r="H56" s="131">
        <v>0.91513517411464695</v>
      </c>
      <c r="I56" s="448">
        <v>0.99317807459275964</v>
      </c>
      <c r="J56" s="131">
        <v>0.99977122767321713</v>
      </c>
      <c r="K56" s="131">
        <v>1</v>
      </c>
      <c r="L56" s="131">
        <v>1</v>
      </c>
      <c r="Q56" s="53"/>
      <c r="R56" s="53"/>
    </row>
    <row r="57" spans="2:18">
      <c r="B57" s="377" t="s">
        <v>505</v>
      </c>
      <c r="C57" s="74">
        <v>11</v>
      </c>
      <c r="D57" s="74">
        <v>275.34922627930189</v>
      </c>
      <c r="E57" s="449">
        <v>0.76465096534012911</v>
      </c>
      <c r="F57" s="198">
        <v>0.35495723474737462</v>
      </c>
      <c r="G57" s="198">
        <v>0.41878584423248633</v>
      </c>
      <c r="H57" s="198">
        <v>0.5639374850190868</v>
      </c>
      <c r="I57" s="449">
        <v>0.89906114277797355</v>
      </c>
      <c r="J57" s="198">
        <v>0.99843827322679779</v>
      </c>
      <c r="K57" s="198">
        <v>1</v>
      </c>
      <c r="L57" s="198">
        <v>1</v>
      </c>
      <c r="Q57" s="53"/>
      <c r="R57" s="53"/>
    </row>
    <row r="58" spans="2:18">
      <c r="B58" s="376" t="s">
        <v>506</v>
      </c>
      <c r="C58" s="76">
        <v>18</v>
      </c>
      <c r="D58" s="76">
        <v>51.935557604141408</v>
      </c>
      <c r="E58" s="448">
        <v>0.55781799407312938</v>
      </c>
      <c r="F58" s="131">
        <v>0</v>
      </c>
      <c r="G58" s="131">
        <v>3.3818432437951171E-2</v>
      </c>
      <c r="H58" s="131">
        <v>0.1087034143217846</v>
      </c>
      <c r="I58" s="448">
        <v>0.64000365693137895</v>
      </c>
      <c r="J58" s="131">
        <v>0.97050708744106318</v>
      </c>
      <c r="K58" s="131">
        <v>0.99835900838376546</v>
      </c>
      <c r="L58" s="131">
        <v>1</v>
      </c>
      <c r="Q58" s="53"/>
      <c r="R58" s="53"/>
    </row>
    <row r="59" spans="2:18">
      <c r="B59" s="377" t="s">
        <v>507</v>
      </c>
      <c r="C59" s="74">
        <v>33</v>
      </c>
      <c r="D59" s="74">
        <v>83.406588000000028</v>
      </c>
      <c r="E59" s="449">
        <v>0.87258173476452261</v>
      </c>
      <c r="F59" s="198">
        <v>0.2350413672996747</v>
      </c>
      <c r="G59" s="198">
        <v>0.68722062144046014</v>
      </c>
      <c r="H59" s="198">
        <v>0.88641700491276509</v>
      </c>
      <c r="I59" s="449">
        <v>0.93197133934250453</v>
      </c>
      <c r="J59" s="198">
        <v>0.99185397746418036</v>
      </c>
      <c r="K59" s="198">
        <v>1</v>
      </c>
      <c r="L59" s="198">
        <v>1</v>
      </c>
      <c r="Q59" s="53"/>
      <c r="R59" s="53"/>
    </row>
    <row r="60" spans="2:18" ht="15" customHeight="1">
      <c r="B60" s="376" t="s">
        <v>129</v>
      </c>
      <c r="C60" s="76">
        <v>45</v>
      </c>
      <c r="D60" s="76">
        <v>2306.1155124225261</v>
      </c>
      <c r="E60" s="448">
        <v>0.70599274482833707</v>
      </c>
      <c r="F60" s="131">
        <v>0.11683982758172549</v>
      </c>
      <c r="G60" s="131">
        <v>0.28917258419298819</v>
      </c>
      <c r="H60" s="131">
        <v>0.47258227423143062</v>
      </c>
      <c r="I60" s="448">
        <v>0.86233493582436027</v>
      </c>
      <c r="J60" s="131">
        <v>0.96638478131698224</v>
      </c>
      <c r="K60" s="131">
        <v>1</v>
      </c>
      <c r="L60" s="131">
        <v>1</v>
      </c>
      <c r="Q60" s="53"/>
      <c r="R60" s="53"/>
    </row>
    <row r="61" spans="2:18" ht="15" customHeight="1">
      <c r="B61" s="377" t="s">
        <v>509</v>
      </c>
      <c r="C61" s="74">
        <v>12</v>
      </c>
      <c r="D61" s="74">
        <v>107.63763962068597</v>
      </c>
      <c r="E61" s="449">
        <v>0.85324771845029013</v>
      </c>
      <c r="F61" s="198">
        <v>0.53797428413137749</v>
      </c>
      <c r="G61" s="198">
        <v>0.6160630235327591</v>
      </c>
      <c r="H61" s="198">
        <v>0.65486049887458242</v>
      </c>
      <c r="I61" s="449">
        <v>0.97284436127050666</v>
      </c>
      <c r="J61" s="198">
        <v>1</v>
      </c>
      <c r="K61" s="198">
        <v>1</v>
      </c>
      <c r="L61" s="198">
        <v>1</v>
      </c>
      <c r="Q61" s="53"/>
      <c r="R61" s="53"/>
    </row>
    <row r="62" spans="2:18" ht="15" customHeight="1">
      <c r="B62" s="376" t="s">
        <v>510</v>
      </c>
      <c r="C62" s="76">
        <v>20</v>
      </c>
      <c r="D62" s="76">
        <v>113.34305918546416</v>
      </c>
      <c r="E62" s="448">
        <v>0.72321810534752495</v>
      </c>
      <c r="F62" s="131">
        <v>0</v>
      </c>
      <c r="G62" s="131">
        <v>0.29494074102580969</v>
      </c>
      <c r="H62" s="131">
        <v>0.50838646180118396</v>
      </c>
      <c r="I62" s="448">
        <v>0.81126160212427489</v>
      </c>
      <c r="J62" s="131">
        <v>0.99605177063381301</v>
      </c>
      <c r="K62" s="131">
        <v>1</v>
      </c>
      <c r="L62" s="131">
        <v>1</v>
      </c>
      <c r="Q62" s="53"/>
      <c r="R62" s="53"/>
    </row>
    <row r="63" spans="2:18" ht="15" customHeight="1">
      <c r="B63" s="377" t="s">
        <v>511</v>
      </c>
      <c r="C63" s="74">
        <v>83</v>
      </c>
      <c r="D63" s="74">
        <v>1745.8563971066558</v>
      </c>
      <c r="E63" s="449">
        <v>0.68378753439861484</v>
      </c>
      <c r="F63" s="198">
        <v>0</v>
      </c>
      <c r="G63" s="198">
        <v>8.8146926239859591E-2</v>
      </c>
      <c r="H63" s="198">
        <v>0.40131522928146518</v>
      </c>
      <c r="I63" s="449">
        <v>0.85447520732260462</v>
      </c>
      <c r="J63" s="198">
        <v>0.98221599173507368</v>
      </c>
      <c r="K63" s="198">
        <v>1</v>
      </c>
      <c r="L63" s="198">
        <v>1</v>
      </c>
      <c r="Q63" s="53"/>
      <c r="R63" s="53"/>
    </row>
    <row r="64" spans="2:18" ht="15" customHeight="1">
      <c r="B64" s="376" t="s">
        <v>512</v>
      </c>
      <c r="C64" s="76">
        <v>20</v>
      </c>
      <c r="D64" s="76">
        <v>224.28033454728754</v>
      </c>
      <c r="E64" s="448">
        <v>0.85180535498606802</v>
      </c>
      <c r="F64" s="131">
        <v>0</v>
      </c>
      <c r="G64" s="131">
        <v>0.55963035101137015</v>
      </c>
      <c r="H64" s="131">
        <v>0.87075676297423987</v>
      </c>
      <c r="I64" s="448">
        <v>1</v>
      </c>
      <c r="J64" s="131">
        <v>1</v>
      </c>
      <c r="K64" s="131">
        <v>1</v>
      </c>
      <c r="L64" s="131">
        <v>1</v>
      </c>
      <c r="Q64" s="53"/>
      <c r="R64" s="53"/>
    </row>
    <row r="65" spans="2:18" ht="15" customHeight="1">
      <c r="B65" s="377" t="s">
        <v>514</v>
      </c>
      <c r="C65" s="74">
        <v>17</v>
      </c>
      <c r="D65" s="74">
        <v>99.989754504526346</v>
      </c>
      <c r="E65" s="449">
        <v>0.76968487561386711</v>
      </c>
      <c r="F65" s="198">
        <v>0.15107227063806389</v>
      </c>
      <c r="G65" s="198">
        <v>0.26719599114066678</v>
      </c>
      <c r="H65" s="198">
        <v>0.50139566169642014</v>
      </c>
      <c r="I65" s="449">
        <v>0.94652057229651576</v>
      </c>
      <c r="J65" s="198">
        <v>1</v>
      </c>
      <c r="K65" s="198">
        <v>1</v>
      </c>
      <c r="L65" s="198">
        <v>1</v>
      </c>
      <c r="Q65" s="53"/>
      <c r="R65" s="53"/>
    </row>
    <row r="66" spans="2:18" ht="15" customHeight="1">
      <c r="B66" s="376" t="s">
        <v>130</v>
      </c>
      <c r="C66" s="76">
        <v>13</v>
      </c>
      <c r="D66" s="76">
        <v>123.4990236727164</v>
      </c>
      <c r="E66" s="448">
        <v>0.81165621243664432</v>
      </c>
      <c r="F66" s="131">
        <v>0.23446718406268119</v>
      </c>
      <c r="G66" s="131">
        <v>0.5106857217706573</v>
      </c>
      <c r="H66" s="131">
        <v>0.79050271221355284</v>
      </c>
      <c r="I66" s="448">
        <v>0.9333443116274317</v>
      </c>
      <c r="J66" s="131">
        <v>1</v>
      </c>
      <c r="K66" s="131">
        <v>1</v>
      </c>
      <c r="L66" s="131">
        <v>1</v>
      </c>
      <c r="Q66" s="53"/>
      <c r="R66" s="53"/>
    </row>
    <row r="67" spans="2:18" ht="15" customHeight="1">
      <c r="B67" s="377" t="s">
        <v>517</v>
      </c>
      <c r="C67" s="74">
        <v>13</v>
      </c>
      <c r="D67" s="74">
        <v>403.84700878664938</v>
      </c>
      <c r="E67" s="449">
        <v>0.7308342886270045</v>
      </c>
      <c r="F67" s="198">
        <v>0</v>
      </c>
      <c r="G67" s="198">
        <v>0.2289170080799067</v>
      </c>
      <c r="H67" s="198">
        <v>0.59503844746221712</v>
      </c>
      <c r="I67" s="449">
        <v>0.85510842725149006</v>
      </c>
      <c r="J67" s="198">
        <v>0.98080836868170096</v>
      </c>
      <c r="K67" s="198">
        <v>0.99108220389002288</v>
      </c>
      <c r="L67" s="198">
        <v>1</v>
      </c>
      <c r="Q67" s="53"/>
      <c r="R67" s="53"/>
    </row>
    <row r="68" spans="2:18" ht="15" customHeight="1">
      <c r="B68" s="376" t="s">
        <v>518</v>
      </c>
      <c r="C68" s="76">
        <v>27</v>
      </c>
      <c r="D68" s="76">
        <v>286.48941387645647</v>
      </c>
      <c r="E68" s="448">
        <v>0.69159055361437916</v>
      </c>
      <c r="F68" s="131">
        <v>0</v>
      </c>
      <c r="G68" s="131">
        <v>9.8423032614473591E-2</v>
      </c>
      <c r="H68" s="131">
        <v>0.45235631528058162</v>
      </c>
      <c r="I68" s="448">
        <v>0.9219694291314614</v>
      </c>
      <c r="J68" s="131">
        <v>0.99212059281974518</v>
      </c>
      <c r="K68" s="131">
        <v>1</v>
      </c>
      <c r="L68" s="131">
        <v>1</v>
      </c>
      <c r="Q68" s="53"/>
      <c r="R68" s="53"/>
    </row>
    <row r="69" spans="2:18" ht="15" customHeight="1">
      <c r="B69" s="377" t="s">
        <v>519</v>
      </c>
      <c r="C69" s="74">
        <v>11</v>
      </c>
      <c r="D69" s="74">
        <v>19.821237447221925</v>
      </c>
      <c r="E69" s="449">
        <v>0.36571772461381491</v>
      </c>
      <c r="F69" s="198">
        <v>0</v>
      </c>
      <c r="G69" s="198">
        <v>0</v>
      </c>
      <c r="H69" s="198">
        <v>1.9327945335852581E-2</v>
      </c>
      <c r="I69" s="449">
        <v>0.35804382935265311</v>
      </c>
      <c r="J69" s="198">
        <v>0.56895895548659259</v>
      </c>
      <c r="K69" s="198">
        <v>0.99099028432333147</v>
      </c>
      <c r="L69" s="198">
        <v>1</v>
      </c>
      <c r="Q69" s="53"/>
      <c r="R69" s="53"/>
    </row>
    <row r="70" spans="2:18" ht="15" hidden="1" customHeight="1" outlineLevel="1">
      <c r="B70" s="376" t="s">
        <v>520</v>
      </c>
      <c r="C70" s="76" t="s">
        <v>237</v>
      </c>
      <c r="D70" s="76" t="s">
        <v>237</v>
      </c>
      <c r="E70" s="448" t="s">
        <v>237</v>
      </c>
      <c r="F70" s="131" t="s">
        <v>237</v>
      </c>
      <c r="G70" s="131" t="s">
        <v>237</v>
      </c>
      <c r="H70" s="131" t="s">
        <v>237</v>
      </c>
      <c r="I70" s="448" t="s">
        <v>237</v>
      </c>
      <c r="J70" s="131" t="s">
        <v>237</v>
      </c>
      <c r="K70" s="131" t="s">
        <v>237</v>
      </c>
      <c r="L70" s="131" t="s">
        <v>237</v>
      </c>
      <c r="Q70" s="53"/>
      <c r="R70" s="53"/>
    </row>
    <row r="71" spans="2:18" ht="15" hidden="1" customHeight="1" outlineLevel="1">
      <c r="B71" s="377" t="s">
        <v>520</v>
      </c>
      <c r="C71" s="74" t="s">
        <v>237</v>
      </c>
      <c r="D71" s="74" t="s">
        <v>237</v>
      </c>
      <c r="E71" s="449" t="s">
        <v>237</v>
      </c>
      <c r="F71" s="198" t="s">
        <v>237</v>
      </c>
      <c r="G71" s="198" t="s">
        <v>237</v>
      </c>
      <c r="H71" s="198" t="s">
        <v>237</v>
      </c>
      <c r="I71" s="449" t="s">
        <v>237</v>
      </c>
      <c r="J71" s="198" t="s">
        <v>237</v>
      </c>
      <c r="K71" s="198" t="s">
        <v>237</v>
      </c>
      <c r="L71" s="198" t="s">
        <v>237</v>
      </c>
      <c r="Q71" s="53"/>
      <c r="R71" s="53"/>
    </row>
    <row r="72" spans="2:18" ht="15" hidden="1" customHeight="1" outlineLevel="1">
      <c r="B72" s="376" t="s">
        <v>520</v>
      </c>
      <c r="C72" s="76" t="s">
        <v>237</v>
      </c>
      <c r="D72" s="76" t="s">
        <v>237</v>
      </c>
      <c r="E72" s="448" t="s">
        <v>237</v>
      </c>
      <c r="F72" s="131" t="s">
        <v>237</v>
      </c>
      <c r="G72" s="131" t="s">
        <v>237</v>
      </c>
      <c r="H72" s="131" t="s">
        <v>237</v>
      </c>
      <c r="I72" s="448" t="s">
        <v>237</v>
      </c>
      <c r="J72" s="131" t="s">
        <v>237</v>
      </c>
      <c r="K72" s="131" t="s">
        <v>237</v>
      </c>
      <c r="L72" s="131" t="s">
        <v>237</v>
      </c>
      <c r="Q72" s="53"/>
      <c r="R72" s="53"/>
    </row>
    <row r="73" spans="2:18" ht="15" hidden="1" customHeight="1" outlineLevel="1">
      <c r="B73" s="377" t="s">
        <v>520</v>
      </c>
      <c r="C73" s="74" t="s">
        <v>237</v>
      </c>
      <c r="D73" s="74" t="s">
        <v>237</v>
      </c>
      <c r="E73" s="449" t="s">
        <v>237</v>
      </c>
      <c r="F73" s="198" t="s">
        <v>237</v>
      </c>
      <c r="G73" s="198" t="s">
        <v>237</v>
      </c>
      <c r="H73" s="198" t="s">
        <v>237</v>
      </c>
      <c r="I73" s="449" t="s">
        <v>237</v>
      </c>
      <c r="J73" s="198" t="s">
        <v>237</v>
      </c>
      <c r="K73" s="198" t="s">
        <v>237</v>
      </c>
      <c r="L73" s="198" t="s">
        <v>237</v>
      </c>
      <c r="Q73" s="53"/>
      <c r="R73" s="53"/>
    </row>
    <row r="74" spans="2:18" ht="15" hidden="1" customHeight="1" outlineLevel="1">
      <c r="B74" s="376" t="s">
        <v>520</v>
      </c>
      <c r="C74" s="76" t="s">
        <v>237</v>
      </c>
      <c r="D74" s="76" t="s">
        <v>237</v>
      </c>
      <c r="E74" s="448" t="s">
        <v>237</v>
      </c>
      <c r="F74" s="131" t="s">
        <v>237</v>
      </c>
      <c r="G74" s="131" t="s">
        <v>237</v>
      </c>
      <c r="H74" s="131" t="s">
        <v>237</v>
      </c>
      <c r="I74" s="448" t="s">
        <v>237</v>
      </c>
      <c r="J74" s="131" t="s">
        <v>237</v>
      </c>
      <c r="K74" s="131" t="s">
        <v>237</v>
      </c>
      <c r="L74" s="131" t="s">
        <v>237</v>
      </c>
      <c r="Q74" s="53"/>
      <c r="R74" s="53"/>
    </row>
    <row r="75" spans="2:18" ht="15" hidden="1" customHeight="1" outlineLevel="1">
      <c r="B75" s="377" t="s">
        <v>520</v>
      </c>
      <c r="C75" s="74" t="s">
        <v>237</v>
      </c>
      <c r="D75" s="74" t="s">
        <v>237</v>
      </c>
      <c r="E75" s="449" t="s">
        <v>237</v>
      </c>
      <c r="F75" s="198" t="s">
        <v>237</v>
      </c>
      <c r="G75" s="198" t="s">
        <v>237</v>
      </c>
      <c r="H75" s="198" t="s">
        <v>237</v>
      </c>
      <c r="I75" s="449" t="s">
        <v>237</v>
      </c>
      <c r="J75" s="198" t="s">
        <v>237</v>
      </c>
      <c r="K75" s="198" t="s">
        <v>237</v>
      </c>
      <c r="L75" s="198" t="s">
        <v>237</v>
      </c>
      <c r="Q75" s="53"/>
      <c r="R75" s="53"/>
    </row>
    <row r="76" spans="2:18" ht="15" hidden="1" customHeight="1" outlineLevel="1">
      <c r="B76" s="376" t="s">
        <v>520</v>
      </c>
      <c r="C76" s="76" t="s">
        <v>237</v>
      </c>
      <c r="D76" s="76" t="s">
        <v>237</v>
      </c>
      <c r="E76" s="448" t="s">
        <v>237</v>
      </c>
      <c r="F76" s="131" t="s">
        <v>237</v>
      </c>
      <c r="G76" s="131" t="s">
        <v>237</v>
      </c>
      <c r="H76" s="131" t="s">
        <v>237</v>
      </c>
      <c r="I76" s="448" t="s">
        <v>237</v>
      </c>
      <c r="J76" s="131" t="s">
        <v>237</v>
      </c>
      <c r="K76" s="131" t="s">
        <v>237</v>
      </c>
      <c r="L76" s="131" t="s">
        <v>237</v>
      </c>
      <c r="Q76" s="53"/>
      <c r="R76" s="53"/>
    </row>
    <row r="77" spans="2:18" ht="15" hidden="1" customHeight="1" outlineLevel="1">
      <c r="B77" s="377" t="s">
        <v>520</v>
      </c>
      <c r="C77" s="74" t="s">
        <v>237</v>
      </c>
      <c r="D77" s="74" t="s">
        <v>237</v>
      </c>
      <c r="E77" s="449" t="s">
        <v>237</v>
      </c>
      <c r="F77" s="198" t="s">
        <v>237</v>
      </c>
      <c r="G77" s="198" t="s">
        <v>237</v>
      </c>
      <c r="H77" s="198" t="s">
        <v>237</v>
      </c>
      <c r="I77" s="449" t="s">
        <v>237</v>
      </c>
      <c r="J77" s="198" t="s">
        <v>237</v>
      </c>
      <c r="K77" s="198" t="s">
        <v>237</v>
      </c>
      <c r="L77" s="198" t="s">
        <v>237</v>
      </c>
      <c r="Q77" s="53"/>
      <c r="R77" s="53"/>
    </row>
    <row r="78" spans="2:18" ht="15" hidden="1" customHeight="1" outlineLevel="1">
      <c r="B78" s="376" t="s">
        <v>520</v>
      </c>
      <c r="C78" s="76" t="s">
        <v>237</v>
      </c>
      <c r="D78" s="76" t="s">
        <v>237</v>
      </c>
      <c r="E78" s="448" t="s">
        <v>237</v>
      </c>
      <c r="F78" s="131" t="s">
        <v>237</v>
      </c>
      <c r="G78" s="131" t="s">
        <v>237</v>
      </c>
      <c r="H78" s="131" t="s">
        <v>237</v>
      </c>
      <c r="I78" s="448" t="s">
        <v>237</v>
      </c>
      <c r="J78" s="131" t="s">
        <v>237</v>
      </c>
      <c r="K78" s="131" t="s">
        <v>237</v>
      </c>
      <c r="L78" s="131" t="s">
        <v>237</v>
      </c>
      <c r="Q78" s="53"/>
      <c r="R78" s="53"/>
    </row>
    <row r="79" spans="2:18" ht="15" hidden="1" customHeight="1" outlineLevel="1">
      <c r="B79" s="377" t="s">
        <v>520</v>
      </c>
      <c r="C79" s="74" t="s">
        <v>237</v>
      </c>
      <c r="D79" s="74" t="s">
        <v>237</v>
      </c>
      <c r="E79" s="449" t="s">
        <v>237</v>
      </c>
      <c r="F79" s="198" t="s">
        <v>237</v>
      </c>
      <c r="G79" s="198" t="s">
        <v>237</v>
      </c>
      <c r="H79" s="198" t="s">
        <v>237</v>
      </c>
      <c r="I79" s="449" t="s">
        <v>237</v>
      </c>
      <c r="J79" s="198" t="s">
        <v>237</v>
      </c>
      <c r="K79" s="198" t="s">
        <v>237</v>
      </c>
      <c r="L79" s="198" t="s">
        <v>237</v>
      </c>
      <c r="Q79" s="53"/>
      <c r="R79" s="53"/>
    </row>
    <row r="80" spans="2:18" ht="15" hidden="1" customHeight="1" outlineLevel="1">
      <c r="B80" s="376" t="s">
        <v>520</v>
      </c>
      <c r="C80" s="76" t="s">
        <v>237</v>
      </c>
      <c r="D80" s="76" t="s">
        <v>237</v>
      </c>
      <c r="E80" s="448" t="s">
        <v>237</v>
      </c>
      <c r="F80" s="131" t="s">
        <v>237</v>
      </c>
      <c r="G80" s="131" t="s">
        <v>237</v>
      </c>
      <c r="H80" s="131" t="s">
        <v>237</v>
      </c>
      <c r="I80" s="448" t="s">
        <v>237</v>
      </c>
      <c r="J80" s="131" t="s">
        <v>237</v>
      </c>
      <c r="K80" s="131" t="s">
        <v>237</v>
      </c>
      <c r="L80" s="131" t="s">
        <v>237</v>
      </c>
      <c r="Q80" s="53"/>
      <c r="R80" s="53"/>
    </row>
    <row r="81" spans="2:18" ht="15" hidden="1" customHeight="1" outlineLevel="1">
      <c r="B81" s="377" t="s">
        <v>520</v>
      </c>
      <c r="C81" s="74" t="s">
        <v>237</v>
      </c>
      <c r="D81" s="74" t="s">
        <v>237</v>
      </c>
      <c r="E81" s="449" t="s">
        <v>237</v>
      </c>
      <c r="F81" s="198" t="s">
        <v>237</v>
      </c>
      <c r="G81" s="198" t="s">
        <v>237</v>
      </c>
      <c r="H81" s="198" t="s">
        <v>237</v>
      </c>
      <c r="I81" s="449" t="s">
        <v>237</v>
      </c>
      <c r="J81" s="198" t="s">
        <v>237</v>
      </c>
      <c r="K81" s="198" t="s">
        <v>237</v>
      </c>
      <c r="L81" s="198" t="s">
        <v>237</v>
      </c>
      <c r="Q81" s="53"/>
      <c r="R81" s="53"/>
    </row>
    <row r="82" spans="2:18" ht="15" hidden="1" customHeight="1" outlineLevel="1">
      <c r="B82" s="376" t="s">
        <v>520</v>
      </c>
      <c r="C82" s="76" t="s">
        <v>237</v>
      </c>
      <c r="D82" s="76" t="s">
        <v>237</v>
      </c>
      <c r="E82" s="448" t="s">
        <v>237</v>
      </c>
      <c r="F82" s="131" t="s">
        <v>237</v>
      </c>
      <c r="G82" s="131" t="s">
        <v>237</v>
      </c>
      <c r="H82" s="131" t="s">
        <v>237</v>
      </c>
      <c r="I82" s="448" t="s">
        <v>237</v>
      </c>
      <c r="J82" s="131" t="s">
        <v>237</v>
      </c>
      <c r="K82" s="131" t="s">
        <v>237</v>
      </c>
      <c r="L82" s="131" t="s">
        <v>237</v>
      </c>
      <c r="Q82" s="53"/>
      <c r="R82" s="53"/>
    </row>
    <row r="83" spans="2:18" ht="15" hidden="1" customHeight="1" outlineLevel="1">
      <c r="B83" s="377" t="s">
        <v>520</v>
      </c>
      <c r="C83" s="74" t="s">
        <v>237</v>
      </c>
      <c r="D83" s="74" t="s">
        <v>237</v>
      </c>
      <c r="E83" s="449" t="s">
        <v>237</v>
      </c>
      <c r="F83" s="198" t="s">
        <v>237</v>
      </c>
      <c r="G83" s="198" t="s">
        <v>237</v>
      </c>
      <c r="H83" s="198" t="s">
        <v>237</v>
      </c>
      <c r="I83" s="449" t="s">
        <v>237</v>
      </c>
      <c r="J83" s="198" t="s">
        <v>237</v>
      </c>
      <c r="K83" s="198" t="s">
        <v>237</v>
      </c>
      <c r="L83" s="198" t="s">
        <v>237</v>
      </c>
      <c r="Q83" s="53"/>
      <c r="R83" s="53"/>
    </row>
    <row r="84" spans="2:18" ht="15" hidden="1" customHeight="1" outlineLevel="1">
      <c r="B84" s="376" t="s">
        <v>520</v>
      </c>
      <c r="C84" s="76" t="s">
        <v>237</v>
      </c>
      <c r="D84" s="76" t="s">
        <v>237</v>
      </c>
      <c r="E84" s="448" t="s">
        <v>237</v>
      </c>
      <c r="F84" s="131" t="s">
        <v>237</v>
      </c>
      <c r="G84" s="131" t="s">
        <v>237</v>
      </c>
      <c r="H84" s="131" t="s">
        <v>237</v>
      </c>
      <c r="I84" s="448" t="s">
        <v>237</v>
      </c>
      <c r="J84" s="131" t="s">
        <v>237</v>
      </c>
      <c r="K84" s="131" t="s">
        <v>237</v>
      </c>
      <c r="L84" s="131" t="s">
        <v>237</v>
      </c>
      <c r="Q84" s="53"/>
      <c r="R84" s="53"/>
    </row>
    <row r="85" spans="2:18" ht="15" hidden="1" customHeight="1" outlineLevel="1">
      <c r="B85" s="377" t="s">
        <v>520</v>
      </c>
      <c r="C85" s="74" t="s">
        <v>237</v>
      </c>
      <c r="D85" s="74" t="s">
        <v>237</v>
      </c>
      <c r="E85" s="449" t="s">
        <v>237</v>
      </c>
      <c r="F85" s="198" t="s">
        <v>237</v>
      </c>
      <c r="G85" s="198" t="s">
        <v>237</v>
      </c>
      <c r="H85" s="198" t="s">
        <v>237</v>
      </c>
      <c r="I85" s="449" t="s">
        <v>237</v>
      </c>
      <c r="J85" s="198" t="s">
        <v>237</v>
      </c>
      <c r="K85" s="198" t="s">
        <v>237</v>
      </c>
      <c r="L85" s="198" t="s">
        <v>237</v>
      </c>
      <c r="Q85" s="53"/>
      <c r="R85" s="53"/>
    </row>
    <row r="86" spans="2:18" ht="15.75" hidden="1" customHeight="1" outlineLevel="1">
      <c r="B86" s="376" t="s">
        <v>520</v>
      </c>
      <c r="C86" s="76" t="s">
        <v>237</v>
      </c>
      <c r="D86" s="76" t="s">
        <v>237</v>
      </c>
      <c r="E86" s="448" t="s">
        <v>237</v>
      </c>
      <c r="F86" s="131" t="s">
        <v>237</v>
      </c>
      <c r="G86" s="131" t="s">
        <v>237</v>
      </c>
      <c r="H86" s="131" t="s">
        <v>237</v>
      </c>
      <c r="I86" s="448" t="s">
        <v>237</v>
      </c>
      <c r="J86" s="131" t="s">
        <v>237</v>
      </c>
      <c r="K86" s="131" t="s">
        <v>237</v>
      </c>
      <c r="L86" s="131" t="s">
        <v>237</v>
      </c>
      <c r="Q86" s="53"/>
      <c r="R86" s="53"/>
    </row>
    <row r="87" spans="2:18" ht="15" hidden="1" customHeight="1" outlineLevel="1">
      <c r="B87" s="377" t="s">
        <v>520</v>
      </c>
      <c r="C87" s="74" t="s">
        <v>237</v>
      </c>
      <c r="D87" s="74" t="s">
        <v>237</v>
      </c>
      <c r="E87" s="449" t="s">
        <v>237</v>
      </c>
      <c r="F87" s="198" t="s">
        <v>237</v>
      </c>
      <c r="G87" s="198" t="s">
        <v>237</v>
      </c>
      <c r="H87" s="198" t="s">
        <v>237</v>
      </c>
      <c r="I87" s="449" t="s">
        <v>237</v>
      </c>
      <c r="J87" s="198" t="s">
        <v>237</v>
      </c>
      <c r="K87" s="198" t="s">
        <v>237</v>
      </c>
      <c r="L87" s="198" t="s">
        <v>237</v>
      </c>
      <c r="Q87" s="53"/>
      <c r="R87" s="53"/>
    </row>
    <row r="88" spans="2:18" ht="15" hidden="1" customHeight="1" outlineLevel="1">
      <c r="B88" s="376" t="s">
        <v>520</v>
      </c>
      <c r="C88" s="76" t="s">
        <v>237</v>
      </c>
      <c r="D88" s="76" t="s">
        <v>237</v>
      </c>
      <c r="E88" s="448" t="s">
        <v>237</v>
      </c>
      <c r="F88" s="131" t="s">
        <v>237</v>
      </c>
      <c r="G88" s="131" t="s">
        <v>237</v>
      </c>
      <c r="H88" s="131" t="s">
        <v>237</v>
      </c>
      <c r="I88" s="448" t="s">
        <v>237</v>
      </c>
      <c r="J88" s="131" t="s">
        <v>237</v>
      </c>
      <c r="K88" s="131" t="s">
        <v>237</v>
      </c>
      <c r="L88" s="131" t="s">
        <v>237</v>
      </c>
      <c r="Q88" s="53"/>
      <c r="R88" s="53"/>
    </row>
    <row r="89" spans="2:18" ht="15" hidden="1" customHeight="1" outlineLevel="1">
      <c r="B89" s="377" t="s">
        <v>520</v>
      </c>
      <c r="C89" s="74" t="s">
        <v>237</v>
      </c>
      <c r="D89" s="74" t="s">
        <v>237</v>
      </c>
      <c r="E89" s="449" t="s">
        <v>237</v>
      </c>
      <c r="F89" s="198" t="s">
        <v>237</v>
      </c>
      <c r="G89" s="198" t="s">
        <v>237</v>
      </c>
      <c r="H89" s="198" t="s">
        <v>237</v>
      </c>
      <c r="I89" s="449" t="s">
        <v>237</v>
      </c>
      <c r="J89" s="198" t="s">
        <v>237</v>
      </c>
      <c r="K89" s="198" t="s">
        <v>237</v>
      </c>
      <c r="L89" s="198" t="s">
        <v>237</v>
      </c>
      <c r="Q89" s="53"/>
      <c r="R89" s="53"/>
    </row>
    <row r="90" spans="2:18" ht="15" hidden="1" customHeight="1" outlineLevel="1">
      <c r="B90" s="376" t="s">
        <v>520</v>
      </c>
      <c r="C90" s="76" t="s">
        <v>237</v>
      </c>
      <c r="D90" s="76" t="s">
        <v>237</v>
      </c>
      <c r="E90" s="448" t="s">
        <v>237</v>
      </c>
      <c r="F90" s="131" t="s">
        <v>237</v>
      </c>
      <c r="G90" s="131" t="s">
        <v>237</v>
      </c>
      <c r="H90" s="131" t="s">
        <v>237</v>
      </c>
      <c r="I90" s="448" t="s">
        <v>237</v>
      </c>
      <c r="J90" s="131" t="s">
        <v>237</v>
      </c>
      <c r="K90" s="131" t="s">
        <v>237</v>
      </c>
      <c r="L90" s="131" t="s">
        <v>237</v>
      </c>
      <c r="Q90" s="53"/>
      <c r="R90" s="53"/>
    </row>
    <row r="91" spans="2:18" ht="15" hidden="1" customHeight="1" outlineLevel="1">
      <c r="B91" s="377" t="s">
        <v>520</v>
      </c>
      <c r="C91" s="74" t="s">
        <v>237</v>
      </c>
      <c r="D91" s="74" t="s">
        <v>237</v>
      </c>
      <c r="E91" s="449" t="s">
        <v>237</v>
      </c>
      <c r="F91" s="198" t="s">
        <v>237</v>
      </c>
      <c r="G91" s="198" t="s">
        <v>237</v>
      </c>
      <c r="H91" s="198" t="s">
        <v>237</v>
      </c>
      <c r="I91" s="449" t="s">
        <v>237</v>
      </c>
      <c r="J91" s="198" t="s">
        <v>237</v>
      </c>
      <c r="K91" s="198" t="s">
        <v>237</v>
      </c>
      <c r="L91" s="198" t="s">
        <v>237</v>
      </c>
      <c r="Q91" s="53"/>
      <c r="R91" s="53"/>
    </row>
    <row r="92" spans="2:18" ht="15" hidden="1" customHeight="1" outlineLevel="1">
      <c r="B92" s="376" t="s">
        <v>520</v>
      </c>
      <c r="C92" s="76" t="s">
        <v>237</v>
      </c>
      <c r="D92" s="76" t="s">
        <v>237</v>
      </c>
      <c r="E92" s="448" t="s">
        <v>237</v>
      </c>
      <c r="F92" s="131" t="s">
        <v>237</v>
      </c>
      <c r="G92" s="131" t="s">
        <v>237</v>
      </c>
      <c r="H92" s="131" t="s">
        <v>237</v>
      </c>
      <c r="I92" s="448" t="s">
        <v>237</v>
      </c>
      <c r="J92" s="131" t="s">
        <v>237</v>
      </c>
      <c r="K92" s="131" t="s">
        <v>237</v>
      </c>
      <c r="L92" s="131" t="s">
        <v>237</v>
      </c>
      <c r="Q92" s="53"/>
      <c r="R92" s="53"/>
    </row>
    <row r="93" spans="2:18" ht="15" hidden="1" customHeight="1" outlineLevel="1">
      <c r="B93" s="376" t="s">
        <v>520</v>
      </c>
      <c r="C93" s="76" t="s">
        <v>237</v>
      </c>
      <c r="D93" s="76" t="s">
        <v>237</v>
      </c>
      <c r="E93" s="448" t="s">
        <v>237</v>
      </c>
      <c r="F93" s="131" t="s">
        <v>237</v>
      </c>
      <c r="G93" s="131" t="s">
        <v>237</v>
      </c>
      <c r="H93" s="131" t="s">
        <v>237</v>
      </c>
      <c r="I93" s="448" t="s">
        <v>237</v>
      </c>
      <c r="J93" s="131" t="s">
        <v>237</v>
      </c>
      <c r="K93" s="131" t="s">
        <v>237</v>
      </c>
      <c r="L93" s="131" t="s">
        <v>237</v>
      </c>
      <c r="Q93" s="53"/>
      <c r="R93" s="53"/>
    </row>
    <row r="94" spans="2:18" ht="15" hidden="1" customHeight="1" outlineLevel="1">
      <c r="B94" s="376" t="s">
        <v>520</v>
      </c>
      <c r="C94" s="76" t="s">
        <v>237</v>
      </c>
      <c r="D94" s="76" t="s">
        <v>237</v>
      </c>
      <c r="E94" s="448" t="s">
        <v>237</v>
      </c>
      <c r="F94" s="131" t="s">
        <v>237</v>
      </c>
      <c r="G94" s="131" t="s">
        <v>237</v>
      </c>
      <c r="H94" s="131" t="s">
        <v>237</v>
      </c>
      <c r="I94" s="448" t="s">
        <v>237</v>
      </c>
      <c r="J94" s="131" t="s">
        <v>237</v>
      </c>
      <c r="K94" s="131" t="s">
        <v>237</v>
      </c>
      <c r="L94" s="131" t="s">
        <v>237</v>
      </c>
      <c r="Q94" s="53"/>
      <c r="R94" s="53"/>
    </row>
    <row r="95" spans="2:18" ht="15" hidden="1" customHeight="1" outlineLevel="1">
      <c r="B95" s="376" t="s">
        <v>520</v>
      </c>
      <c r="C95" s="76" t="s">
        <v>237</v>
      </c>
      <c r="D95" s="76" t="s">
        <v>237</v>
      </c>
      <c r="E95" s="448" t="s">
        <v>237</v>
      </c>
      <c r="F95" s="131" t="s">
        <v>237</v>
      </c>
      <c r="G95" s="131" t="s">
        <v>237</v>
      </c>
      <c r="H95" s="131" t="s">
        <v>237</v>
      </c>
      <c r="I95" s="448" t="s">
        <v>237</v>
      </c>
      <c r="J95" s="131" t="s">
        <v>237</v>
      </c>
      <c r="K95" s="131" t="s">
        <v>237</v>
      </c>
      <c r="L95" s="131" t="s">
        <v>237</v>
      </c>
      <c r="Q95" s="53"/>
      <c r="R95" s="53"/>
    </row>
    <row r="96" spans="2:18" ht="15" hidden="1" customHeight="1" outlineLevel="1">
      <c r="B96" s="376" t="s">
        <v>520</v>
      </c>
      <c r="C96" s="76" t="s">
        <v>237</v>
      </c>
      <c r="D96" s="76" t="s">
        <v>237</v>
      </c>
      <c r="E96" s="448" t="s">
        <v>237</v>
      </c>
      <c r="F96" s="131" t="s">
        <v>237</v>
      </c>
      <c r="G96" s="131" t="s">
        <v>237</v>
      </c>
      <c r="H96" s="131" t="s">
        <v>237</v>
      </c>
      <c r="I96" s="448" t="s">
        <v>237</v>
      </c>
      <c r="J96" s="131" t="s">
        <v>237</v>
      </c>
      <c r="K96" s="131" t="s">
        <v>237</v>
      </c>
      <c r="L96" s="131" t="s">
        <v>237</v>
      </c>
      <c r="Q96" s="53"/>
      <c r="R96" s="53"/>
    </row>
    <row r="97" spans="2:18" ht="15" hidden="1" customHeight="1" outlineLevel="1">
      <c r="B97" s="376" t="s">
        <v>520</v>
      </c>
      <c r="C97" s="76" t="s">
        <v>237</v>
      </c>
      <c r="D97" s="76" t="s">
        <v>237</v>
      </c>
      <c r="E97" s="448" t="s">
        <v>237</v>
      </c>
      <c r="F97" s="131" t="s">
        <v>237</v>
      </c>
      <c r="G97" s="131" t="s">
        <v>237</v>
      </c>
      <c r="H97" s="131" t="s">
        <v>237</v>
      </c>
      <c r="I97" s="448" t="s">
        <v>237</v>
      </c>
      <c r="J97" s="131" t="s">
        <v>237</v>
      </c>
      <c r="K97" s="131" t="s">
        <v>237</v>
      </c>
      <c r="L97" s="131" t="s">
        <v>237</v>
      </c>
      <c r="Q97" s="53"/>
      <c r="R97" s="53"/>
    </row>
    <row r="98" spans="2:18" ht="15" hidden="1" customHeight="1" outlineLevel="1">
      <c r="B98" s="376" t="s">
        <v>520</v>
      </c>
      <c r="C98" s="76" t="s">
        <v>237</v>
      </c>
      <c r="D98" s="76" t="s">
        <v>237</v>
      </c>
      <c r="E98" s="448" t="s">
        <v>237</v>
      </c>
      <c r="F98" s="131" t="s">
        <v>237</v>
      </c>
      <c r="G98" s="131" t="s">
        <v>237</v>
      </c>
      <c r="H98" s="131" t="s">
        <v>237</v>
      </c>
      <c r="I98" s="448" t="s">
        <v>237</v>
      </c>
      <c r="J98" s="131" t="s">
        <v>237</v>
      </c>
      <c r="K98" s="131" t="s">
        <v>237</v>
      </c>
      <c r="L98" s="131" t="s">
        <v>237</v>
      </c>
      <c r="Q98" s="53"/>
      <c r="R98" s="53"/>
    </row>
    <row r="99" spans="2:18" ht="15" hidden="1" customHeight="1" outlineLevel="1">
      <c r="B99" s="376" t="s">
        <v>520</v>
      </c>
      <c r="C99" s="76" t="s">
        <v>237</v>
      </c>
      <c r="D99" s="76" t="s">
        <v>237</v>
      </c>
      <c r="E99" s="448" t="s">
        <v>237</v>
      </c>
      <c r="F99" s="131" t="s">
        <v>237</v>
      </c>
      <c r="G99" s="131" t="s">
        <v>237</v>
      </c>
      <c r="H99" s="131" t="s">
        <v>237</v>
      </c>
      <c r="I99" s="448" t="s">
        <v>237</v>
      </c>
      <c r="J99" s="131" t="s">
        <v>237</v>
      </c>
      <c r="K99" s="131" t="s">
        <v>237</v>
      </c>
      <c r="L99" s="131" t="s">
        <v>237</v>
      </c>
      <c r="Q99" s="53"/>
      <c r="R99" s="53"/>
    </row>
    <row r="100" spans="2:18" ht="15" hidden="1" customHeight="1" outlineLevel="1">
      <c r="B100" s="376" t="s">
        <v>520</v>
      </c>
      <c r="C100" s="76" t="s">
        <v>237</v>
      </c>
      <c r="D100" s="76" t="s">
        <v>237</v>
      </c>
      <c r="E100" s="448" t="s">
        <v>237</v>
      </c>
      <c r="F100" s="131" t="s">
        <v>237</v>
      </c>
      <c r="G100" s="131" t="s">
        <v>237</v>
      </c>
      <c r="H100" s="131" t="s">
        <v>237</v>
      </c>
      <c r="I100" s="448" t="s">
        <v>237</v>
      </c>
      <c r="J100" s="131" t="s">
        <v>237</v>
      </c>
      <c r="K100" s="131" t="s">
        <v>237</v>
      </c>
      <c r="L100" s="131" t="s">
        <v>237</v>
      </c>
      <c r="Q100" s="53"/>
      <c r="R100" s="53"/>
    </row>
    <row r="101" spans="2:18" ht="15" hidden="1" customHeight="1" outlineLevel="1">
      <c r="B101" s="376" t="s">
        <v>520</v>
      </c>
      <c r="C101" s="76" t="s">
        <v>237</v>
      </c>
      <c r="D101" s="76" t="s">
        <v>237</v>
      </c>
      <c r="E101" s="448" t="s">
        <v>237</v>
      </c>
      <c r="F101" s="131" t="s">
        <v>237</v>
      </c>
      <c r="G101" s="131" t="s">
        <v>237</v>
      </c>
      <c r="H101" s="131" t="s">
        <v>237</v>
      </c>
      <c r="I101" s="448" t="s">
        <v>237</v>
      </c>
      <c r="J101" s="131" t="s">
        <v>237</v>
      </c>
      <c r="K101" s="131" t="s">
        <v>237</v>
      </c>
      <c r="L101" s="131" t="s">
        <v>237</v>
      </c>
      <c r="Q101" s="53"/>
      <c r="R101" s="53"/>
    </row>
    <row r="102" spans="2:18" ht="15" hidden="1" customHeight="1" outlineLevel="1">
      <c r="B102" s="376" t="s">
        <v>520</v>
      </c>
      <c r="C102" s="76" t="s">
        <v>237</v>
      </c>
      <c r="D102" s="76" t="s">
        <v>237</v>
      </c>
      <c r="E102" s="448" t="s">
        <v>237</v>
      </c>
      <c r="F102" s="131" t="s">
        <v>237</v>
      </c>
      <c r="G102" s="131" t="s">
        <v>237</v>
      </c>
      <c r="H102" s="131" t="s">
        <v>237</v>
      </c>
      <c r="I102" s="448" t="s">
        <v>237</v>
      </c>
      <c r="J102" s="131" t="s">
        <v>237</v>
      </c>
      <c r="K102" s="131" t="s">
        <v>237</v>
      </c>
      <c r="L102" s="131" t="s">
        <v>237</v>
      </c>
      <c r="Q102" s="53"/>
      <c r="R102" s="53"/>
    </row>
    <row r="103" spans="2:18" ht="15" hidden="1" customHeight="1" outlineLevel="1">
      <c r="B103" s="376" t="s">
        <v>520</v>
      </c>
      <c r="C103" s="76" t="s">
        <v>237</v>
      </c>
      <c r="D103" s="76" t="s">
        <v>237</v>
      </c>
      <c r="E103" s="448" t="s">
        <v>237</v>
      </c>
      <c r="F103" s="131" t="s">
        <v>237</v>
      </c>
      <c r="G103" s="131" t="s">
        <v>237</v>
      </c>
      <c r="H103" s="131" t="s">
        <v>237</v>
      </c>
      <c r="I103" s="448" t="s">
        <v>237</v>
      </c>
      <c r="J103" s="131" t="s">
        <v>237</v>
      </c>
      <c r="K103" s="131" t="s">
        <v>237</v>
      </c>
      <c r="L103" s="131" t="s">
        <v>237</v>
      </c>
      <c r="Q103" s="53"/>
      <c r="R103" s="53"/>
    </row>
    <row r="104" spans="2:18" ht="15" hidden="1" customHeight="1" outlineLevel="1">
      <c r="B104" s="376" t="s">
        <v>520</v>
      </c>
      <c r="C104" s="76" t="s">
        <v>237</v>
      </c>
      <c r="D104" s="76" t="s">
        <v>237</v>
      </c>
      <c r="E104" s="448" t="s">
        <v>237</v>
      </c>
      <c r="F104" s="131" t="s">
        <v>237</v>
      </c>
      <c r="G104" s="131" t="s">
        <v>237</v>
      </c>
      <c r="H104" s="131" t="s">
        <v>237</v>
      </c>
      <c r="I104" s="448" t="s">
        <v>237</v>
      </c>
      <c r="J104" s="131" t="s">
        <v>237</v>
      </c>
      <c r="K104" s="131" t="s">
        <v>237</v>
      </c>
      <c r="L104" s="131" t="s">
        <v>237</v>
      </c>
      <c r="Q104" s="53"/>
      <c r="R104" s="53"/>
    </row>
    <row r="105" spans="2:18" ht="15" hidden="1" customHeight="1" outlineLevel="1">
      <c r="B105" s="376" t="s">
        <v>520</v>
      </c>
      <c r="C105" s="76" t="s">
        <v>237</v>
      </c>
      <c r="D105" s="76" t="s">
        <v>237</v>
      </c>
      <c r="E105" s="448" t="s">
        <v>237</v>
      </c>
      <c r="F105" s="131" t="s">
        <v>237</v>
      </c>
      <c r="G105" s="131" t="s">
        <v>237</v>
      </c>
      <c r="H105" s="131" t="s">
        <v>237</v>
      </c>
      <c r="I105" s="448" t="s">
        <v>237</v>
      </c>
      <c r="J105" s="131" t="s">
        <v>237</v>
      </c>
      <c r="K105" s="131" t="s">
        <v>237</v>
      </c>
      <c r="L105" s="131" t="s">
        <v>237</v>
      </c>
      <c r="Q105" s="53"/>
      <c r="R105" s="53"/>
    </row>
    <row r="106" spans="2:18" ht="15" hidden="1" customHeight="1" outlineLevel="1">
      <c r="B106" s="376" t="s">
        <v>520</v>
      </c>
      <c r="C106" s="76" t="s">
        <v>237</v>
      </c>
      <c r="D106" s="76" t="s">
        <v>237</v>
      </c>
      <c r="E106" s="448" t="s">
        <v>237</v>
      </c>
      <c r="F106" s="131" t="s">
        <v>237</v>
      </c>
      <c r="G106" s="131" t="s">
        <v>237</v>
      </c>
      <c r="H106" s="131" t="s">
        <v>237</v>
      </c>
      <c r="I106" s="448" t="s">
        <v>237</v>
      </c>
      <c r="J106" s="131" t="s">
        <v>237</v>
      </c>
      <c r="K106" s="131" t="s">
        <v>237</v>
      </c>
      <c r="L106" s="131" t="s">
        <v>237</v>
      </c>
      <c r="Q106" s="53"/>
      <c r="R106" s="53"/>
    </row>
    <row r="107" spans="2:18" ht="15" hidden="1" customHeight="1" outlineLevel="1">
      <c r="B107" s="376" t="s">
        <v>520</v>
      </c>
      <c r="C107" s="76" t="s">
        <v>237</v>
      </c>
      <c r="D107" s="76" t="s">
        <v>237</v>
      </c>
      <c r="E107" s="448" t="s">
        <v>237</v>
      </c>
      <c r="F107" s="131" t="s">
        <v>237</v>
      </c>
      <c r="G107" s="131" t="s">
        <v>237</v>
      </c>
      <c r="H107" s="131" t="s">
        <v>237</v>
      </c>
      <c r="I107" s="448" t="s">
        <v>237</v>
      </c>
      <c r="J107" s="131" t="s">
        <v>237</v>
      </c>
      <c r="K107" s="131" t="s">
        <v>237</v>
      </c>
      <c r="L107" s="131" t="s">
        <v>237</v>
      </c>
      <c r="Q107" s="53"/>
      <c r="R107" s="53"/>
    </row>
    <row r="108" spans="2:18" ht="15" hidden="1" customHeight="1" outlineLevel="1">
      <c r="B108" s="376" t="s">
        <v>520</v>
      </c>
      <c r="C108" s="76" t="s">
        <v>237</v>
      </c>
      <c r="D108" s="76" t="s">
        <v>237</v>
      </c>
      <c r="E108" s="448" t="s">
        <v>237</v>
      </c>
      <c r="F108" s="131" t="s">
        <v>237</v>
      </c>
      <c r="G108" s="131" t="s">
        <v>237</v>
      </c>
      <c r="H108" s="131" t="s">
        <v>237</v>
      </c>
      <c r="I108" s="448" t="s">
        <v>237</v>
      </c>
      <c r="J108" s="131" t="s">
        <v>237</v>
      </c>
      <c r="K108" s="131" t="s">
        <v>237</v>
      </c>
      <c r="L108" s="131" t="s">
        <v>237</v>
      </c>
      <c r="Q108" s="53"/>
      <c r="R108" s="53"/>
    </row>
    <row r="109" spans="2:18" ht="15" hidden="1" customHeight="1" outlineLevel="1">
      <c r="B109" s="376" t="s">
        <v>520</v>
      </c>
      <c r="C109" s="76" t="s">
        <v>237</v>
      </c>
      <c r="D109" s="76" t="s">
        <v>237</v>
      </c>
      <c r="E109" s="448" t="s">
        <v>237</v>
      </c>
      <c r="F109" s="131" t="s">
        <v>237</v>
      </c>
      <c r="G109" s="131" t="s">
        <v>237</v>
      </c>
      <c r="H109" s="131" t="s">
        <v>237</v>
      </c>
      <c r="I109" s="448" t="s">
        <v>237</v>
      </c>
      <c r="J109" s="131" t="s">
        <v>237</v>
      </c>
      <c r="K109" s="131" t="s">
        <v>237</v>
      </c>
      <c r="L109" s="131" t="s">
        <v>237</v>
      </c>
      <c r="Q109" s="53"/>
      <c r="R109" s="53"/>
    </row>
    <row r="110" spans="2:18" ht="15" hidden="1" customHeight="1" outlineLevel="1">
      <c r="B110" s="376" t="s">
        <v>520</v>
      </c>
      <c r="C110" s="76" t="s">
        <v>237</v>
      </c>
      <c r="D110" s="76" t="s">
        <v>237</v>
      </c>
      <c r="E110" s="448" t="s">
        <v>237</v>
      </c>
      <c r="F110" s="131" t="s">
        <v>237</v>
      </c>
      <c r="G110" s="131" t="s">
        <v>237</v>
      </c>
      <c r="H110" s="131" t="s">
        <v>237</v>
      </c>
      <c r="I110" s="448" t="s">
        <v>237</v>
      </c>
      <c r="J110" s="131" t="s">
        <v>237</v>
      </c>
      <c r="K110" s="131" t="s">
        <v>237</v>
      </c>
      <c r="L110" s="131" t="s">
        <v>237</v>
      </c>
      <c r="Q110" s="53"/>
      <c r="R110" s="53"/>
    </row>
    <row r="111" spans="2:18" ht="15" hidden="1" customHeight="1" outlineLevel="1">
      <c r="B111" s="376" t="s">
        <v>520</v>
      </c>
      <c r="C111" s="76" t="s">
        <v>237</v>
      </c>
      <c r="D111" s="76" t="s">
        <v>237</v>
      </c>
      <c r="E111" s="448" t="s">
        <v>237</v>
      </c>
      <c r="F111" s="131" t="s">
        <v>237</v>
      </c>
      <c r="G111" s="131" t="s">
        <v>237</v>
      </c>
      <c r="H111" s="131" t="s">
        <v>237</v>
      </c>
      <c r="I111" s="448" t="s">
        <v>237</v>
      </c>
      <c r="J111" s="131" t="s">
        <v>237</v>
      </c>
      <c r="K111" s="131" t="s">
        <v>237</v>
      </c>
      <c r="L111" s="131" t="s">
        <v>237</v>
      </c>
      <c r="Q111" s="53"/>
      <c r="R111" s="53"/>
    </row>
    <row r="112" spans="2:18" ht="15" hidden="1" customHeight="1" outlineLevel="1">
      <c r="B112" s="376" t="s">
        <v>520</v>
      </c>
      <c r="C112" s="76" t="s">
        <v>237</v>
      </c>
      <c r="D112" s="76" t="s">
        <v>237</v>
      </c>
      <c r="E112" s="448" t="s">
        <v>237</v>
      </c>
      <c r="F112" s="131" t="s">
        <v>237</v>
      </c>
      <c r="G112" s="131" t="s">
        <v>237</v>
      </c>
      <c r="H112" s="131" t="s">
        <v>237</v>
      </c>
      <c r="I112" s="448" t="s">
        <v>237</v>
      </c>
      <c r="J112" s="131" t="s">
        <v>237</v>
      </c>
      <c r="K112" s="131" t="s">
        <v>237</v>
      </c>
      <c r="L112" s="131" t="s">
        <v>237</v>
      </c>
      <c r="Q112" s="53"/>
      <c r="R112" s="53"/>
    </row>
    <row r="113" spans="2:18" ht="15" hidden="1" customHeight="1" outlineLevel="1">
      <c r="B113" s="376" t="s">
        <v>520</v>
      </c>
      <c r="C113" s="76" t="s">
        <v>237</v>
      </c>
      <c r="D113" s="76" t="s">
        <v>237</v>
      </c>
      <c r="E113" s="448" t="s">
        <v>237</v>
      </c>
      <c r="F113" s="131" t="s">
        <v>237</v>
      </c>
      <c r="G113" s="131" t="s">
        <v>237</v>
      </c>
      <c r="H113" s="131" t="s">
        <v>237</v>
      </c>
      <c r="I113" s="448" t="s">
        <v>237</v>
      </c>
      <c r="J113" s="131" t="s">
        <v>237</v>
      </c>
      <c r="K113" s="131" t="s">
        <v>237</v>
      </c>
      <c r="L113" s="131" t="s">
        <v>237</v>
      </c>
      <c r="Q113" s="53"/>
      <c r="R113" s="53"/>
    </row>
    <row r="114" spans="2:18" ht="15" hidden="1" customHeight="1" outlineLevel="1">
      <c r="B114" s="376" t="s">
        <v>520</v>
      </c>
      <c r="C114" s="76" t="s">
        <v>237</v>
      </c>
      <c r="D114" s="76" t="s">
        <v>237</v>
      </c>
      <c r="E114" s="448" t="s">
        <v>237</v>
      </c>
      <c r="F114" s="131" t="s">
        <v>237</v>
      </c>
      <c r="G114" s="131" t="s">
        <v>237</v>
      </c>
      <c r="H114" s="131" t="s">
        <v>237</v>
      </c>
      <c r="I114" s="448" t="s">
        <v>237</v>
      </c>
      <c r="J114" s="131" t="s">
        <v>237</v>
      </c>
      <c r="K114" s="131" t="s">
        <v>237</v>
      </c>
      <c r="L114" s="131" t="s">
        <v>237</v>
      </c>
      <c r="Q114" s="53"/>
      <c r="R114" s="53"/>
    </row>
    <row r="115" spans="2:18" ht="15" hidden="1" customHeight="1" outlineLevel="1">
      <c r="B115" s="376" t="s">
        <v>520</v>
      </c>
      <c r="C115" s="76" t="s">
        <v>237</v>
      </c>
      <c r="D115" s="76" t="s">
        <v>237</v>
      </c>
      <c r="E115" s="448" t="s">
        <v>237</v>
      </c>
      <c r="F115" s="131" t="s">
        <v>237</v>
      </c>
      <c r="G115" s="131" t="s">
        <v>237</v>
      </c>
      <c r="H115" s="131" t="s">
        <v>237</v>
      </c>
      <c r="I115" s="448" t="s">
        <v>237</v>
      </c>
      <c r="J115" s="131" t="s">
        <v>237</v>
      </c>
      <c r="K115" s="131" t="s">
        <v>237</v>
      </c>
      <c r="L115" s="131" t="s">
        <v>237</v>
      </c>
      <c r="Q115" s="53"/>
      <c r="R115" s="53"/>
    </row>
    <row r="116" spans="2:18" ht="15" hidden="1" customHeight="1" outlineLevel="1">
      <c r="B116" s="376" t="s">
        <v>520</v>
      </c>
      <c r="C116" s="76" t="s">
        <v>237</v>
      </c>
      <c r="D116" s="76" t="s">
        <v>237</v>
      </c>
      <c r="E116" s="448" t="s">
        <v>237</v>
      </c>
      <c r="F116" s="131" t="s">
        <v>237</v>
      </c>
      <c r="G116" s="131" t="s">
        <v>237</v>
      </c>
      <c r="H116" s="131" t="s">
        <v>237</v>
      </c>
      <c r="I116" s="448" t="s">
        <v>237</v>
      </c>
      <c r="J116" s="131" t="s">
        <v>237</v>
      </c>
      <c r="K116" s="131" t="s">
        <v>237</v>
      </c>
      <c r="L116" s="131" t="s">
        <v>237</v>
      </c>
      <c r="Q116" s="53"/>
      <c r="R116" s="53"/>
    </row>
    <row r="117" spans="2:18" ht="15" hidden="1" customHeight="1" outlineLevel="1">
      <c r="B117" s="376" t="s">
        <v>520</v>
      </c>
      <c r="C117" s="76" t="s">
        <v>237</v>
      </c>
      <c r="D117" s="76" t="s">
        <v>237</v>
      </c>
      <c r="E117" s="448" t="s">
        <v>237</v>
      </c>
      <c r="F117" s="131" t="s">
        <v>237</v>
      </c>
      <c r="G117" s="131" t="s">
        <v>237</v>
      </c>
      <c r="H117" s="131" t="s">
        <v>237</v>
      </c>
      <c r="I117" s="448" t="s">
        <v>237</v>
      </c>
      <c r="J117" s="131" t="s">
        <v>237</v>
      </c>
      <c r="K117" s="131" t="s">
        <v>237</v>
      </c>
      <c r="L117" s="131" t="s">
        <v>237</v>
      </c>
      <c r="Q117" s="53"/>
      <c r="R117" s="53"/>
    </row>
    <row r="118" spans="2:18" ht="15" hidden="1" customHeight="1" outlineLevel="1">
      <c r="B118" s="376" t="s">
        <v>520</v>
      </c>
      <c r="C118" s="76" t="s">
        <v>237</v>
      </c>
      <c r="D118" s="76" t="s">
        <v>237</v>
      </c>
      <c r="E118" s="448" t="s">
        <v>237</v>
      </c>
      <c r="F118" s="131" t="s">
        <v>237</v>
      </c>
      <c r="G118" s="131" t="s">
        <v>237</v>
      </c>
      <c r="H118" s="131" t="s">
        <v>237</v>
      </c>
      <c r="I118" s="448" t="s">
        <v>237</v>
      </c>
      <c r="J118" s="131" t="s">
        <v>237</v>
      </c>
      <c r="K118" s="131" t="s">
        <v>237</v>
      </c>
      <c r="L118" s="131" t="s">
        <v>237</v>
      </c>
      <c r="Q118" s="53"/>
      <c r="R118" s="53"/>
    </row>
    <row r="119" spans="2:18" ht="15" hidden="1" customHeight="1" outlineLevel="1">
      <c r="B119" s="376" t="s">
        <v>520</v>
      </c>
      <c r="C119" s="76" t="s">
        <v>237</v>
      </c>
      <c r="D119" s="76" t="s">
        <v>237</v>
      </c>
      <c r="E119" s="448" t="s">
        <v>237</v>
      </c>
      <c r="F119" s="131" t="s">
        <v>237</v>
      </c>
      <c r="G119" s="131" t="s">
        <v>237</v>
      </c>
      <c r="H119" s="131" t="s">
        <v>237</v>
      </c>
      <c r="I119" s="448" t="s">
        <v>237</v>
      </c>
      <c r="J119" s="131" t="s">
        <v>237</v>
      </c>
      <c r="K119" s="131" t="s">
        <v>237</v>
      </c>
      <c r="L119" s="131" t="s">
        <v>237</v>
      </c>
      <c r="Q119" s="53"/>
      <c r="R119" s="53"/>
    </row>
    <row r="120" spans="2:18" ht="15" hidden="1" customHeight="1" outlineLevel="1">
      <c r="B120" s="376" t="s">
        <v>520</v>
      </c>
      <c r="C120" s="76" t="s">
        <v>237</v>
      </c>
      <c r="D120" s="76" t="s">
        <v>237</v>
      </c>
      <c r="E120" s="448" t="s">
        <v>237</v>
      </c>
      <c r="F120" s="131" t="s">
        <v>237</v>
      </c>
      <c r="G120" s="131" t="s">
        <v>237</v>
      </c>
      <c r="H120" s="131" t="s">
        <v>237</v>
      </c>
      <c r="I120" s="448" t="s">
        <v>237</v>
      </c>
      <c r="J120" s="131" t="s">
        <v>237</v>
      </c>
      <c r="K120" s="131" t="s">
        <v>237</v>
      </c>
      <c r="L120" s="131" t="s">
        <v>237</v>
      </c>
      <c r="Q120" s="53"/>
      <c r="R120" s="53"/>
    </row>
    <row r="121" spans="2:18" ht="15" hidden="1" customHeight="1" outlineLevel="1">
      <c r="B121" s="376" t="s">
        <v>520</v>
      </c>
      <c r="C121" s="76" t="s">
        <v>237</v>
      </c>
      <c r="D121" s="76" t="s">
        <v>237</v>
      </c>
      <c r="E121" s="448" t="s">
        <v>237</v>
      </c>
      <c r="F121" s="131" t="s">
        <v>237</v>
      </c>
      <c r="G121" s="131" t="s">
        <v>237</v>
      </c>
      <c r="H121" s="131" t="s">
        <v>237</v>
      </c>
      <c r="I121" s="448" t="s">
        <v>237</v>
      </c>
      <c r="J121" s="131" t="s">
        <v>237</v>
      </c>
      <c r="K121" s="131" t="s">
        <v>237</v>
      </c>
      <c r="L121" s="131" t="s">
        <v>237</v>
      </c>
      <c r="Q121" s="53"/>
      <c r="R121" s="53"/>
    </row>
    <row r="122" spans="2:18" ht="15" hidden="1" customHeight="1" outlineLevel="1">
      <c r="B122" s="376" t="s">
        <v>520</v>
      </c>
      <c r="C122" s="76" t="s">
        <v>237</v>
      </c>
      <c r="D122" s="76" t="s">
        <v>237</v>
      </c>
      <c r="E122" s="448" t="s">
        <v>237</v>
      </c>
      <c r="F122" s="131" t="s">
        <v>237</v>
      </c>
      <c r="G122" s="131" t="s">
        <v>237</v>
      </c>
      <c r="H122" s="131" t="s">
        <v>237</v>
      </c>
      <c r="I122" s="448" t="s">
        <v>237</v>
      </c>
      <c r="J122" s="131" t="s">
        <v>237</v>
      </c>
      <c r="K122" s="131" t="s">
        <v>237</v>
      </c>
      <c r="L122" s="131" t="s">
        <v>237</v>
      </c>
      <c r="Q122" s="53"/>
      <c r="R122" s="53"/>
    </row>
    <row r="123" spans="2:18" ht="15" hidden="1" customHeight="1" outlineLevel="1">
      <c r="B123" s="376" t="s">
        <v>520</v>
      </c>
      <c r="C123" s="76" t="s">
        <v>237</v>
      </c>
      <c r="D123" s="76" t="s">
        <v>237</v>
      </c>
      <c r="E123" s="448" t="s">
        <v>237</v>
      </c>
      <c r="F123" s="131" t="s">
        <v>237</v>
      </c>
      <c r="G123" s="131" t="s">
        <v>237</v>
      </c>
      <c r="H123" s="131" t="s">
        <v>237</v>
      </c>
      <c r="I123" s="448" t="s">
        <v>237</v>
      </c>
      <c r="J123" s="131" t="s">
        <v>237</v>
      </c>
      <c r="K123" s="131" t="s">
        <v>237</v>
      </c>
      <c r="L123" s="131" t="s">
        <v>237</v>
      </c>
      <c r="Q123" s="53"/>
      <c r="R123" s="53"/>
    </row>
    <row r="124" spans="2:18" ht="15" hidden="1" customHeight="1" outlineLevel="1">
      <c r="B124" s="376" t="s">
        <v>520</v>
      </c>
      <c r="C124" s="76" t="s">
        <v>237</v>
      </c>
      <c r="D124" s="76" t="s">
        <v>237</v>
      </c>
      <c r="E124" s="448" t="s">
        <v>237</v>
      </c>
      <c r="F124" s="131" t="s">
        <v>237</v>
      </c>
      <c r="G124" s="131" t="s">
        <v>237</v>
      </c>
      <c r="H124" s="131" t="s">
        <v>237</v>
      </c>
      <c r="I124" s="448" t="s">
        <v>237</v>
      </c>
      <c r="J124" s="131" t="s">
        <v>237</v>
      </c>
      <c r="K124" s="131" t="s">
        <v>237</v>
      </c>
      <c r="L124" s="131" t="s">
        <v>237</v>
      </c>
      <c r="Q124" s="53"/>
      <c r="R124" s="53"/>
    </row>
    <row r="125" spans="2:18" ht="15" hidden="1" customHeight="1" outlineLevel="1">
      <c r="B125" s="376" t="s">
        <v>520</v>
      </c>
      <c r="C125" s="76" t="s">
        <v>237</v>
      </c>
      <c r="D125" s="76" t="s">
        <v>237</v>
      </c>
      <c r="E125" s="448" t="s">
        <v>237</v>
      </c>
      <c r="F125" s="131" t="s">
        <v>237</v>
      </c>
      <c r="G125" s="131" t="s">
        <v>237</v>
      </c>
      <c r="H125" s="131" t="s">
        <v>237</v>
      </c>
      <c r="I125" s="448" t="s">
        <v>237</v>
      </c>
      <c r="J125" s="131" t="s">
        <v>237</v>
      </c>
      <c r="K125" s="131" t="s">
        <v>237</v>
      </c>
      <c r="L125" s="131" t="s">
        <v>237</v>
      </c>
      <c r="Q125" s="53"/>
      <c r="R125" s="53"/>
    </row>
    <row r="126" spans="2:18" ht="15" hidden="1" customHeight="1" outlineLevel="1">
      <c r="B126" s="376" t="s">
        <v>520</v>
      </c>
      <c r="C126" s="76" t="s">
        <v>237</v>
      </c>
      <c r="D126" s="76" t="s">
        <v>237</v>
      </c>
      <c r="E126" s="448" t="s">
        <v>237</v>
      </c>
      <c r="F126" s="131" t="s">
        <v>237</v>
      </c>
      <c r="G126" s="131" t="s">
        <v>237</v>
      </c>
      <c r="H126" s="131" t="s">
        <v>237</v>
      </c>
      <c r="I126" s="448" t="s">
        <v>237</v>
      </c>
      <c r="J126" s="131" t="s">
        <v>237</v>
      </c>
      <c r="K126" s="131" t="s">
        <v>237</v>
      </c>
      <c r="L126" s="131" t="s">
        <v>237</v>
      </c>
      <c r="Q126" s="53"/>
      <c r="R126" s="53"/>
    </row>
    <row r="127" spans="2:18" ht="15" hidden="1" customHeight="1" outlineLevel="1">
      <c r="B127" s="376" t="s">
        <v>520</v>
      </c>
      <c r="C127" s="76" t="s">
        <v>237</v>
      </c>
      <c r="D127" s="76" t="s">
        <v>237</v>
      </c>
      <c r="E127" s="448" t="s">
        <v>237</v>
      </c>
      <c r="F127" s="131" t="s">
        <v>237</v>
      </c>
      <c r="G127" s="131" t="s">
        <v>237</v>
      </c>
      <c r="H127" s="131" t="s">
        <v>237</v>
      </c>
      <c r="I127" s="448" t="s">
        <v>237</v>
      </c>
      <c r="J127" s="131" t="s">
        <v>237</v>
      </c>
      <c r="K127" s="131" t="s">
        <v>237</v>
      </c>
      <c r="L127" s="131" t="s">
        <v>237</v>
      </c>
      <c r="Q127" s="53"/>
      <c r="R127" s="53"/>
    </row>
    <row r="128" spans="2:18" ht="15" hidden="1" customHeight="1" outlineLevel="1">
      <c r="B128" s="376" t="s">
        <v>520</v>
      </c>
      <c r="C128" s="76" t="s">
        <v>237</v>
      </c>
      <c r="D128" s="76" t="s">
        <v>237</v>
      </c>
      <c r="E128" s="448" t="s">
        <v>237</v>
      </c>
      <c r="F128" s="131" t="s">
        <v>237</v>
      </c>
      <c r="G128" s="131" t="s">
        <v>237</v>
      </c>
      <c r="H128" s="131" t="s">
        <v>237</v>
      </c>
      <c r="I128" s="448" t="s">
        <v>237</v>
      </c>
      <c r="J128" s="131" t="s">
        <v>237</v>
      </c>
      <c r="K128" s="131" t="s">
        <v>237</v>
      </c>
      <c r="L128" s="131" t="s">
        <v>237</v>
      </c>
      <c r="Q128" s="53"/>
      <c r="R128" s="53"/>
    </row>
    <row r="129" spans="2:18" ht="15" hidden="1" customHeight="1" outlineLevel="1">
      <c r="B129" s="376" t="s">
        <v>520</v>
      </c>
      <c r="C129" s="76" t="s">
        <v>237</v>
      </c>
      <c r="D129" s="76" t="s">
        <v>237</v>
      </c>
      <c r="E129" s="448" t="s">
        <v>237</v>
      </c>
      <c r="F129" s="131" t="s">
        <v>237</v>
      </c>
      <c r="G129" s="131" t="s">
        <v>237</v>
      </c>
      <c r="H129" s="131" t="s">
        <v>237</v>
      </c>
      <c r="I129" s="448" t="s">
        <v>237</v>
      </c>
      <c r="J129" s="131" t="s">
        <v>237</v>
      </c>
      <c r="K129" s="131" t="s">
        <v>237</v>
      </c>
      <c r="L129" s="131" t="s">
        <v>237</v>
      </c>
      <c r="Q129" s="53"/>
      <c r="R129" s="53"/>
    </row>
    <row r="130" spans="2:18" ht="15" hidden="1" customHeight="1" outlineLevel="1">
      <c r="B130" s="376" t="s">
        <v>520</v>
      </c>
      <c r="C130" s="76" t="s">
        <v>237</v>
      </c>
      <c r="D130" s="76" t="s">
        <v>237</v>
      </c>
      <c r="E130" s="448" t="s">
        <v>237</v>
      </c>
      <c r="F130" s="131" t="s">
        <v>237</v>
      </c>
      <c r="G130" s="131" t="s">
        <v>237</v>
      </c>
      <c r="H130" s="131" t="s">
        <v>237</v>
      </c>
      <c r="I130" s="448" t="s">
        <v>237</v>
      </c>
      <c r="J130" s="131" t="s">
        <v>237</v>
      </c>
      <c r="K130" s="131" t="s">
        <v>237</v>
      </c>
      <c r="L130" s="131" t="s">
        <v>237</v>
      </c>
      <c r="Q130" s="53"/>
      <c r="R130" s="53"/>
    </row>
    <row r="131" spans="2:18" ht="15" hidden="1" customHeight="1" outlineLevel="1">
      <c r="B131" s="376" t="s">
        <v>520</v>
      </c>
      <c r="C131" s="76" t="s">
        <v>237</v>
      </c>
      <c r="D131" s="76" t="s">
        <v>237</v>
      </c>
      <c r="E131" s="448" t="s">
        <v>237</v>
      </c>
      <c r="F131" s="131" t="s">
        <v>237</v>
      </c>
      <c r="G131" s="131" t="s">
        <v>237</v>
      </c>
      <c r="H131" s="131" t="s">
        <v>237</v>
      </c>
      <c r="I131" s="448" t="s">
        <v>237</v>
      </c>
      <c r="J131" s="131" t="s">
        <v>237</v>
      </c>
      <c r="K131" s="131" t="s">
        <v>237</v>
      </c>
      <c r="L131" s="131" t="s">
        <v>237</v>
      </c>
      <c r="Q131" s="53"/>
      <c r="R131" s="53"/>
    </row>
    <row r="132" spans="2:18" ht="15" hidden="1" customHeight="1" outlineLevel="1">
      <c r="B132" s="376" t="s">
        <v>520</v>
      </c>
      <c r="C132" s="76" t="s">
        <v>237</v>
      </c>
      <c r="D132" s="76" t="s">
        <v>237</v>
      </c>
      <c r="E132" s="448" t="s">
        <v>237</v>
      </c>
      <c r="F132" s="131" t="s">
        <v>237</v>
      </c>
      <c r="G132" s="131" t="s">
        <v>237</v>
      </c>
      <c r="H132" s="131" t="s">
        <v>237</v>
      </c>
      <c r="I132" s="448" t="s">
        <v>237</v>
      </c>
      <c r="J132" s="131" t="s">
        <v>237</v>
      </c>
      <c r="K132" s="131" t="s">
        <v>237</v>
      </c>
      <c r="L132" s="131" t="s">
        <v>237</v>
      </c>
      <c r="Q132" s="53"/>
      <c r="R132" s="53"/>
    </row>
    <row r="133" spans="2:18" ht="15" hidden="1" customHeight="1" outlineLevel="1">
      <c r="B133" s="376" t="s">
        <v>520</v>
      </c>
      <c r="C133" s="76" t="s">
        <v>237</v>
      </c>
      <c r="D133" s="76" t="s">
        <v>237</v>
      </c>
      <c r="E133" s="448" t="s">
        <v>237</v>
      </c>
      <c r="F133" s="131" t="s">
        <v>237</v>
      </c>
      <c r="G133" s="131" t="s">
        <v>237</v>
      </c>
      <c r="H133" s="131" t="s">
        <v>237</v>
      </c>
      <c r="I133" s="448" t="s">
        <v>237</v>
      </c>
      <c r="J133" s="131" t="s">
        <v>237</v>
      </c>
      <c r="K133" s="131" t="s">
        <v>237</v>
      </c>
      <c r="L133" s="131" t="s">
        <v>237</v>
      </c>
      <c r="Q133" s="53"/>
      <c r="R133" s="53"/>
    </row>
    <row r="134" spans="2:18" ht="15" hidden="1" customHeight="1" outlineLevel="1">
      <c r="B134" s="376" t="s">
        <v>520</v>
      </c>
      <c r="C134" s="76" t="s">
        <v>237</v>
      </c>
      <c r="D134" s="76" t="s">
        <v>237</v>
      </c>
      <c r="E134" s="448" t="s">
        <v>237</v>
      </c>
      <c r="F134" s="131" t="s">
        <v>237</v>
      </c>
      <c r="G134" s="131" t="s">
        <v>237</v>
      </c>
      <c r="H134" s="131" t="s">
        <v>237</v>
      </c>
      <c r="I134" s="448" t="s">
        <v>237</v>
      </c>
      <c r="J134" s="131" t="s">
        <v>237</v>
      </c>
      <c r="K134" s="131" t="s">
        <v>237</v>
      </c>
      <c r="L134" s="131" t="s">
        <v>237</v>
      </c>
      <c r="Q134" s="53"/>
      <c r="R134" s="53"/>
    </row>
    <row r="135" spans="2:18" ht="15" hidden="1" customHeight="1" outlineLevel="1">
      <c r="B135" s="376" t="s">
        <v>520</v>
      </c>
      <c r="C135" s="76" t="s">
        <v>237</v>
      </c>
      <c r="D135" s="76" t="s">
        <v>237</v>
      </c>
      <c r="E135" s="448" t="s">
        <v>237</v>
      </c>
      <c r="F135" s="131" t="s">
        <v>237</v>
      </c>
      <c r="G135" s="131" t="s">
        <v>237</v>
      </c>
      <c r="H135" s="131" t="s">
        <v>237</v>
      </c>
      <c r="I135" s="448" t="s">
        <v>237</v>
      </c>
      <c r="J135" s="131" t="s">
        <v>237</v>
      </c>
      <c r="K135" s="131" t="s">
        <v>237</v>
      </c>
      <c r="L135" s="131" t="s">
        <v>237</v>
      </c>
      <c r="Q135" s="53"/>
      <c r="R135" s="53"/>
    </row>
    <row r="136" spans="2:18" ht="15" hidden="1" customHeight="1" outlineLevel="1">
      <c r="B136" s="376" t="s">
        <v>520</v>
      </c>
      <c r="C136" s="76" t="s">
        <v>237</v>
      </c>
      <c r="D136" s="76" t="s">
        <v>237</v>
      </c>
      <c r="E136" s="448" t="s">
        <v>237</v>
      </c>
      <c r="F136" s="131" t="s">
        <v>237</v>
      </c>
      <c r="G136" s="131" t="s">
        <v>237</v>
      </c>
      <c r="H136" s="131" t="s">
        <v>237</v>
      </c>
      <c r="I136" s="448" t="s">
        <v>237</v>
      </c>
      <c r="J136" s="131" t="s">
        <v>237</v>
      </c>
      <c r="K136" s="131" t="s">
        <v>237</v>
      </c>
      <c r="L136" s="131" t="s">
        <v>237</v>
      </c>
      <c r="Q136" s="53"/>
      <c r="R136" s="53"/>
    </row>
    <row r="137" spans="2:18" ht="15" hidden="1" customHeight="1" outlineLevel="1">
      <c r="B137" s="376" t="s">
        <v>520</v>
      </c>
      <c r="C137" s="76" t="s">
        <v>237</v>
      </c>
      <c r="D137" s="76" t="s">
        <v>237</v>
      </c>
      <c r="E137" s="448" t="s">
        <v>237</v>
      </c>
      <c r="F137" s="131" t="s">
        <v>237</v>
      </c>
      <c r="G137" s="131" t="s">
        <v>237</v>
      </c>
      <c r="H137" s="131" t="s">
        <v>237</v>
      </c>
      <c r="I137" s="448" t="s">
        <v>237</v>
      </c>
      <c r="J137" s="131" t="s">
        <v>237</v>
      </c>
      <c r="K137" s="131" t="s">
        <v>237</v>
      </c>
      <c r="L137" s="131" t="s">
        <v>237</v>
      </c>
      <c r="Q137" s="53"/>
      <c r="R137" s="53"/>
    </row>
    <row r="138" spans="2:18" ht="15" hidden="1" customHeight="1" outlineLevel="1">
      <c r="B138" s="376" t="s">
        <v>520</v>
      </c>
      <c r="C138" s="76" t="s">
        <v>237</v>
      </c>
      <c r="D138" s="76" t="s">
        <v>237</v>
      </c>
      <c r="E138" s="448" t="s">
        <v>237</v>
      </c>
      <c r="F138" s="131" t="s">
        <v>237</v>
      </c>
      <c r="G138" s="131" t="s">
        <v>237</v>
      </c>
      <c r="H138" s="131" t="s">
        <v>237</v>
      </c>
      <c r="I138" s="448" t="s">
        <v>237</v>
      </c>
      <c r="J138" s="131" t="s">
        <v>237</v>
      </c>
      <c r="K138" s="131" t="s">
        <v>237</v>
      </c>
      <c r="L138" s="131" t="s">
        <v>237</v>
      </c>
      <c r="Q138" s="53"/>
      <c r="R138" s="53"/>
    </row>
    <row r="139" spans="2:18" ht="15" hidden="1" customHeight="1" outlineLevel="1">
      <c r="B139" s="376" t="s">
        <v>520</v>
      </c>
      <c r="C139" s="76" t="s">
        <v>237</v>
      </c>
      <c r="D139" s="76" t="s">
        <v>237</v>
      </c>
      <c r="E139" s="448" t="s">
        <v>237</v>
      </c>
      <c r="F139" s="131" t="s">
        <v>237</v>
      </c>
      <c r="G139" s="131" t="s">
        <v>237</v>
      </c>
      <c r="H139" s="131" t="s">
        <v>237</v>
      </c>
      <c r="I139" s="448" t="s">
        <v>237</v>
      </c>
      <c r="J139" s="131" t="s">
        <v>237</v>
      </c>
      <c r="K139" s="131" t="s">
        <v>237</v>
      </c>
      <c r="L139" s="131" t="s">
        <v>237</v>
      </c>
      <c r="Q139" s="53"/>
      <c r="R139" s="53"/>
    </row>
    <row r="140" spans="2:18" ht="15" hidden="1" customHeight="1" outlineLevel="1">
      <c r="B140" s="376" t="s">
        <v>520</v>
      </c>
      <c r="C140" s="76" t="s">
        <v>237</v>
      </c>
      <c r="D140" s="76" t="s">
        <v>237</v>
      </c>
      <c r="E140" s="448" t="s">
        <v>237</v>
      </c>
      <c r="F140" s="131" t="s">
        <v>237</v>
      </c>
      <c r="G140" s="131" t="s">
        <v>237</v>
      </c>
      <c r="H140" s="131" t="s">
        <v>237</v>
      </c>
      <c r="I140" s="448" t="s">
        <v>237</v>
      </c>
      <c r="J140" s="131" t="s">
        <v>237</v>
      </c>
      <c r="K140" s="131" t="s">
        <v>237</v>
      </c>
      <c r="L140" s="131" t="s">
        <v>237</v>
      </c>
      <c r="Q140" s="53"/>
      <c r="R140" s="53"/>
    </row>
    <row r="141" spans="2:18" ht="15" hidden="1" customHeight="1" outlineLevel="1">
      <c r="B141" s="376" t="s">
        <v>520</v>
      </c>
      <c r="C141" s="76" t="s">
        <v>237</v>
      </c>
      <c r="D141" s="76" t="s">
        <v>237</v>
      </c>
      <c r="E141" s="448" t="s">
        <v>237</v>
      </c>
      <c r="F141" s="131" t="s">
        <v>237</v>
      </c>
      <c r="G141" s="131" t="s">
        <v>237</v>
      </c>
      <c r="H141" s="131" t="s">
        <v>237</v>
      </c>
      <c r="I141" s="448" t="s">
        <v>237</v>
      </c>
      <c r="J141" s="131" t="s">
        <v>237</v>
      </c>
      <c r="K141" s="131" t="s">
        <v>237</v>
      </c>
      <c r="L141" s="131" t="s">
        <v>237</v>
      </c>
      <c r="Q141" s="53"/>
      <c r="R141" s="53"/>
    </row>
    <row r="142" spans="2:18" ht="15" hidden="1" customHeight="1" outlineLevel="1">
      <c r="B142" s="376" t="s">
        <v>520</v>
      </c>
      <c r="C142" s="76" t="s">
        <v>237</v>
      </c>
      <c r="D142" s="76" t="s">
        <v>237</v>
      </c>
      <c r="E142" s="448" t="s">
        <v>237</v>
      </c>
      <c r="F142" s="131" t="s">
        <v>237</v>
      </c>
      <c r="G142" s="131" t="s">
        <v>237</v>
      </c>
      <c r="H142" s="131" t="s">
        <v>237</v>
      </c>
      <c r="I142" s="448" t="s">
        <v>237</v>
      </c>
      <c r="J142" s="131" t="s">
        <v>237</v>
      </c>
      <c r="K142" s="131" t="s">
        <v>237</v>
      </c>
      <c r="L142" s="131" t="s">
        <v>237</v>
      </c>
      <c r="Q142" s="53"/>
      <c r="R142" s="53"/>
    </row>
    <row r="143" spans="2:18" ht="15" hidden="1" customHeight="1" outlineLevel="1">
      <c r="B143" s="376" t="s">
        <v>520</v>
      </c>
      <c r="C143" s="76" t="s">
        <v>237</v>
      </c>
      <c r="D143" s="76" t="s">
        <v>237</v>
      </c>
      <c r="E143" s="448" t="s">
        <v>237</v>
      </c>
      <c r="F143" s="131" t="s">
        <v>237</v>
      </c>
      <c r="G143" s="131" t="s">
        <v>237</v>
      </c>
      <c r="H143" s="131" t="s">
        <v>237</v>
      </c>
      <c r="I143" s="448" t="s">
        <v>237</v>
      </c>
      <c r="J143" s="131" t="s">
        <v>237</v>
      </c>
      <c r="K143" s="131" t="s">
        <v>237</v>
      </c>
      <c r="L143" s="131" t="s">
        <v>237</v>
      </c>
      <c r="Q143" s="53"/>
      <c r="R143" s="53"/>
    </row>
    <row r="144" spans="2:18" ht="15" hidden="1" customHeight="1" outlineLevel="1">
      <c r="B144" s="376" t="s">
        <v>520</v>
      </c>
      <c r="C144" s="76" t="s">
        <v>237</v>
      </c>
      <c r="D144" s="76" t="s">
        <v>237</v>
      </c>
      <c r="E144" s="448" t="s">
        <v>237</v>
      </c>
      <c r="F144" s="131" t="s">
        <v>237</v>
      </c>
      <c r="G144" s="131" t="s">
        <v>237</v>
      </c>
      <c r="H144" s="131" t="s">
        <v>237</v>
      </c>
      <c r="I144" s="448" t="s">
        <v>237</v>
      </c>
      <c r="J144" s="131" t="s">
        <v>237</v>
      </c>
      <c r="K144" s="131" t="s">
        <v>237</v>
      </c>
      <c r="L144" s="131" t="s">
        <v>237</v>
      </c>
      <c r="Q144" s="53"/>
      <c r="R144" s="53"/>
    </row>
    <row r="145" spans="2:18" ht="15" hidden="1" customHeight="1" outlineLevel="1">
      <c r="B145" s="376" t="s">
        <v>520</v>
      </c>
      <c r="C145" s="76" t="s">
        <v>237</v>
      </c>
      <c r="D145" s="76" t="s">
        <v>237</v>
      </c>
      <c r="E145" s="448" t="s">
        <v>237</v>
      </c>
      <c r="F145" s="131" t="s">
        <v>237</v>
      </c>
      <c r="G145" s="131" t="s">
        <v>237</v>
      </c>
      <c r="H145" s="131" t="s">
        <v>237</v>
      </c>
      <c r="I145" s="448" t="s">
        <v>237</v>
      </c>
      <c r="J145" s="131" t="s">
        <v>237</v>
      </c>
      <c r="K145" s="131" t="s">
        <v>237</v>
      </c>
      <c r="L145" s="131" t="s">
        <v>237</v>
      </c>
      <c r="Q145" s="53"/>
      <c r="R145" s="53"/>
    </row>
    <row r="146" spans="2:18" ht="15" hidden="1" customHeight="1" outlineLevel="1">
      <c r="B146" s="376" t="s">
        <v>520</v>
      </c>
      <c r="C146" s="76" t="s">
        <v>237</v>
      </c>
      <c r="D146" s="76" t="s">
        <v>237</v>
      </c>
      <c r="E146" s="448" t="s">
        <v>237</v>
      </c>
      <c r="F146" s="131" t="s">
        <v>237</v>
      </c>
      <c r="G146" s="131" t="s">
        <v>237</v>
      </c>
      <c r="H146" s="131" t="s">
        <v>237</v>
      </c>
      <c r="I146" s="448" t="s">
        <v>237</v>
      </c>
      <c r="J146" s="131" t="s">
        <v>237</v>
      </c>
      <c r="K146" s="131" t="s">
        <v>237</v>
      </c>
      <c r="L146" s="131" t="s">
        <v>237</v>
      </c>
      <c r="Q146" s="53"/>
      <c r="R146" s="53"/>
    </row>
    <row r="147" spans="2:18" ht="15" hidden="1" customHeight="1" outlineLevel="1">
      <c r="B147" s="376" t="s">
        <v>520</v>
      </c>
      <c r="C147" s="76" t="s">
        <v>237</v>
      </c>
      <c r="D147" s="76" t="s">
        <v>237</v>
      </c>
      <c r="E147" s="448" t="s">
        <v>237</v>
      </c>
      <c r="F147" s="131" t="s">
        <v>237</v>
      </c>
      <c r="G147" s="131" t="s">
        <v>237</v>
      </c>
      <c r="H147" s="131" t="s">
        <v>237</v>
      </c>
      <c r="I147" s="448" t="s">
        <v>237</v>
      </c>
      <c r="J147" s="131" t="s">
        <v>237</v>
      </c>
      <c r="K147" s="131" t="s">
        <v>237</v>
      </c>
      <c r="L147" s="131" t="s">
        <v>237</v>
      </c>
      <c r="Q147" s="53"/>
      <c r="R147" s="53"/>
    </row>
    <row r="148" spans="2:18" ht="15" hidden="1" customHeight="1" outlineLevel="1">
      <c r="B148" s="376" t="s">
        <v>520</v>
      </c>
      <c r="C148" s="76" t="s">
        <v>237</v>
      </c>
      <c r="D148" s="76" t="s">
        <v>237</v>
      </c>
      <c r="E148" s="448" t="s">
        <v>237</v>
      </c>
      <c r="F148" s="131" t="s">
        <v>237</v>
      </c>
      <c r="G148" s="131" t="s">
        <v>237</v>
      </c>
      <c r="H148" s="131" t="s">
        <v>237</v>
      </c>
      <c r="I148" s="448" t="s">
        <v>237</v>
      </c>
      <c r="J148" s="131" t="s">
        <v>237</v>
      </c>
      <c r="K148" s="131" t="s">
        <v>237</v>
      </c>
      <c r="L148" s="131" t="s">
        <v>237</v>
      </c>
      <c r="Q148" s="53"/>
      <c r="R148" s="53"/>
    </row>
    <row r="149" spans="2:18" ht="15" hidden="1" customHeight="1" outlineLevel="1">
      <c r="B149" s="376" t="s">
        <v>520</v>
      </c>
      <c r="C149" s="76" t="s">
        <v>237</v>
      </c>
      <c r="D149" s="76" t="s">
        <v>237</v>
      </c>
      <c r="E149" s="448" t="s">
        <v>237</v>
      </c>
      <c r="F149" s="131" t="s">
        <v>237</v>
      </c>
      <c r="G149" s="131" t="s">
        <v>237</v>
      </c>
      <c r="H149" s="131" t="s">
        <v>237</v>
      </c>
      <c r="I149" s="448" t="s">
        <v>237</v>
      </c>
      <c r="J149" s="131" t="s">
        <v>237</v>
      </c>
      <c r="K149" s="131" t="s">
        <v>237</v>
      </c>
      <c r="L149" s="131" t="s">
        <v>237</v>
      </c>
      <c r="Q149" s="53"/>
      <c r="R149" s="53"/>
    </row>
    <row r="150" spans="2:18" ht="15" hidden="1" customHeight="1" outlineLevel="1">
      <c r="B150" s="376" t="s">
        <v>520</v>
      </c>
      <c r="C150" s="76" t="s">
        <v>237</v>
      </c>
      <c r="D150" s="76" t="s">
        <v>237</v>
      </c>
      <c r="E150" s="448" t="s">
        <v>237</v>
      </c>
      <c r="F150" s="131" t="s">
        <v>237</v>
      </c>
      <c r="G150" s="131" t="s">
        <v>237</v>
      </c>
      <c r="H150" s="131" t="s">
        <v>237</v>
      </c>
      <c r="I150" s="448" t="s">
        <v>237</v>
      </c>
      <c r="J150" s="131" t="s">
        <v>237</v>
      </c>
      <c r="K150" s="131" t="s">
        <v>237</v>
      </c>
      <c r="L150" s="131" t="s">
        <v>237</v>
      </c>
      <c r="Q150" s="53"/>
      <c r="R150" s="53"/>
    </row>
    <row r="151" spans="2:18" ht="15" hidden="1" customHeight="1" outlineLevel="1">
      <c r="B151" s="376" t="s">
        <v>520</v>
      </c>
      <c r="C151" s="76" t="s">
        <v>237</v>
      </c>
      <c r="D151" s="76" t="s">
        <v>237</v>
      </c>
      <c r="E151" s="448" t="s">
        <v>237</v>
      </c>
      <c r="F151" s="131" t="s">
        <v>237</v>
      </c>
      <c r="G151" s="131" t="s">
        <v>237</v>
      </c>
      <c r="H151" s="131" t="s">
        <v>237</v>
      </c>
      <c r="I151" s="448" t="s">
        <v>237</v>
      </c>
      <c r="J151" s="131" t="s">
        <v>237</v>
      </c>
      <c r="K151" s="131" t="s">
        <v>237</v>
      </c>
      <c r="L151" s="131" t="s">
        <v>237</v>
      </c>
      <c r="Q151" s="53"/>
      <c r="R151" s="53"/>
    </row>
    <row r="152" spans="2:18" ht="15" hidden="1" customHeight="1" outlineLevel="1">
      <c r="B152" s="376" t="s">
        <v>520</v>
      </c>
      <c r="C152" s="76" t="s">
        <v>237</v>
      </c>
      <c r="D152" s="76" t="s">
        <v>237</v>
      </c>
      <c r="E152" s="448" t="s">
        <v>237</v>
      </c>
      <c r="F152" s="131" t="s">
        <v>237</v>
      </c>
      <c r="G152" s="131" t="s">
        <v>237</v>
      </c>
      <c r="H152" s="131" t="s">
        <v>237</v>
      </c>
      <c r="I152" s="448" t="s">
        <v>237</v>
      </c>
      <c r="J152" s="131" t="s">
        <v>237</v>
      </c>
      <c r="K152" s="131" t="s">
        <v>237</v>
      </c>
      <c r="L152" s="131" t="s">
        <v>237</v>
      </c>
      <c r="Q152" s="53"/>
      <c r="R152" s="53"/>
    </row>
    <row r="153" spans="2:18" ht="15" hidden="1" customHeight="1" outlineLevel="1">
      <c r="B153" s="376" t="s">
        <v>520</v>
      </c>
      <c r="C153" s="76" t="s">
        <v>237</v>
      </c>
      <c r="D153" s="76" t="s">
        <v>237</v>
      </c>
      <c r="E153" s="448" t="s">
        <v>237</v>
      </c>
      <c r="F153" s="131" t="s">
        <v>237</v>
      </c>
      <c r="G153" s="131" t="s">
        <v>237</v>
      </c>
      <c r="H153" s="131" t="s">
        <v>237</v>
      </c>
      <c r="I153" s="448" t="s">
        <v>237</v>
      </c>
      <c r="J153" s="131" t="s">
        <v>237</v>
      </c>
      <c r="K153" s="131" t="s">
        <v>237</v>
      </c>
      <c r="L153" s="131" t="s">
        <v>237</v>
      </c>
      <c r="Q153" s="53"/>
      <c r="R153" s="53"/>
    </row>
    <row r="154" spans="2:18" ht="15" hidden="1" customHeight="1" outlineLevel="1">
      <c r="B154" s="376" t="s">
        <v>520</v>
      </c>
      <c r="C154" s="76" t="s">
        <v>237</v>
      </c>
      <c r="D154" s="76" t="s">
        <v>237</v>
      </c>
      <c r="E154" s="448" t="s">
        <v>237</v>
      </c>
      <c r="F154" s="131" t="s">
        <v>237</v>
      </c>
      <c r="G154" s="131" t="s">
        <v>237</v>
      </c>
      <c r="H154" s="131" t="s">
        <v>237</v>
      </c>
      <c r="I154" s="448" t="s">
        <v>237</v>
      </c>
      <c r="J154" s="131" t="s">
        <v>237</v>
      </c>
      <c r="K154" s="131" t="s">
        <v>237</v>
      </c>
      <c r="L154" s="131" t="s">
        <v>237</v>
      </c>
      <c r="Q154" s="53"/>
      <c r="R154" s="53"/>
    </row>
    <row r="155" spans="2:18" ht="15" hidden="1" customHeight="1" outlineLevel="1">
      <c r="B155" s="376" t="s">
        <v>520</v>
      </c>
      <c r="C155" s="76" t="s">
        <v>237</v>
      </c>
      <c r="D155" s="76" t="s">
        <v>237</v>
      </c>
      <c r="E155" s="448" t="s">
        <v>237</v>
      </c>
      <c r="F155" s="131" t="s">
        <v>237</v>
      </c>
      <c r="G155" s="131" t="s">
        <v>237</v>
      </c>
      <c r="H155" s="131" t="s">
        <v>237</v>
      </c>
      <c r="I155" s="448" t="s">
        <v>237</v>
      </c>
      <c r="J155" s="131" t="s">
        <v>237</v>
      </c>
      <c r="K155" s="131" t="s">
        <v>237</v>
      </c>
      <c r="L155" s="131" t="s">
        <v>237</v>
      </c>
      <c r="Q155" s="53"/>
      <c r="R155" s="53"/>
    </row>
    <row r="156" spans="2:18" ht="15" hidden="1" customHeight="1" outlineLevel="1">
      <c r="B156" s="376" t="s">
        <v>520</v>
      </c>
      <c r="C156" s="76" t="s">
        <v>237</v>
      </c>
      <c r="D156" s="76" t="s">
        <v>237</v>
      </c>
      <c r="E156" s="448" t="s">
        <v>237</v>
      </c>
      <c r="F156" s="131" t="s">
        <v>237</v>
      </c>
      <c r="G156" s="131" t="s">
        <v>237</v>
      </c>
      <c r="H156" s="131" t="s">
        <v>237</v>
      </c>
      <c r="I156" s="448" t="s">
        <v>237</v>
      </c>
      <c r="J156" s="131" t="s">
        <v>237</v>
      </c>
      <c r="K156" s="131" t="s">
        <v>237</v>
      </c>
      <c r="L156" s="131" t="s">
        <v>237</v>
      </c>
      <c r="Q156" s="53"/>
      <c r="R156" s="53"/>
    </row>
    <row r="157" spans="2:18" ht="15" hidden="1" customHeight="1" outlineLevel="1">
      <c r="B157" s="376" t="s">
        <v>520</v>
      </c>
      <c r="C157" s="76" t="s">
        <v>237</v>
      </c>
      <c r="D157" s="76" t="s">
        <v>237</v>
      </c>
      <c r="E157" s="448" t="s">
        <v>237</v>
      </c>
      <c r="F157" s="131" t="s">
        <v>237</v>
      </c>
      <c r="G157" s="131" t="s">
        <v>237</v>
      </c>
      <c r="H157" s="131" t="s">
        <v>237</v>
      </c>
      <c r="I157" s="448" t="s">
        <v>237</v>
      </c>
      <c r="J157" s="131" t="s">
        <v>237</v>
      </c>
      <c r="K157" s="131" t="s">
        <v>237</v>
      </c>
      <c r="L157" s="131" t="s">
        <v>237</v>
      </c>
      <c r="Q157" s="53"/>
      <c r="R157" s="53"/>
    </row>
    <row r="158" spans="2:18" ht="15" hidden="1" customHeight="1" outlineLevel="1">
      <c r="B158" s="376" t="s">
        <v>520</v>
      </c>
      <c r="C158" s="76" t="s">
        <v>237</v>
      </c>
      <c r="D158" s="76" t="s">
        <v>237</v>
      </c>
      <c r="E158" s="448" t="s">
        <v>237</v>
      </c>
      <c r="F158" s="131" t="s">
        <v>237</v>
      </c>
      <c r="G158" s="131" t="s">
        <v>237</v>
      </c>
      <c r="H158" s="131" t="s">
        <v>237</v>
      </c>
      <c r="I158" s="448" t="s">
        <v>237</v>
      </c>
      <c r="J158" s="131" t="s">
        <v>237</v>
      </c>
      <c r="K158" s="131" t="s">
        <v>237</v>
      </c>
      <c r="L158" s="131" t="s">
        <v>237</v>
      </c>
      <c r="Q158" s="53"/>
      <c r="R158" s="53"/>
    </row>
    <row r="159" spans="2:18" ht="15" hidden="1" customHeight="1" outlineLevel="1">
      <c r="B159" s="376" t="s">
        <v>520</v>
      </c>
      <c r="C159" s="76" t="s">
        <v>237</v>
      </c>
      <c r="D159" s="76" t="s">
        <v>237</v>
      </c>
      <c r="E159" s="448" t="s">
        <v>237</v>
      </c>
      <c r="F159" s="131" t="s">
        <v>237</v>
      </c>
      <c r="G159" s="131" t="s">
        <v>237</v>
      </c>
      <c r="H159" s="131" t="s">
        <v>237</v>
      </c>
      <c r="I159" s="448" t="s">
        <v>237</v>
      </c>
      <c r="J159" s="131" t="s">
        <v>237</v>
      </c>
      <c r="K159" s="131" t="s">
        <v>237</v>
      </c>
      <c r="L159" s="131" t="s">
        <v>237</v>
      </c>
      <c r="Q159" s="53"/>
      <c r="R159" s="53"/>
    </row>
    <row r="160" spans="2:18" ht="15" hidden="1" customHeight="1" outlineLevel="1">
      <c r="B160" s="376" t="s">
        <v>520</v>
      </c>
      <c r="C160" s="76" t="s">
        <v>237</v>
      </c>
      <c r="D160" s="76" t="s">
        <v>237</v>
      </c>
      <c r="E160" s="448" t="s">
        <v>237</v>
      </c>
      <c r="F160" s="131" t="s">
        <v>237</v>
      </c>
      <c r="G160" s="131" t="s">
        <v>237</v>
      </c>
      <c r="H160" s="131" t="s">
        <v>237</v>
      </c>
      <c r="I160" s="448" t="s">
        <v>237</v>
      </c>
      <c r="J160" s="131" t="s">
        <v>237</v>
      </c>
      <c r="K160" s="131" t="s">
        <v>237</v>
      </c>
      <c r="L160" s="131" t="s">
        <v>237</v>
      </c>
      <c r="Q160" s="53"/>
      <c r="R160" s="53"/>
    </row>
    <row r="161" spans="2:18" ht="15" hidden="1" customHeight="1" outlineLevel="1">
      <c r="B161" s="376" t="s">
        <v>520</v>
      </c>
      <c r="C161" s="76" t="s">
        <v>237</v>
      </c>
      <c r="D161" s="76" t="s">
        <v>237</v>
      </c>
      <c r="E161" s="448" t="s">
        <v>237</v>
      </c>
      <c r="F161" s="131" t="s">
        <v>237</v>
      </c>
      <c r="G161" s="131" t="s">
        <v>237</v>
      </c>
      <c r="H161" s="131" t="s">
        <v>237</v>
      </c>
      <c r="I161" s="448" t="s">
        <v>237</v>
      </c>
      <c r="J161" s="131" t="s">
        <v>237</v>
      </c>
      <c r="K161" s="131" t="s">
        <v>237</v>
      </c>
      <c r="L161" s="131" t="s">
        <v>237</v>
      </c>
      <c r="Q161" s="53"/>
      <c r="R161" s="53"/>
    </row>
    <row r="162" spans="2:18" ht="15" hidden="1" customHeight="1" outlineLevel="1">
      <c r="B162" s="376" t="s">
        <v>520</v>
      </c>
      <c r="C162" s="76" t="s">
        <v>237</v>
      </c>
      <c r="D162" s="76" t="s">
        <v>237</v>
      </c>
      <c r="E162" s="448" t="s">
        <v>237</v>
      </c>
      <c r="F162" s="131" t="s">
        <v>237</v>
      </c>
      <c r="G162" s="131" t="s">
        <v>237</v>
      </c>
      <c r="H162" s="131" t="s">
        <v>237</v>
      </c>
      <c r="I162" s="448" t="s">
        <v>237</v>
      </c>
      <c r="J162" s="131" t="s">
        <v>237</v>
      </c>
      <c r="K162" s="131" t="s">
        <v>237</v>
      </c>
      <c r="L162" s="131" t="s">
        <v>237</v>
      </c>
      <c r="Q162" s="53"/>
      <c r="R162" s="53"/>
    </row>
    <row r="163" spans="2:18" ht="15" hidden="1" customHeight="1" outlineLevel="1">
      <c r="B163" s="376" t="s">
        <v>520</v>
      </c>
      <c r="C163" s="76" t="s">
        <v>237</v>
      </c>
      <c r="D163" s="76" t="s">
        <v>237</v>
      </c>
      <c r="E163" s="448" t="s">
        <v>237</v>
      </c>
      <c r="F163" s="131" t="s">
        <v>237</v>
      </c>
      <c r="G163" s="131" t="s">
        <v>237</v>
      </c>
      <c r="H163" s="131" t="s">
        <v>237</v>
      </c>
      <c r="I163" s="448" t="s">
        <v>237</v>
      </c>
      <c r="J163" s="131" t="s">
        <v>237</v>
      </c>
      <c r="K163" s="131" t="s">
        <v>237</v>
      </c>
      <c r="L163" s="131" t="s">
        <v>237</v>
      </c>
      <c r="Q163" s="53"/>
      <c r="R163" s="53"/>
    </row>
    <row r="164" spans="2:18" ht="15" hidden="1" customHeight="1" outlineLevel="1">
      <c r="B164" s="376" t="s">
        <v>520</v>
      </c>
      <c r="C164" s="76" t="s">
        <v>237</v>
      </c>
      <c r="D164" s="76" t="s">
        <v>237</v>
      </c>
      <c r="E164" s="448" t="s">
        <v>237</v>
      </c>
      <c r="F164" s="131" t="s">
        <v>237</v>
      </c>
      <c r="G164" s="131" t="s">
        <v>237</v>
      </c>
      <c r="H164" s="131" t="s">
        <v>237</v>
      </c>
      <c r="I164" s="448" t="s">
        <v>237</v>
      </c>
      <c r="J164" s="131" t="s">
        <v>237</v>
      </c>
      <c r="K164" s="131" t="s">
        <v>237</v>
      </c>
      <c r="L164" s="131" t="s">
        <v>237</v>
      </c>
      <c r="Q164" s="53"/>
      <c r="R164" s="53"/>
    </row>
    <row r="165" spans="2:18" ht="15" hidden="1" customHeight="1" outlineLevel="1">
      <c r="B165" s="376" t="s">
        <v>520</v>
      </c>
      <c r="C165" s="76" t="s">
        <v>237</v>
      </c>
      <c r="D165" s="76" t="s">
        <v>237</v>
      </c>
      <c r="E165" s="448" t="s">
        <v>237</v>
      </c>
      <c r="F165" s="131" t="s">
        <v>237</v>
      </c>
      <c r="G165" s="131" t="s">
        <v>237</v>
      </c>
      <c r="H165" s="131" t="s">
        <v>237</v>
      </c>
      <c r="I165" s="448" t="s">
        <v>237</v>
      </c>
      <c r="J165" s="131" t="s">
        <v>237</v>
      </c>
      <c r="K165" s="131" t="s">
        <v>237</v>
      </c>
      <c r="L165" s="131" t="s">
        <v>237</v>
      </c>
      <c r="Q165" s="53"/>
      <c r="R165" s="53"/>
    </row>
    <row r="166" spans="2:18" ht="15" hidden="1" customHeight="1" outlineLevel="1">
      <c r="B166" s="376" t="s">
        <v>520</v>
      </c>
      <c r="C166" s="76" t="s">
        <v>237</v>
      </c>
      <c r="D166" s="76" t="s">
        <v>237</v>
      </c>
      <c r="E166" s="448" t="s">
        <v>237</v>
      </c>
      <c r="F166" s="131" t="s">
        <v>237</v>
      </c>
      <c r="G166" s="131" t="s">
        <v>237</v>
      </c>
      <c r="H166" s="131" t="s">
        <v>237</v>
      </c>
      <c r="I166" s="448" t="s">
        <v>237</v>
      </c>
      <c r="J166" s="131" t="s">
        <v>237</v>
      </c>
      <c r="K166" s="131" t="s">
        <v>237</v>
      </c>
      <c r="L166" s="131" t="s">
        <v>237</v>
      </c>
      <c r="Q166" s="53"/>
      <c r="R166" s="53"/>
    </row>
    <row r="167" spans="2:18" ht="15" hidden="1" customHeight="1" outlineLevel="1">
      <c r="B167" s="376" t="s">
        <v>520</v>
      </c>
      <c r="C167" s="76" t="s">
        <v>237</v>
      </c>
      <c r="D167" s="76" t="s">
        <v>237</v>
      </c>
      <c r="E167" s="448" t="s">
        <v>237</v>
      </c>
      <c r="F167" s="131" t="s">
        <v>237</v>
      </c>
      <c r="G167" s="131" t="s">
        <v>237</v>
      </c>
      <c r="H167" s="131" t="s">
        <v>237</v>
      </c>
      <c r="I167" s="448" t="s">
        <v>237</v>
      </c>
      <c r="J167" s="131" t="s">
        <v>237</v>
      </c>
      <c r="K167" s="131" t="s">
        <v>237</v>
      </c>
      <c r="L167" s="131" t="s">
        <v>237</v>
      </c>
      <c r="Q167" s="53"/>
      <c r="R167" s="53"/>
    </row>
    <row r="168" spans="2:18" ht="15" hidden="1" customHeight="1" outlineLevel="1">
      <c r="B168" s="376" t="s">
        <v>520</v>
      </c>
      <c r="C168" s="76" t="s">
        <v>237</v>
      </c>
      <c r="D168" s="76" t="s">
        <v>237</v>
      </c>
      <c r="E168" s="448" t="s">
        <v>237</v>
      </c>
      <c r="F168" s="131" t="s">
        <v>237</v>
      </c>
      <c r="G168" s="131" t="s">
        <v>237</v>
      </c>
      <c r="H168" s="131" t="s">
        <v>237</v>
      </c>
      <c r="I168" s="448" t="s">
        <v>237</v>
      </c>
      <c r="J168" s="131" t="s">
        <v>237</v>
      </c>
      <c r="K168" s="131" t="s">
        <v>237</v>
      </c>
      <c r="L168" s="131" t="s">
        <v>237</v>
      </c>
      <c r="Q168" s="53"/>
      <c r="R168" s="53"/>
    </row>
    <row r="169" spans="2:18" ht="15" hidden="1" customHeight="1" outlineLevel="1">
      <c r="B169" s="376" t="s">
        <v>520</v>
      </c>
      <c r="C169" s="76" t="s">
        <v>237</v>
      </c>
      <c r="D169" s="76" t="s">
        <v>237</v>
      </c>
      <c r="E169" s="448" t="s">
        <v>237</v>
      </c>
      <c r="F169" s="131" t="s">
        <v>237</v>
      </c>
      <c r="G169" s="131" t="s">
        <v>237</v>
      </c>
      <c r="H169" s="131" t="s">
        <v>237</v>
      </c>
      <c r="I169" s="448" t="s">
        <v>237</v>
      </c>
      <c r="J169" s="131" t="s">
        <v>237</v>
      </c>
      <c r="K169" s="131" t="s">
        <v>237</v>
      </c>
      <c r="L169" s="131" t="s">
        <v>237</v>
      </c>
      <c r="Q169" s="53"/>
      <c r="R169" s="53"/>
    </row>
    <row r="170" spans="2:18" ht="15" hidden="1" customHeight="1" outlineLevel="1">
      <c r="B170" s="376" t="s">
        <v>520</v>
      </c>
      <c r="C170" s="76" t="s">
        <v>237</v>
      </c>
      <c r="D170" s="76" t="s">
        <v>237</v>
      </c>
      <c r="E170" s="448" t="s">
        <v>237</v>
      </c>
      <c r="F170" s="131" t="s">
        <v>237</v>
      </c>
      <c r="G170" s="131" t="s">
        <v>237</v>
      </c>
      <c r="H170" s="131" t="s">
        <v>237</v>
      </c>
      <c r="I170" s="448" t="s">
        <v>237</v>
      </c>
      <c r="J170" s="131" t="s">
        <v>237</v>
      </c>
      <c r="K170" s="131" t="s">
        <v>237</v>
      </c>
      <c r="L170" s="131" t="s">
        <v>237</v>
      </c>
      <c r="Q170" s="53"/>
      <c r="R170" s="53"/>
    </row>
    <row r="171" spans="2:18" ht="15" hidden="1" customHeight="1" outlineLevel="1">
      <c r="B171" s="376" t="s">
        <v>520</v>
      </c>
      <c r="C171" s="76" t="s">
        <v>237</v>
      </c>
      <c r="D171" s="76" t="s">
        <v>237</v>
      </c>
      <c r="E171" s="448" t="s">
        <v>237</v>
      </c>
      <c r="F171" s="131" t="s">
        <v>237</v>
      </c>
      <c r="G171" s="131" t="s">
        <v>237</v>
      </c>
      <c r="H171" s="131" t="s">
        <v>237</v>
      </c>
      <c r="I171" s="448" t="s">
        <v>237</v>
      </c>
      <c r="J171" s="131" t="s">
        <v>237</v>
      </c>
      <c r="K171" s="131" t="s">
        <v>237</v>
      </c>
      <c r="L171" s="131" t="s">
        <v>237</v>
      </c>
      <c r="Q171" s="53"/>
      <c r="R171" s="53"/>
    </row>
    <row r="172" spans="2:18" ht="15" hidden="1" customHeight="1" outlineLevel="1">
      <c r="B172" s="376" t="s">
        <v>520</v>
      </c>
      <c r="C172" s="76" t="s">
        <v>237</v>
      </c>
      <c r="D172" s="76" t="s">
        <v>237</v>
      </c>
      <c r="E172" s="448" t="s">
        <v>237</v>
      </c>
      <c r="F172" s="131" t="s">
        <v>237</v>
      </c>
      <c r="G172" s="131" t="s">
        <v>237</v>
      </c>
      <c r="H172" s="131" t="s">
        <v>237</v>
      </c>
      <c r="I172" s="448" t="s">
        <v>237</v>
      </c>
      <c r="J172" s="131" t="s">
        <v>237</v>
      </c>
      <c r="K172" s="131" t="s">
        <v>237</v>
      </c>
      <c r="L172" s="131" t="s">
        <v>237</v>
      </c>
      <c r="Q172" s="53"/>
      <c r="R172" s="53"/>
    </row>
    <row r="173" spans="2:18" ht="15" hidden="1" customHeight="1" outlineLevel="1">
      <c r="B173" s="376" t="s">
        <v>520</v>
      </c>
      <c r="C173" s="76" t="s">
        <v>237</v>
      </c>
      <c r="D173" s="76" t="s">
        <v>237</v>
      </c>
      <c r="E173" s="448" t="s">
        <v>237</v>
      </c>
      <c r="F173" s="131" t="s">
        <v>237</v>
      </c>
      <c r="G173" s="131" t="s">
        <v>237</v>
      </c>
      <c r="H173" s="131" t="s">
        <v>237</v>
      </c>
      <c r="I173" s="448" t="s">
        <v>237</v>
      </c>
      <c r="J173" s="131" t="s">
        <v>237</v>
      </c>
      <c r="K173" s="131" t="s">
        <v>237</v>
      </c>
      <c r="L173" s="131" t="s">
        <v>237</v>
      </c>
      <c r="Q173" s="53"/>
      <c r="R173" s="53"/>
    </row>
    <row r="174" spans="2:18" ht="15" hidden="1" customHeight="1" outlineLevel="1">
      <c r="B174" s="376" t="s">
        <v>520</v>
      </c>
      <c r="C174" s="76" t="s">
        <v>237</v>
      </c>
      <c r="D174" s="76" t="s">
        <v>237</v>
      </c>
      <c r="E174" s="448" t="s">
        <v>237</v>
      </c>
      <c r="F174" s="131" t="s">
        <v>237</v>
      </c>
      <c r="G174" s="131" t="s">
        <v>237</v>
      </c>
      <c r="H174" s="131" t="s">
        <v>237</v>
      </c>
      <c r="I174" s="448" t="s">
        <v>237</v>
      </c>
      <c r="J174" s="131" t="s">
        <v>237</v>
      </c>
      <c r="K174" s="131" t="s">
        <v>237</v>
      </c>
      <c r="L174" s="131" t="s">
        <v>237</v>
      </c>
      <c r="Q174" s="53"/>
      <c r="R174" s="53"/>
    </row>
    <row r="175" spans="2:18" ht="15" hidden="1" customHeight="1" outlineLevel="1">
      <c r="B175" s="376" t="s">
        <v>520</v>
      </c>
      <c r="C175" s="76" t="s">
        <v>237</v>
      </c>
      <c r="D175" s="76" t="s">
        <v>237</v>
      </c>
      <c r="E175" s="448" t="s">
        <v>237</v>
      </c>
      <c r="F175" s="131" t="s">
        <v>237</v>
      </c>
      <c r="G175" s="131" t="s">
        <v>237</v>
      </c>
      <c r="H175" s="131" t="s">
        <v>237</v>
      </c>
      <c r="I175" s="448" t="s">
        <v>237</v>
      </c>
      <c r="J175" s="131" t="s">
        <v>237</v>
      </c>
      <c r="K175" s="131" t="s">
        <v>237</v>
      </c>
      <c r="L175" s="131" t="s">
        <v>237</v>
      </c>
      <c r="Q175" s="53"/>
      <c r="R175" s="53"/>
    </row>
    <row r="176" spans="2:18" ht="15" hidden="1" customHeight="1" outlineLevel="1">
      <c r="B176" s="376" t="s">
        <v>520</v>
      </c>
      <c r="C176" s="76" t="s">
        <v>237</v>
      </c>
      <c r="D176" s="76" t="s">
        <v>237</v>
      </c>
      <c r="E176" s="448" t="s">
        <v>237</v>
      </c>
      <c r="F176" s="131" t="s">
        <v>237</v>
      </c>
      <c r="G176" s="131" t="s">
        <v>237</v>
      </c>
      <c r="H176" s="131" t="s">
        <v>237</v>
      </c>
      <c r="I176" s="448" t="s">
        <v>237</v>
      </c>
      <c r="J176" s="131" t="s">
        <v>237</v>
      </c>
      <c r="K176" s="131" t="s">
        <v>237</v>
      </c>
      <c r="L176" s="131" t="s">
        <v>237</v>
      </c>
      <c r="Q176" s="53"/>
      <c r="R176" s="53"/>
    </row>
    <row r="177" spans="2:18" ht="15" hidden="1" customHeight="1" outlineLevel="1">
      <c r="B177" s="376" t="s">
        <v>520</v>
      </c>
      <c r="C177" s="76" t="s">
        <v>237</v>
      </c>
      <c r="D177" s="76" t="s">
        <v>237</v>
      </c>
      <c r="E177" s="448" t="s">
        <v>237</v>
      </c>
      <c r="F177" s="131" t="s">
        <v>237</v>
      </c>
      <c r="G177" s="131" t="s">
        <v>237</v>
      </c>
      <c r="H177" s="131" t="s">
        <v>237</v>
      </c>
      <c r="I177" s="448" t="s">
        <v>237</v>
      </c>
      <c r="J177" s="131" t="s">
        <v>237</v>
      </c>
      <c r="K177" s="131" t="s">
        <v>237</v>
      </c>
      <c r="L177" s="131" t="s">
        <v>237</v>
      </c>
      <c r="Q177" s="53"/>
      <c r="R177" s="53"/>
    </row>
    <row r="178" spans="2:18" ht="15" hidden="1" customHeight="1" outlineLevel="1">
      <c r="B178" s="376" t="s">
        <v>520</v>
      </c>
      <c r="C178" s="76" t="s">
        <v>237</v>
      </c>
      <c r="D178" s="76" t="s">
        <v>237</v>
      </c>
      <c r="E178" s="448" t="s">
        <v>237</v>
      </c>
      <c r="F178" s="131" t="s">
        <v>237</v>
      </c>
      <c r="G178" s="131" t="s">
        <v>237</v>
      </c>
      <c r="H178" s="131" t="s">
        <v>237</v>
      </c>
      <c r="I178" s="448" t="s">
        <v>237</v>
      </c>
      <c r="J178" s="131" t="s">
        <v>237</v>
      </c>
      <c r="K178" s="131" t="s">
        <v>237</v>
      </c>
      <c r="L178" s="131" t="s">
        <v>237</v>
      </c>
      <c r="Q178" s="53"/>
      <c r="R178" s="53"/>
    </row>
    <row r="179" spans="2:18" ht="15" hidden="1" customHeight="1" outlineLevel="1">
      <c r="B179" s="376" t="s">
        <v>520</v>
      </c>
      <c r="C179" s="76" t="s">
        <v>237</v>
      </c>
      <c r="D179" s="76" t="s">
        <v>237</v>
      </c>
      <c r="E179" s="448" t="s">
        <v>237</v>
      </c>
      <c r="F179" s="131" t="s">
        <v>237</v>
      </c>
      <c r="G179" s="131" t="s">
        <v>237</v>
      </c>
      <c r="H179" s="131" t="s">
        <v>237</v>
      </c>
      <c r="I179" s="448" t="s">
        <v>237</v>
      </c>
      <c r="J179" s="131" t="s">
        <v>237</v>
      </c>
      <c r="K179" s="131" t="s">
        <v>237</v>
      </c>
      <c r="L179" s="131" t="s">
        <v>237</v>
      </c>
      <c r="Q179" s="53"/>
      <c r="R179" s="53"/>
    </row>
    <row r="180" spans="2:18" ht="15" hidden="1" customHeight="1" outlineLevel="1">
      <c r="B180" s="376" t="s">
        <v>520</v>
      </c>
      <c r="C180" s="76" t="s">
        <v>237</v>
      </c>
      <c r="D180" s="76" t="s">
        <v>237</v>
      </c>
      <c r="E180" s="448" t="s">
        <v>237</v>
      </c>
      <c r="F180" s="131" t="s">
        <v>237</v>
      </c>
      <c r="G180" s="131" t="s">
        <v>237</v>
      </c>
      <c r="H180" s="131" t="s">
        <v>237</v>
      </c>
      <c r="I180" s="448" t="s">
        <v>237</v>
      </c>
      <c r="J180" s="131" t="s">
        <v>237</v>
      </c>
      <c r="K180" s="131" t="s">
        <v>237</v>
      </c>
      <c r="L180" s="131" t="s">
        <v>237</v>
      </c>
      <c r="Q180" s="53"/>
      <c r="R180" s="53"/>
    </row>
    <row r="181" spans="2:18" ht="15" hidden="1" customHeight="1" outlineLevel="1">
      <c r="B181" s="376" t="s">
        <v>520</v>
      </c>
      <c r="C181" s="76" t="s">
        <v>237</v>
      </c>
      <c r="D181" s="76" t="s">
        <v>237</v>
      </c>
      <c r="E181" s="448" t="s">
        <v>237</v>
      </c>
      <c r="F181" s="131" t="s">
        <v>237</v>
      </c>
      <c r="G181" s="131" t="s">
        <v>237</v>
      </c>
      <c r="H181" s="131" t="s">
        <v>237</v>
      </c>
      <c r="I181" s="448" t="s">
        <v>237</v>
      </c>
      <c r="J181" s="131" t="s">
        <v>237</v>
      </c>
      <c r="K181" s="131" t="s">
        <v>237</v>
      </c>
      <c r="L181" s="131" t="s">
        <v>237</v>
      </c>
      <c r="Q181" s="53"/>
      <c r="R181" s="53"/>
    </row>
    <row r="182" spans="2:18" ht="15" hidden="1" customHeight="1" outlineLevel="1">
      <c r="B182" s="376" t="s">
        <v>520</v>
      </c>
      <c r="C182" s="76" t="s">
        <v>237</v>
      </c>
      <c r="D182" s="76" t="s">
        <v>237</v>
      </c>
      <c r="E182" s="448" t="s">
        <v>237</v>
      </c>
      <c r="F182" s="131" t="s">
        <v>237</v>
      </c>
      <c r="G182" s="131" t="s">
        <v>237</v>
      </c>
      <c r="H182" s="131" t="s">
        <v>237</v>
      </c>
      <c r="I182" s="448" t="s">
        <v>237</v>
      </c>
      <c r="J182" s="131" t="s">
        <v>237</v>
      </c>
      <c r="K182" s="131" t="s">
        <v>237</v>
      </c>
      <c r="L182" s="131" t="s">
        <v>237</v>
      </c>
      <c r="Q182" s="53"/>
      <c r="R182" s="53"/>
    </row>
    <row r="183" spans="2:18" ht="15" hidden="1" customHeight="1" outlineLevel="1">
      <c r="B183" s="376" t="s">
        <v>520</v>
      </c>
      <c r="C183" s="76" t="s">
        <v>237</v>
      </c>
      <c r="D183" s="76" t="s">
        <v>237</v>
      </c>
      <c r="E183" s="448" t="s">
        <v>237</v>
      </c>
      <c r="F183" s="131" t="s">
        <v>237</v>
      </c>
      <c r="G183" s="131" t="s">
        <v>237</v>
      </c>
      <c r="H183" s="131" t="s">
        <v>237</v>
      </c>
      <c r="I183" s="448" t="s">
        <v>237</v>
      </c>
      <c r="J183" s="131" t="s">
        <v>237</v>
      </c>
      <c r="K183" s="131" t="s">
        <v>237</v>
      </c>
      <c r="L183" s="131" t="s">
        <v>237</v>
      </c>
      <c r="Q183" s="53"/>
      <c r="R183" s="53"/>
    </row>
    <row r="184" spans="2:18" ht="15" hidden="1" customHeight="1" outlineLevel="1">
      <c r="B184" s="376" t="s">
        <v>520</v>
      </c>
      <c r="C184" s="76" t="s">
        <v>237</v>
      </c>
      <c r="D184" s="76" t="s">
        <v>237</v>
      </c>
      <c r="E184" s="448" t="s">
        <v>237</v>
      </c>
      <c r="F184" s="131" t="s">
        <v>237</v>
      </c>
      <c r="G184" s="131" t="s">
        <v>237</v>
      </c>
      <c r="H184" s="131" t="s">
        <v>237</v>
      </c>
      <c r="I184" s="448" t="s">
        <v>237</v>
      </c>
      <c r="J184" s="131" t="s">
        <v>237</v>
      </c>
      <c r="K184" s="131" t="s">
        <v>237</v>
      </c>
      <c r="L184" s="131" t="s">
        <v>237</v>
      </c>
      <c r="Q184" s="53"/>
      <c r="R184" s="53"/>
    </row>
    <row r="185" spans="2:18" ht="15" hidden="1" customHeight="1" outlineLevel="1">
      <c r="B185" s="376" t="s">
        <v>520</v>
      </c>
      <c r="C185" s="76" t="s">
        <v>237</v>
      </c>
      <c r="D185" s="76" t="s">
        <v>237</v>
      </c>
      <c r="E185" s="448" t="s">
        <v>237</v>
      </c>
      <c r="F185" s="131" t="s">
        <v>237</v>
      </c>
      <c r="G185" s="131" t="s">
        <v>237</v>
      </c>
      <c r="H185" s="131" t="s">
        <v>237</v>
      </c>
      <c r="I185" s="448" t="s">
        <v>237</v>
      </c>
      <c r="J185" s="131" t="s">
        <v>237</v>
      </c>
      <c r="K185" s="131" t="s">
        <v>237</v>
      </c>
      <c r="L185" s="131" t="s">
        <v>237</v>
      </c>
      <c r="Q185" s="53"/>
      <c r="R185" s="53"/>
    </row>
    <row r="186" spans="2:18" ht="15" hidden="1" customHeight="1" outlineLevel="1">
      <c r="B186" s="376" t="s">
        <v>520</v>
      </c>
      <c r="C186" s="76" t="s">
        <v>237</v>
      </c>
      <c r="D186" s="76" t="s">
        <v>237</v>
      </c>
      <c r="E186" s="448" t="s">
        <v>237</v>
      </c>
      <c r="F186" s="131" t="s">
        <v>237</v>
      </c>
      <c r="G186" s="131" t="s">
        <v>237</v>
      </c>
      <c r="H186" s="131" t="s">
        <v>237</v>
      </c>
      <c r="I186" s="448" t="s">
        <v>237</v>
      </c>
      <c r="J186" s="131" t="s">
        <v>237</v>
      </c>
      <c r="K186" s="131" t="s">
        <v>237</v>
      </c>
      <c r="L186" s="131" t="s">
        <v>237</v>
      </c>
      <c r="Q186" s="53"/>
      <c r="R186" s="53"/>
    </row>
    <row r="187" spans="2:18" ht="15" hidden="1" customHeight="1" outlineLevel="1">
      <c r="B187" s="376" t="s">
        <v>520</v>
      </c>
      <c r="C187" s="76" t="s">
        <v>237</v>
      </c>
      <c r="D187" s="76" t="s">
        <v>237</v>
      </c>
      <c r="E187" s="448" t="s">
        <v>237</v>
      </c>
      <c r="F187" s="131" t="s">
        <v>237</v>
      </c>
      <c r="G187" s="131" t="s">
        <v>237</v>
      </c>
      <c r="H187" s="131" t="s">
        <v>237</v>
      </c>
      <c r="I187" s="448" t="s">
        <v>237</v>
      </c>
      <c r="J187" s="131" t="s">
        <v>237</v>
      </c>
      <c r="K187" s="131" t="s">
        <v>237</v>
      </c>
      <c r="L187" s="131" t="s">
        <v>237</v>
      </c>
      <c r="Q187" s="53"/>
      <c r="R187" s="53"/>
    </row>
    <row r="188" spans="2:18" ht="15" hidden="1" customHeight="1" outlineLevel="1">
      <c r="B188" s="376" t="s">
        <v>520</v>
      </c>
      <c r="C188" s="76" t="s">
        <v>237</v>
      </c>
      <c r="D188" s="76" t="s">
        <v>237</v>
      </c>
      <c r="E188" s="448" t="s">
        <v>237</v>
      </c>
      <c r="F188" s="131" t="s">
        <v>237</v>
      </c>
      <c r="G188" s="131" t="s">
        <v>237</v>
      </c>
      <c r="H188" s="131" t="s">
        <v>237</v>
      </c>
      <c r="I188" s="448" t="s">
        <v>237</v>
      </c>
      <c r="J188" s="131" t="s">
        <v>237</v>
      </c>
      <c r="K188" s="131" t="s">
        <v>237</v>
      </c>
      <c r="L188" s="131" t="s">
        <v>237</v>
      </c>
      <c r="Q188" s="53"/>
      <c r="R188" s="53"/>
    </row>
    <row r="189" spans="2:18" ht="15" hidden="1" customHeight="1" outlineLevel="1">
      <c r="B189" s="376" t="s">
        <v>520</v>
      </c>
      <c r="C189" s="76" t="s">
        <v>237</v>
      </c>
      <c r="D189" s="76" t="s">
        <v>237</v>
      </c>
      <c r="E189" s="448" t="s">
        <v>237</v>
      </c>
      <c r="F189" s="131" t="s">
        <v>237</v>
      </c>
      <c r="G189" s="131" t="s">
        <v>237</v>
      </c>
      <c r="H189" s="131" t="s">
        <v>237</v>
      </c>
      <c r="I189" s="448" t="s">
        <v>237</v>
      </c>
      <c r="J189" s="131" t="s">
        <v>237</v>
      </c>
      <c r="K189" s="131" t="s">
        <v>237</v>
      </c>
      <c r="L189" s="131" t="s">
        <v>237</v>
      </c>
      <c r="Q189" s="53"/>
      <c r="R189" s="53"/>
    </row>
    <row r="190" spans="2:18" ht="15" hidden="1" customHeight="1" outlineLevel="1">
      <c r="B190" s="376" t="s">
        <v>520</v>
      </c>
      <c r="C190" s="76" t="s">
        <v>237</v>
      </c>
      <c r="D190" s="76" t="s">
        <v>237</v>
      </c>
      <c r="E190" s="448" t="s">
        <v>237</v>
      </c>
      <c r="F190" s="131" t="s">
        <v>237</v>
      </c>
      <c r="G190" s="131" t="s">
        <v>237</v>
      </c>
      <c r="H190" s="131" t="s">
        <v>237</v>
      </c>
      <c r="I190" s="448" t="s">
        <v>237</v>
      </c>
      <c r="J190" s="131" t="s">
        <v>237</v>
      </c>
      <c r="K190" s="131" t="s">
        <v>237</v>
      </c>
      <c r="L190" s="131" t="s">
        <v>237</v>
      </c>
      <c r="Q190" s="53"/>
      <c r="R190" s="53"/>
    </row>
    <row r="191" spans="2:18" ht="15" hidden="1" customHeight="1" outlineLevel="1">
      <c r="B191" s="376" t="s">
        <v>520</v>
      </c>
      <c r="C191" s="76" t="s">
        <v>237</v>
      </c>
      <c r="D191" s="76" t="s">
        <v>237</v>
      </c>
      <c r="E191" s="448" t="s">
        <v>237</v>
      </c>
      <c r="F191" s="131" t="s">
        <v>237</v>
      </c>
      <c r="G191" s="131" t="s">
        <v>237</v>
      </c>
      <c r="H191" s="131" t="s">
        <v>237</v>
      </c>
      <c r="I191" s="448" t="s">
        <v>237</v>
      </c>
      <c r="J191" s="131" t="s">
        <v>237</v>
      </c>
      <c r="K191" s="131" t="s">
        <v>237</v>
      </c>
      <c r="L191" s="131" t="s">
        <v>237</v>
      </c>
      <c r="Q191" s="53"/>
      <c r="R191" s="53"/>
    </row>
    <row r="192" spans="2:18" ht="15" hidden="1" customHeight="1" outlineLevel="1">
      <c r="B192" s="376" t="s">
        <v>520</v>
      </c>
      <c r="C192" s="76" t="s">
        <v>237</v>
      </c>
      <c r="D192" s="76" t="s">
        <v>237</v>
      </c>
      <c r="E192" s="448" t="s">
        <v>237</v>
      </c>
      <c r="F192" s="131" t="s">
        <v>237</v>
      </c>
      <c r="G192" s="131" t="s">
        <v>237</v>
      </c>
      <c r="H192" s="131" t="s">
        <v>237</v>
      </c>
      <c r="I192" s="448" t="s">
        <v>237</v>
      </c>
      <c r="J192" s="131" t="s">
        <v>237</v>
      </c>
      <c r="K192" s="131" t="s">
        <v>237</v>
      </c>
      <c r="L192" s="131" t="s">
        <v>237</v>
      </c>
      <c r="Q192" s="53"/>
      <c r="R192" s="53"/>
    </row>
    <row r="193" spans="2:18" ht="15" hidden="1" customHeight="1" outlineLevel="1">
      <c r="B193" s="376" t="s">
        <v>520</v>
      </c>
      <c r="C193" s="76" t="s">
        <v>237</v>
      </c>
      <c r="D193" s="76" t="s">
        <v>237</v>
      </c>
      <c r="E193" s="448" t="s">
        <v>237</v>
      </c>
      <c r="F193" s="131" t="s">
        <v>237</v>
      </c>
      <c r="G193" s="131" t="s">
        <v>237</v>
      </c>
      <c r="H193" s="131" t="s">
        <v>237</v>
      </c>
      <c r="I193" s="448" t="s">
        <v>237</v>
      </c>
      <c r="J193" s="131" t="s">
        <v>237</v>
      </c>
      <c r="K193" s="131" t="s">
        <v>237</v>
      </c>
      <c r="L193" s="131" t="s">
        <v>237</v>
      </c>
      <c r="Q193" s="53"/>
      <c r="R193" s="53"/>
    </row>
    <row r="194" spans="2:18" ht="15" hidden="1" customHeight="1" outlineLevel="1">
      <c r="B194" s="376" t="s">
        <v>520</v>
      </c>
      <c r="C194" s="76" t="s">
        <v>237</v>
      </c>
      <c r="D194" s="76" t="s">
        <v>237</v>
      </c>
      <c r="E194" s="448" t="s">
        <v>237</v>
      </c>
      <c r="F194" s="131" t="s">
        <v>237</v>
      </c>
      <c r="G194" s="131" t="s">
        <v>237</v>
      </c>
      <c r="H194" s="131" t="s">
        <v>237</v>
      </c>
      <c r="I194" s="448" t="s">
        <v>237</v>
      </c>
      <c r="J194" s="131" t="s">
        <v>237</v>
      </c>
      <c r="K194" s="131" t="s">
        <v>237</v>
      </c>
      <c r="L194" s="131" t="s">
        <v>237</v>
      </c>
      <c r="Q194" s="53"/>
      <c r="R194" s="53"/>
    </row>
    <row r="195" spans="2:18" ht="15" hidden="1" customHeight="1" outlineLevel="1">
      <c r="B195" s="376" t="s">
        <v>520</v>
      </c>
      <c r="C195" s="76" t="s">
        <v>237</v>
      </c>
      <c r="D195" s="76" t="s">
        <v>237</v>
      </c>
      <c r="E195" s="448" t="s">
        <v>237</v>
      </c>
      <c r="F195" s="131" t="s">
        <v>237</v>
      </c>
      <c r="G195" s="131" t="s">
        <v>237</v>
      </c>
      <c r="H195" s="131" t="s">
        <v>237</v>
      </c>
      <c r="I195" s="448" t="s">
        <v>237</v>
      </c>
      <c r="J195" s="131" t="s">
        <v>237</v>
      </c>
      <c r="K195" s="131" t="s">
        <v>237</v>
      </c>
      <c r="L195" s="131" t="s">
        <v>237</v>
      </c>
      <c r="Q195" s="53"/>
      <c r="R195" s="53"/>
    </row>
    <row r="196" spans="2:18" ht="15" hidden="1" customHeight="1" outlineLevel="1">
      <c r="B196" s="376" t="s">
        <v>520</v>
      </c>
      <c r="C196" s="76" t="s">
        <v>237</v>
      </c>
      <c r="D196" s="76" t="s">
        <v>237</v>
      </c>
      <c r="E196" s="448" t="s">
        <v>237</v>
      </c>
      <c r="F196" s="131" t="s">
        <v>237</v>
      </c>
      <c r="G196" s="131" t="s">
        <v>237</v>
      </c>
      <c r="H196" s="131" t="s">
        <v>237</v>
      </c>
      <c r="I196" s="448" t="s">
        <v>237</v>
      </c>
      <c r="J196" s="131" t="s">
        <v>237</v>
      </c>
      <c r="K196" s="131" t="s">
        <v>237</v>
      </c>
      <c r="L196" s="131" t="s">
        <v>237</v>
      </c>
      <c r="Q196" s="53"/>
      <c r="R196" s="53"/>
    </row>
    <row r="197" spans="2:18" ht="15" hidden="1" customHeight="1" outlineLevel="1">
      <c r="B197" s="376" t="s">
        <v>520</v>
      </c>
      <c r="C197" s="76" t="s">
        <v>237</v>
      </c>
      <c r="D197" s="76" t="s">
        <v>237</v>
      </c>
      <c r="E197" s="448" t="s">
        <v>237</v>
      </c>
      <c r="F197" s="131" t="s">
        <v>237</v>
      </c>
      <c r="G197" s="131" t="s">
        <v>237</v>
      </c>
      <c r="H197" s="131" t="s">
        <v>237</v>
      </c>
      <c r="I197" s="448" t="s">
        <v>237</v>
      </c>
      <c r="J197" s="131" t="s">
        <v>237</v>
      </c>
      <c r="K197" s="131" t="s">
        <v>237</v>
      </c>
      <c r="L197" s="131" t="s">
        <v>237</v>
      </c>
      <c r="Q197" s="53"/>
      <c r="R197" s="53"/>
    </row>
    <row r="198" spans="2:18" ht="15" hidden="1" customHeight="1" outlineLevel="1">
      <c r="B198" s="376" t="s">
        <v>520</v>
      </c>
      <c r="C198" s="76" t="s">
        <v>237</v>
      </c>
      <c r="D198" s="76" t="s">
        <v>237</v>
      </c>
      <c r="E198" s="448" t="s">
        <v>237</v>
      </c>
      <c r="F198" s="131" t="s">
        <v>237</v>
      </c>
      <c r="G198" s="131" t="s">
        <v>237</v>
      </c>
      <c r="H198" s="131" t="s">
        <v>237</v>
      </c>
      <c r="I198" s="448" t="s">
        <v>237</v>
      </c>
      <c r="J198" s="131" t="s">
        <v>237</v>
      </c>
      <c r="K198" s="131" t="s">
        <v>237</v>
      </c>
      <c r="L198" s="131" t="s">
        <v>237</v>
      </c>
      <c r="Q198" s="53"/>
      <c r="R198" s="53"/>
    </row>
    <row r="199" spans="2:18" ht="15" hidden="1" customHeight="1" outlineLevel="1">
      <c r="B199" s="376" t="s">
        <v>520</v>
      </c>
      <c r="C199" s="76" t="s">
        <v>237</v>
      </c>
      <c r="D199" s="76" t="s">
        <v>237</v>
      </c>
      <c r="E199" s="448" t="s">
        <v>237</v>
      </c>
      <c r="F199" s="131" t="s">
        <v>237</v>
      </c>
      <c r="G199" s="131" t="s">
        <v>237</v>
      </c>
      <c r="H199" s="131" t="s">
        <v>237</v>
      </c>
      <c r="I199" s="448" t="s">
        <v>237</v>
      </c>
      <c r="J199" s="131" t="s">
        <v>237</v>
      </c>
      <c r="K199" s="131" t="s">
        <v>237</v>
      </c>
      <c r="L199" s="131" t="s">
        <v>237</v>
      </c>
      <c r="Q199" s="53"/>
      <c r="R199" s="53"/>
    </row>
    <row r="200" spans="2:18" ht="15" hidden="1" customHeight="1" outlineLevel="1">
      <c r="B200" s="376" t="s">
        <v>520</v>
      </c>
      <c r="C200" s="76" t="s">
        <v>237</v>
      </c>
      <c r="D200" s="76" t="s">
        <v>237</v>
      </c>
      <c r="E200" s="448" t="s">
        <v>237</v>
      </c>
      <c r="F200" s="131" t="s">
        <v>237</v>
      </c>
      <c r="G200" s="131" t="s">
        <v>237</v>
      </c>
      <c r="H200" s="131" t="s">
        <v>237</v>
      </c>
      <c r="I200" s="448" t="s">
        <v>237</v>
      </c>
      <c r="J200" s="131" t="s">
        <v>237</v>
      </c>
      <c r="K200" s="131" t="s">
        <v>237</v>
      </c>
      <c r="L200" s="131" t="s">
        <v>237</v>
      </c>
      <c r="Q200" s="53"/>
      <c r="R200" s="53"/>
    </row>
    <row r="201" spans="2:18" ht="15" hidden="1" customHeight="1" outlineLevel="1">
      <c r="B201" s="376" t="s">
        <v>520</v>
      </c>
      <c r="C201" s="76" t="s">
        <v>237</v>
      </c>
      <c r="D201" s="76" t="s">
        <v>237</v>
      </c>
      <c r="E201" s="448" t="s">
        <v>237</v>
      </c>
      <c r="F201" s="131" t="s">
        <v>237</v>
      </c>
      <c r="G201" s="131" t="s">
        <v>237</v>
      </c>
      <c r="H201" s="131" t="s">
        <v>237</v>
      </c>
      <c r="I201" s="448" t="s">
        <v>237</v>
      </c>
      <c r="J201" s="131" t="s">
        <v>237</v>
      </c>
      <c r="K201" s="131" t="s">
        <v>237</v>
      </c>
      <c r="L201" s="131" t="s">
        <v>237</v>
      </c>
      <c r="Q201" s="53"/>
      <c r="R201" s="53"/>
    </row>
    <row r="202" spans="2:18" ht="15" hidden="1" customHeight="1" outlineLevel="1">
      <c r="B202" s="376" t="s">
        <v>520</v>
      </c>
      <c r="C202" s="76" t="s">
        <v>237</v>
      </c>
      <c r="D202" s="76" t="s">
        <v>237</v>
      </c>
      <c r="E202" s="448" t="s">
        <v>237</v>
      </c>
      <c r="F202" s="131" t="s">
        <v>237</v>
      </c>
      <c r="G202" s="131" t="s">
        <v>237</v>
      </c>
      <c r="H202" s="131" t="s">
        <v>237</v>
      </c>
      <c r="I202" s="448" t="s">
        <v>237</v>
      </c>
      <c r="J202" s="131" t="s">
        <v>237</v>
      </c>
      <c r="K202" s="131" t="s">
        <v>237</v>
      </c>
      <c r="L202" s="131" t="s">
        <v>237</v>
      </c>
      <c r="Q202" s="53"/>
      <c r="R202" s="53"/>
    </row>
    <row r="203" spans="2:18" ht="15" hidden="1" customHeight="1" outlineLevel="1">
      <c r="B203" s="376" t="s">
        <v>520</v>
      </c>
      <c r="C203" s="76" t="s">
        <v>237</v>
      </c>
      <c r="D203" s="76" t="s">
        <v>237</v>
      </c>
      <c r="E203" s="448" t="s">
        <v>237</v>
      </c>
      <c r="F203" s="131" t="s">
        <v>237</v>
      </c>
      <c r="G203" s="131" t="s">
        <v>237</v>
      </c>
      <c r="H203" s="131" t="s">
        <v>237</v>
      </c>
      <c r="I203" s="448" t="s">
        <v>237</v>
      </c>
      <c r="J203" s="131" t="s">
        <v>237</v>
      </c>
      <c r="K203" s="131" t="s">
        <v>237</v>
      </c>
      <c r="L203" s="131" t="s">
        <v>237</v>
      </c>
      <c r="Q203" s="53"/>
      <c r="R203" s="53"/>
    </row>
    <row r="204" spans="2:18" ht="15" hidden="1" customHeight="1" outlineLevel="1">
      <c r="B204" s="376" t="s">
        <v>520</v>
      </c>
      <c r="C204" s="76" t="s">
        <v>237</v>
      </c>
      <c r="D204" s="76" t="s">
        <v>237</v>
      </c>
      <c r="E204" s="448" t="s">
        <v>237</v>
      </c>
      <c r="F204" s="131" t="s">
        <v>237</v>
      </c>
      <c r="G204" s="131" t="s">
        <v>237</v>
      </c>
      <c r="H204" s="131" t="s">
        <v>237</v>
      </c>
      <c r="I204" s="448" t="s">
        <v>237</v>
      </c>
      <c r="J204" s="131" t="s">
        <v>237</v>
      </c>
      <c r="K204" s="131" t="s">
        <v>237</v>
      </c>
      <c r="L204" s="131" t="s">
        <v>237</v>
      </c>
      <c r="Q204" s="53"/>
      <c r="R204" s="53"/>
    </row>
    <row r="205" spans="2:18" ht="15" hidden="1" customHeight="1" outlineLevel="1">
      <c r="B205" s="376" t="s">
        <v>520</v>
      </c>
      <c r="C205" s="76" t="s">
        <v>237</v>
      </c>
      <c r="D205" s="76" t="s">
        <v>237</v>
      </c>
      <c r="E205" s="448" t="s">
        <v>237</v>
      </c>
      <c r="F205" s="131" t="s">
        <v>237</v>
      </c>
      <c r="G205" s="131" t="s">
        <v>237</v>
      </c>
      <c r="H205" s="131" t="s">
        <v>237</v>
      </c>
      <c r="I205" s="448" t="s">
        <v>237</v>
      </c>
      <c r="J205" s="131" t="s">
        <v>237</v>
      </c>
      <c r="K205" s="131" t="s">
        <v>237</v>
      </c>
      <c r="L205" s="131" t="s">
        <v>237</v>
      </c>
      <c r="Q205" s="53"/>
      <c r="R205" s="53"/>
    </row>
    <row r="206" spans="2:18" ht="15" hidden="1" customHeight="1" outlineLevel="1">
      <c r="B206" s="376" t="s">
        <v>520</v>
      </c>
      <c r="C206" s="76" t="s">
        <v>237</v>
      </c>
      <c r="D206" s="76" t="s">
        <v>237</v>
      </c>
      <c r="E206" s="448" t="s">
        <v>237</v>
      </c>
      <c r="F206" s="131" t="s">
        <v>237</v>
      </c>
      <c r="G206" s="131" t="s">
        <v>237</v>
      </c>
      <c r="H206" s="131" t="s">
        <v>237</v>
      </c>
      <c r="I206" s="448" t="s">
        <v>237</v>
      </c>
      <c r="J206" s="131" t="s">
        <v>237</v>
      </c>
      <c r="K206" s="131" t="s">
        <v>237</v>
      </c>
      <c r="L206" s="131" t="s">
        <v>237</v>
      </c>
      <c r="Q206" s="53"/>
      <c r="R206" s="53"/>
    </row>
    <row r="207" spans="2:18" ht="15" hidden="1" customHeight="1" outlineLevel="1">
      <c r="B207" s="376" t="s">
        <v>520</v>
      </c>
      <c r="C207" s="76" t="s">
        <v>237</v>
      </c>
      <c r="D207" s="76" t="s">
        <v>237</v>
      </c>
      <c r="E207" s="448" t="s">
        <v>237</v>
      </c>
      <c r="F207" s="131" t="s">
        <v>237</v>
      </c>
      <c r="G207" s="131" t="s">
        <v>237</v>
      </c>
      <c r="H207" s="131" t="s">
        <v>237</v>
      </c>
      <c r="I207" s="448" t="s">
        <v>237</v>
      </c>
      <c r="J207" s="131" t="s">
        <v>237</v>
      </c>
      <c r="K207" s="131" t="s">
        <v>237</v>
      </c>
      <c r="L207" s="131" t="s">
        <v>237</v>
      </c>
      <c r="Q207" s="53"/>
      <c r="R207" s="53"/>
    </row>
    <row r="208" spans="2:18" ht="15" hidden="1" customHeight="1" outlineLevel="1">
      <c r="B208" s="376" t="s">
        <v>520</v>
      </c>
      <c r="C208" s="76" t="s">
        <v>237</v>
      </c>
      <c r="D208" s="76" t="s">
        <v>237</v>
      </c>
      <c r="E208" s="448" t="s">
        <v>237</v>
      </c>
      <c r="F208" s="131" t="s">
        <v>237</v>
      </c>
      <c r="G208" s="131" t="s">
        <v>237</v>
      </c>
      <c r="H208" s="131" t="s">
        <v>237</v>
      </c>
      <c r="I208" s="448" t="s">
        <v>237</v>
      </c>
      <c r="J208" s="131" t="s">
        <v>237</v>
      </c>
      <c r="K208" s="131" t="s">
        <v>237</v>
      </c>
      <c r="L208" s="131" t="s">
        <v>237</v>
      </c>
      <c r="Q208" s="53"/>
      <c r="R208" s="53"/>
    </row>
    <row r="209" spans="2:18" ht="15" hidden="1" customHeight="1" outlineLevel="1">
      <c r="B209" s="376" t="s">
        <v>520</v>
      </c>
      <c r="C209" s="76" t="s">
        <v>237</v>
      </c>
      <c r="D209" s="76" t="s">
        <v>237</v>
      </c>
      <c r="E209" s="448" t="s">
        <v>237</v>
      </c>
      <c r="F209" s="131" t="s">
        <v>237</v>
      </c>
      <c r="G209" s="131" t="s">
        <v>237</v>
      </c>
      <c r="H209" s="131" t="s">
        <v>237</v>
      </c>
      <c r="I209" s="448" t="s">
        <v>237</v>
      </c>
      <c r="J209" s="131" t="s">
        <v>237</v>
      </c>
      <c r="K209" s="131" t="s">
        <v>237</v>
      </c>
      <c r="L209" s="131" t="s">
        <v>237</v>
      </c>
      <c r="Q209" s="53"/>
      <c r="R209" s="53"/>
    </row>
    <row r="210" spans="2:18" ht="15" hidden="1" customHeight="1" outlineLevel="1">
      <c r="B210" s="376" t="s">
        <v>520</v>
      </c>
      <c r="C210" s="76" t="s">
        <v>237</v>
      </c>
      <c r="D210" s="76" t="s">
        <v>237</v>
      </c>
      <c r="E210" s="448" t="s">
        <v>237</v>
      </c>
      <c r="F210" s="131" t="s">
        <v>237</v>
      </c>
      <c r="G210" s="131" t="s">
        <v>237</v>
      </c>
      <c r="H210" s="131" t="s">
        <v>237</v>
      </c>
      <c r="I210" s="448" t="s">
        <v>237</v>
      </c>
      <c r="J210" s="131" t="s">
        <v>237</v>
      </c>
      <c r="K210" s="131" t="s">
        <v>237</v>
      </c>
      <c r="L210" s="131" t="s">
        <v>237</v>
      </c>
      <c r="Q210" s="53"/>
      <c r="R210" s="53"/>
    </row>
    <row r="211" spans="2:18" ht="15" hidden="1" customHeight="1" outlineLevel="1">
      <c r="B211" s="376" t="s">
        <v>520</v>
      </c>
      <c r="C211" s="76" t="s">
        <v>237</v>
      </c>
      <c r="D211" s="76" t="s">
        <v>237</v>
      </c>
      <c r="E211" s="448" t="s">
        <v>237</v>
      </c>
      <c r="F211" s="131" t="s">
        <v>237</v>
      </c>
      <c r="G211" s="131" t="s">
        <v>237</v>
      </c>
      <c r="H211" s="131" t="s">
        <v>237</v>
      </c>
      <c r="I211" s="448" t="s">
        <v>237</v>
      </c>
      <c r="J211" s="131" t="s">
        <v>237</v>
      </c>
      <c r="K211" s="131" t="s">
        <v>237</v>
      </c>
      <c r="L211" s="131" t="s">
        <v>237</v>
      </c>
      <c r="Q211" s="53"/>
      <c r="R211" s="53"/>
    </row>
    <row r="212" spans="2:18" ht="15" hidden="1" customHeight="1" outlineLevel="1">
      <c r="B212" s="376" t="s">
        <v>520</v>
      </c>
      <c r="C212" s="76" t="s">
        <v>237</v>
      </c>
      <c r="D212" s="76" t="s">
        <v>237</v>
      </c>
      <c r="E212" s="448" t="s">
        <v>237</v>
      </c>
      <c r="F212" s="131" t="s">
        <v>237</v>
      </c>
      <c r="G212" s="131" t="s">
        <v>237</v>
      </c>
      <c r="H212" s="131" t="s">
        <v>237</v>
      </c>
      <c r="I212" s="448" t="s">
        <v>237</v>
      </c>
      <c r="J212" s="131" t="s">
        <v>237</v>
      </c>
      <c r="K212" s="131" t="s">
        <v>237</v>
      </c>
      <c r="L212" s="131" t="s">
        <v>237</v>
      </c>
      <c r="Q212" s="53"/>
      <c r="R212" s="53"/>
    </row>
    <row r="213" spans="2:18" ht="15" hidden="1" customHeight="1" outlineLevel="1">
      <c r="B213" s="376" t="s">
        <v>520</v>
      </c>
      <c r="C213" s="76" t="s">
        <v>237</v>
      </c>
      <c r="D213" s="76" t="s">
        <v>237</v>
      </c>
      <c r="E213" s="448" t="s">
        <v>237</v>
      </c>
      <c r="F213" s="131" t="s">
        <v>237</v>
      </c>
      <c r="G213" s="131" t="s">
        <v>237</v>
      </c>
      <c r="H213" s="131" t="s">
        <v>237</v>
      </c>
      <c r="I213" s="448" t="s">
        <v>237</v>
      </c>
      <c r="J213" s="131" t="s">
        <v>237</v>
      </c>
      <c r="K213" s="131" t="s">
        <v>237</v>
      </c>
      <c r="L213" s="131" t="s">
        <v>237</v>
      </c>
      <c r="Q213" s="53"/>
      <c r="R213" s="53"/>
    </row>
    <row r="214" spans="2:18" ht="15" hidden="1" customHeight="1" outlineLevel="1">
      <c r="B214" s="376" t="s">
        <v>520</v>
      </c>
      <c r="C214" s="76" t="s">
        <v>237</v>
      </c>
      <c r="D214" s="76" t="s">
        <v>237</v>
      </c>
      <c r="E214" s="448" t="s">
        <v>237</v>
      </c>
      <c r="F214" s="131" t="s">
        <v>237</v>
      </c>
      <c r="G214" s="131" t="s">
        <v>237</v>
      </c>
      <c r="H214" s="131" t="s">
        <v>237</v>
      </c>
      <c r="I214" s="448" t="s">
        <v>237</v>
      </c>
      <c r="J214" s="131" t="s">
        <v>237</v>
      </c>
      <c r="K214" s="131" t="s">
        <v>237</v>
      </c>
      <c r="L214" s="131" t="s">
        <v>237</v>
      </c>
      <c r="Q214" s="53"/>
      <c r="R214" s="53"/>
    </row>
    <row r="215" spans="2:18" ht="15" hidden="1" customHeight="1" outlineLevel="1">
      <c r="B215" s="376" t="s">
        <v>520</v>
      </c>
      <c r="C215" s="76" t="s">
        <v>237</v>
      </c>
      <c r="D215" s="76" t="s">
        <v>237</v>
      </c>
      <c r="E215" s="448" t="s">
        <v>237</v>
      </c>
      <c r="F215" s="131" t="s">
        <v>237</v>
      </c>
      <c r="G215" s="131" t="s">
        <v>237</v>
      </c>
      <c r="H215" s="131" t="s">
        <v>237</v>
      </c>
      <c r="I215" s="448" t="s">
        <v>237</v>
      </c>
      <c r="J215" s="131" t="s">
        <v>237</v>
      </c>
      <c r="K215" s="131" t="s">
        <v>237</v>
      </c>
      <c r="L215" s="131" t="s">
        <v>237</v>
      </c>
      <c r="Q215" s="53"/>
      <c r="R215" s="53"/>
    </row>
    <row r="216" spans="2:18" ht="15" hidden="1" customHeight="1" outlineLevel="1">
      <c r="B216" s="376" t="s">
        <v>520</v>
      </c>
      <c r="C216" s="76" t="s">
        <v>237</v>
      </c>
      <c r="D216" s="76" t="s">
        <v>237</v>
      </c>
      <c r="E216" s="448" t="s">
        <v>237</v>
      </c>
      <c r="F216" s="131" t="s">
        <v>237</v>
      </c>
      <c r="G216" s="131" t="s">
        <v>237</v>
      </c>
      <c r="H216" s="131" t="s">
        <v>237</v>
      </c>
      <c r="I216" s="448" t="s">
        <v>237</v>
      </c>
      <c r="J216" s="131" t="s">
        <v>237</v>
      </c>
      <c r="K216" s="131" t="s">
        <v>237</v>
      </c>
      <c r="L216" s="131" t="s">
        <v>237</v>
      </c>
      <c r="Q216" s="53"/>
      <c r="R216" s="53"/>
    </row>
    <row r="217" spans="2:18" ht="15" hidden="1" customHeight="1" outlineLevel="1">
      <c r="B217" s="376" t="s">
        <v>520</v>
      </c>
      <c r="C217" s="76" t="s">
        <v>237</v>
      </c>
      <c r="D217" s="76" t="s">
        <v>237</v>
      </c>
      <c r="E217" s="448" t="s">
        <v>237</v>
      </c>
      <c r="F217" s="131" t="s">
        <v>237</v>
      </c>
      <c r="G217" s="131" t="s">
        <v>237</v>
      </c>
      <c r="H217" s="131" t="s">
        <v>237</v>
      </c>
      <c r="I217" s="448" t="s">
        <v>237</v>
      </c>
      <c r="J217" s="131" t="s">
        <v>237</v>
      </c>
      <c r="K217" s="131" t="s">
        <v>237</v>
      </c>
      <c r="L217" s="131" t="s">
        <v>237</v>
      </c>
      <c r="Q217" s="53"/>
      <c r="R217" s="53"/>
    </row>
    <row r="218" spans="2:18" ht="15" hidden="1" customHeight="1" outlineLevel="1">
      <c r="B218" s="376" t="s">
        <v>520</v>
      </c>
      <c r="C218" s="76" t="s">
        <v>237</v>
      </c>
      <c r="D218" s="76" t="s">
        <v>237</v>
      </c>
      <c r="E218" s="448" t="s">
        <v>237</v>
      </c>
      <c r="F218" s="131" t="s">
        <v>237</v>
      </c>
      <c r="G218" s="131" t="s">
        <v>237</v>
      </c>
      <c r="H218" s="131" t="s">
        <v>237</v>
      </c>
      <c r="I218" s="448" t="s">
        <v>237</v>
      </c>
      <c r="J218" s="131" t="s">
        <v>237</v>
      </c>
      <c r="K218" s="131" t="s">
        <v>237</v>
      </c>
      <c r="L218" s="131" t="s">
        <v>237</v>
      </c>
      <c r="Q218" s="53"/>
      <c r="R218" s="53"/>
    </row>
    <row r="219" spans="2:18" ht="15" hidden="1" customHeight="1" outlineLevel="1">
      <c r="B219" s="376" t="s">
        <v>520</v>
      </c>
      <c r="C219" s="76" t="s">
        <v>237</v>
      </c>
      <c r="D219" s="76" t="s">
        <v>237</v>
      </c>
      <c r="E219" s="448" t="s">
        <v>237</v>
      </c>
      <c r="F219" s="131" t="s">
        <v>237</v>
      </c>
      <c r="G219" s="131" t="s">
        <v>237</v>
      </c>
      <c r="H219" s="131" t="s">
        <v>237</v>
      </c>
      <c r="I219" s="448" t="s">
        <v>237</v>
      </c>
      <c r="J219" s="131" t="s">
        <v>237</v>
      </c>
      <c r="K219" s="131" t="s">
        <v>237</v>
      </c>
      <c r="L219" s="131" t="s">
        <v>237</v>
      </c>
      <c r="Q219" s="53"/>
      <c r="R219" s="53"/>
    </row>
    <row r="220" spans="2:18" ht="15" hidden="1" customHeight="1" outlineLevel="1">
      <c r="B220" s="376" t="s">
        <v>520</v>
      </c>
      <c r="C220" s="76" t="s">
        <v>237</v>
      </c>
      <c r="D220" s="76" t="s">
        <v>237</v>
      </c>
      <c r="E220" s="448" t="s">
        <v>237</v>
      </c>
      <c r="F220" s="131" t="s">
        <v>237</v>
      </c>
      <c r="G220" s="131" t="s">
        <v>237</v>
      </c>
      <c r="H220" s="131" t="s">
        <v>237</v>
      </c>
      <c r="I220" s="448" t="s">
        <v>237</v>
      </c>
      <c r="J220" s="131" t="s">
        <v>237</v>
      </c>
      <c r="K220" s="131" t="s">
        <v>237</v>
      </c>
      <c r="L220" s="131" t="s">
        <v>237</v>
      </c>
      <c r="Q220" s="53"/>
      <c r="R220" s="53"/>
    </row>
    <row r="221" spans="2:18" ht="15" hidden="1" customHeight="1" outlineLevel="1">
      <c r="B221" s="376" t="s">
        <v>520</v>
      </c>
      <c r="C221" s="76" t="s">
        <v>237</v>
      </c>
      <c r="D221" s="76" t="s">
        <v>237</v>
      </c>
      <c r="E221" s="448" t="s">
        <v>237</v>
      </c>
      <c r="F221" s="131" t="s">
        <v>237</v>
      </c>
      <c r="G221" s="131" t="s">
        <v>237</v>
      </c>
      <c r="H221" s="131" t="s">
        <v>237</v>
      </c>
      <c r="I221" s="448" t="s">
        <v>237</v>
      </c>
      <c r="J221" s="131" t="s">
        <v>237</v>
      </c>
      <c r="K221" s="131" t="s">
        <v>237</v>
      </c>
      <c r="L221" s="131" t="s">
        <v>237</v>
      </c>
      <c r="Q221" s="53"/>
      <c r="R221" s="53"/>
    </row>
    <row r="222" spans="2:18" ht="15" hidden="1" customHeight="1" outlineLevel="1">
      <c r="B222" s="376" t="s">
        <v>520</v>
      </c>
      <c r="C222" s="76" t="s">
        <v>237</v>
      </c>
      <c r="D222" s="76" t="s">
        <v>237</v>
      </c>
      <c r="E222" s="448" t="s">
        <v>237</v>
      </c>
      <c r="F222" s="131" t="s">
        <v>237</v>
      </c>
      <c r="G222" s="131" t="s">
        <v>237</v>
      </c>
      <c r="H222" s="131" t="s">
        <v>237</v>
      </c>
      <c r="I222" s="448" t="s">
        <v>237</v>
      </c>
      <c r="J222" s="131" t="s">
        <v>237</v>
      </c>
      <c r="K222" s="131" t="s">
        <v>237</v>
      </c>
      <c r="L222" s="131" t="s">
        <v>237</v>
      </c>
      <c r="Q222" s="53"/>
      <c r="R222" s="53"/>
    </row>
    <row r="223" spans="2:18" ht="15" hidden="1" customHeight="1" outlineLevel="1">
      <c r="B223" s="376" t="s">
        <v>520</v>
      </c>
      <c r="C223" s="76" t="s">
        <v>237</v>
      </c>
      <c r="D223" s="76" t="s">
        <v>237</v>
      </c>
      <c r="E223" s="448" t="s">
        <v>237</v>
      </c>
      <c r="F223" s="131" t="s">
        <v>237</v>
      </c>
      <c r="G223" s="131" t="s">
        <v>237</v>
      </c>
      <c r="H223" s="131" t="s">
        <v>237</v>
      </c>
      <c r="I223" s="448" t="s">
        <v>237</v>
      </c>
      <c r="J223" s="131" t="s">
        <v>237</v>
      </c>
      <c r="K223" s="131" t="s">
        <v>237</v>
      </c>
      <c r="L223" s="131" t="s">
        <v>237</v>
      </c>
      <c r="Q223" s="53"/>
      <c r="R223" s="53"/>
    </row>
    <row r="224" spans="2:18" ht="15" hidden="1" customHeight="1" outlineLevel="1">
      <c r="B224" s="376" t="s">
        <v>520</v>
      </c>
      <c r="C224" s="76" t="s">
        <v>237</v>
      </c>
      <c r="D224" s="76" t="s">
        <v>237</v>
      </c>
      <c r="E224" s="448" t="s">
        <v>237</v>
      </c>
      <c r="F224" s="131" t="s">
        <v>237</v>
      </c>
      <c r="G224" s="131" t="s">
        <v>237</v>
      </c>
      <c r="H224" s="131" t="s">
        <v>237</v>
      </c>
      <c r="I224" s="448" t="s">
        <v>237</v>
      </c>
      <c r="J224" s="131" t="s">
        <v>237</v>
      </c>
      <c r="K224" s="131" t="s">
        <v>237</v>
      </c>
      <c r="L224" s="131" t="s">
        <v>237</v>
      </c>
      <c r="Q224" s="53"/>
      <c r="R224" s="53"/>
    </row>
    <row r="225" spans="2:18" ht="15" hidden="1" customHeight="1" outlineLevel="1">
      <c r="B225" s="376" t="s">
        <v>520</v>
      </c>
      <c r="C225" s="76" t="s">
        <v>237</v>
      </c>
      <c r="D225" s="76" t="s">
        <v>237</v>
      </c>
      <c r="E225" s="448" t="s">
        <v>237</v>
      </c>
      <c r="F225" s="131" t="s">
        <v>237</v>
      </c>
      <c r="G225" s="131" t="s">
        <v>237</v>
      </c>
      <c r="H225" s="131" t="s">
        <v>237</v>
      </c>
      <c r="I225" s="448" t="s">
        <v>237</v>
      </c>
      <c r="J225" s="131" t="s">
        <v>237</v>
      </c>
      <c r="K225" s="131" t="s">
        <v>237</v>
      </c>
      <c r="L225" s="131" t="s">
        <v>237</v>
      </c>
      <c r="Q225" s="53"/>
      <c r="R225" s="53"/>
    </row>
    <row r="226" spans="2:18" ht="15" hidden="1" customHeight="1" outlineLevel="1">
      <c r="B226" s="376" t="s">
        <v>520</v>
      </c>
      <c r="C226" s="76" t="s">
        <v>237</v>
      </c>
      <c r="D226" s="76" t="s">
        <v>237</v>
      </c>
      <c r="E226" s="448" t="s">
        <v>237</v>
      </c>
      <c r="F226" s="131" t="s">
        <v>237</v>
      </c>
      <c r="G226" s="131" t="s">
        <v>237</v>
      </c>
      <c r="H226" s="131" t="s">
        <v>237</v>
      </c>
      <c r="I226" s="448" t="s">
        <v>237</v>
      </c>
      <c r="J226" s="131" t="s">
        <v>237</v>
      </c>
      <c r="K226" s="131" t="s">
        <v>237</v>
      </c>
      <c r="L226" s="131" t="s">
        <v>237</v>
      </c>
      <c r="Q226" s="53"/>
      <c r="R226" s="53"/>
    </row>
    <row r="227" spans="2:18" ht="15" hidden="1" customHeight="1" outlineLevel="1">
      <c r="B227" s="376" t="s">
        <v>520</v>
      </c>
      <c r="C227" s="76" t="s">
        <v>237</v>
      </c>
      <c r="D227" s="76" t="s">
        <v>237</v>
      </c>
      <c r="E227" s="448" t="s">
        <v>237</v>
      </c>
      <c r="F227" s="131" t="s">
        <v>237</v>
      </c>
      <c r="G227" s="131" t="s">
        <v>237</v>
      </c>
      <c r="H227" s="131" t="s">
        <v>237</v>
      </c>
      <c r="I227" s="448" t="s">
        <v>237</v>
      </c>
      <c r="J227" s="131" t="s">
        <v>237</v>
      </c>
      <c r="K227" s="131" t="s">
        <v>237</v>
      </c>
      <c r="L227" s="131" t="s">
        <v>237</v>
      </c>
      <c r="Q227" s="53"/>
      <c r="R227" s="53"/>
    </row>
    <row r="228" spans="2:18" ht="15" hidden="1" customHeight="1" outlineLevel="1">
      <c r="B228" s="376" t="s">
        <v>520</v>
      </c>
      <c r="C228" s="76" t="s">
        <v>237</v>
      </c>
      <c r="D228" s="76" t="s">
        <v>237</v>
      </c>
      <c r="E228" s="448" t="s">
        <v>237</v>
      </c>
      <c r="F228" s="131" t="s">
        <v>237</v>
      </c>
      <c r="G228" s="131" t="s">
        <v>237</v>
      </c>
      <c r="H228" s="131" t="s">
        <v>237</v>
      </c>
      <c r="I228" s="448" t="s">
        <v>237</v>
      </c>
      <c r="J228" s="131" t="s">
        <v>237</v>
      </c>
      <c r="K228" s="131" t="s">
        <v>237</v>
      </c>
      <c r="L228" s="131" t="s">
        <v>237</v>
      </c>
      <c r="Q228" s="53"/>
      <c r="R228" s="53"/>
    </row>
    <row r="229" spans="2:18" ht="15" hidden="1" customHeight="1" outlineLevel="1">
      <c r="B229" s="376" t="s">
        <v>520</v>
      </c>
      <c r="C229" s="76" t="s">
        <v>237</v>
      </c>
      <c r="D229" s="76" t="s">
        <v>237</v>
      </c>
      <c r="E229" s="448" t="s">
        <v>237</v>
      </c>
      <c r="F229" s="131" t="s">
        <v>237</v>
      </c>
      <c r="G229" s="131" t="s">
        <v>237</v>
      </c>
      <c r="H229" s="131" t="s">
        <v>237</v>
      </c>
      <c r="I229" s="448" t="s">
        <v>237</v>
      </c>
      <c r="J229" s="131" t="s">
        <v>237</v>
      </c>
      <c r="K229" s="131" t="s">
        <v>237</v>
      </c>
      <c r="L229" s="131" t="s">
        <v>237</v>
      </c>
      <c r="Q229" s="53"/>
      <c r="R229" s="53"/>
    </row>
    <row r="230" spans="2:18" ht="15" hidden="1" customHeight="1" outlineLevel="1">
      <c r="B230" s="376" t="s">
        <v>520</v>
      </c>
      <c r="C230" s="76" t="s">
        <v>237</v>
      </c>
      <c r="D230" s="76" t="s">
        <v>237</v>
      </c>
      <c r="E230" s="448" t="s">
        <v>237</v>
      </c>
      <c r="F230" s="131" t="s">
        <v>237</v>
      </c>
      <c r="G230" s="131" t="s">
        <v>237</v>
      </c>
      <c r="H230" s="131" t="s">
        <v>237</v>
      </c>
      <c r="I230" s="448" t="s">
        <v>237</v>
      </c>
      <c r="J230" s="131" t="s">
        <v>237</v>
      </c>
      <c r="K230" s="131" t="s">
        <v>237</v>
      </c>
      <c r="L230" s="131" t="s">
        <v>237</v>
      </c>
      <c r="Q230" s="53"/>
      <c r="R230" s="53"/>
    </row>
    <row r="231" spans="2:18" ht="15" hidden="1" customHeight="1" outlineLevel="1">
      <c r="B231" s="376" t="s">
        <v>520</v>
      </c>
      <c r="C231" s="76" t="s">
        <v>237</v>
      </c>
      <c r="D231" s="76" t="s">
        <v>237</v>
      </c>
      <c r="E231" s="448" t="s">
        <v>237</v>
      </c>
      <c r="F231" s="131" t="s">
        <v>237</v>
      </c>
      <c r="G231" s="131" t="s">
        <v>237</v>
      </c>
      <c r="H231" s="131" t="s">
        <v>237</v>
      </c>
      <c r="I231" s="448" t="s">
        <v>237</v>
      </c>
      <c r="J231" s="131" t="s">
        <v>237</v>
      </c>
      <c r="K231" s="131" t="s">
        <v>237</v>
      </c>
      <c r="L231" s="131" t="s">
        <v>237</v>
      </c>
      <c r="Q231" s="53"/>
      <c r="R231" s="53"/>
    </row>
    <row r="232" spans="2:18" ht="15" hidden="1" customHeight="1" outlineLevel="1">
      <c r="B232" s="376" t="s">
        <v>520</v>
      </c>
      <c r="C232" s="76" t="s">
        <v>237</v>
      </c>
      <c r="D232" s="76" t="s">
        <v>237</v>
      </c>
      <c r="E232" s="448" t="s">
        <v>237</v>
      </c>
      <c r="F232" s="131" t="s">
        <v>237</v>
      </c>
      <c r="G232" s="131" t="s">
        <v>237</v>
      </c>
      <c r="H232" s="131" t="s">
        <v>237</v>
      </c>
      <c r="I232" s="448" t="s">
        <v>237</v>
      </c>
      <c r="J232" s="131" t="s">
        <v>237</v>
      </c>
      <c r="K232" s="131" t="s">
        <v>237</v>
      </c>
      <c r="L232" s="131" t="s">
        <v>237</v>
      </c>
      <c r="Q232" s="53"/>
      <c r="R232" s="53"/>
    </row>
    <row r="233" spans="2:18" ht="15" hidden="1" customHeight="1" outlineLevel="1">
      <c r="B233" s="376" t="s">
        <v>520</v>
      </c>
      <c r="C233" s="76" t="s">
        <v>237</v>
      </c>
      <c r="D233" s="76" t="s">
        <v>237</v>
      </c>
      <c r="E233" s="448" t="s">
        <v>237</v>
      </c>
      <c r="F233" s="131" t="s">
        <v>237</v>
      </c>
      <c r="G233" s="131" t="s">
        <v>237</v>
      </c>
      <c r="H233" s="131" t="s">
        <v>237</v>
      </c>
      <c r="I233" s="448" t="s">
        <v>237</v>
      </c>
      <c r="J233" s="131" t="s">
        <v>237</v>
      </c>
      <c r="K233" s="131" t="s">
        <v>237</v>
      </c>
      <c r="L233" s="131" t="s">
        <v>237</v>
      </c>
      <c r="Q233" s="53"/>
      <c r="R233" s="53"/>
    </row>
    <row r="234" spans="2:18" ht="15" hidden="1" customHeight="1" outlineLevel="1">
      <c r="B234" s="376" t="s">
        <v>520</v>
      </c>
      <c r="C234" s="76" t="s">
        <v>237</v>
      </c>
      <c r="D234" s="76" t="s">
        <v>237</v>
      </c>
      <c r="E234" s="448" t="s">
        <v>237</v>
      </c>
      <c r="F234" s="131" t="s">
        <v>237</v>
      </c>
      <c r="G234" s="131" t="s">
        <v>237</v>
      </c>
      <c r="H234" s="131" t="s">
        <v>237</v>
      </c>
      <c r="I234" s="448" t="s">
        <v>237</v>
      </c>
      <c r="J234" s="131" t="s">
        <v>237</v>
      </c>
      <c r="K234" s="131" t="s">
        <v>237</v>
      </c>
      <c r="L234" s="131" t="s">
        <v>237</v>
      </c>
      <c r="Q234" s="53"/>
      <c r="R234" s="53"/>
    </row>
    <row r="235" spans="2:18" ht="15" hidden="1" customHeight="1" outlineLevel="1">
      <c r="B235" s="376" t="s">
        <v>520</v>
      </c>
      <c r="C235" s="76" t="s">
        <v>237</v>
      </c>
      <c r="D235" s="76" t="s">
        <v>237</v>
      </c>
      <c r="E235" s="448" t="s">
        <v>237</v>
      </c>
      <c r="F235" s="131" t="s">
        <v>237</v>
      </c>
      <c r="G235" s="131" t="s">
        <v>237</v>
      </c>
      <c r="H235" s="131" t="s">
        <v>237</v>
      </c>
      <c r="I235" s="448" t="s">
        <v>237</v>
      </c>
      <c r="J235" s="131" t="s">
        <v>237</v>
      </c>
      <c r="K235" s="131" t="s">
        <v>237</v>
      </c>
      <c r="L235" s="131" t="s">
        <v>237</v>
      </c>
      <c r="Q235" s="53"/>
      <c r="R235" s="53"/>
    </row>
    <row r="236" spans="2:18" ht="15" hidden="1" customHeight="1" outlineLevel="1">
      <c r="B236" s="376" t="s">
        <v>520</v>
      </c>
      <c r="C236" s="76" t="s">
        <v>237</v>
      </c>
      <c r="D236" s="76" t="s">
        <v>237</v>
      </c>
      <c r="E236" s="448" t="s">
        <v>237</v>
      </c>
      <c r="F236" s="131" t="s">
        <v>237</v>
      </c>
      <c r="G236" s="131" t="s">
        <v>237</v>
      </c>
      <c r="H236" s="131" t="s">
        <v>237</v>
      </c>
      <c r="I236" s="448" t="s">
        <v>237</v>
      </c>
      <c r="J236" s="131" t="s">
        <v>237</v>
      </c>
      <c r="K236" s="131" t="s">
        <v>237</v>
      </c>
      <c r="L236" s="131" t="s">
        <v>237</v>
      </c>
      <c r="Q236" s="53"/>
      <c r="R236" s="53"/>
    </row>
    <row r="237" spans="2:18" ht="15" hidden="1" customHeight="1" outlineLevel="1">
      <c r="B237" s="376" t="s">
        <v>520</v>
      </c>
      <c r="C237" s="76" t="s">
        <v>237</v>
      </c>
      <c r="D237" s="76" t="s">
        <v>237</v>
      </c>
      <c r="E237" s="448" t="s">
        <v>237</v>
      </c>
      <c r="F237" s="131" t="s">
        <v>237</v>
      </c>
      <c r="G237" s="131" t="s">
        <v>237</v>
      </c>
      <c r="H237" s="131" t="s">
        <v>237</v>
      </c>
      <c r="I237" s="448" t="s">
        <v>237</v>
      </c>
      <c r="J237" s="131" t="s">
        <v>237</v>
      </c>
      <c r="K237" s="131" t="s">
        <v>237</v>
      </c>
      <c r="L237" s="131" t="s">
        <v>237</v>
      </c>
      <c r="Q237" s="53"/>
      <c r="R237" s="53"/>
    </row>
    <row r="238" spans="2:18" ht="15" hidden="1" customHeight="1" outlineLevel="1">
      <c r="B238" s="376" t="s">
        <v>520</v>
      </c>
      <c r="C238" s="76" t="s">
        <v>237</v>
      </c>
      <c r="D238" s="76" t="s">
        <v>237</v>
      </c>
      <c r="E238" s="448" t="s">
        <v>237</v>
      </c>
      <c r="F238" s="131" t="s">
        <v>237</v>
      </c>
      <c r="G238" s="131" t="s">
        <v>237</v>
      </c>
      <c r="H238" s="131" t="s">
        <v>237</v>
      </c>
      <c r="I238" s="448" t="s">
        <v>237</v>
      </c>
      <c r="J238" s="131" t="s">
        <v>237</v>
      </c>
      <c r="K238" s="131" t="s">
        <v>237</v>
      </c>
      <c r="L238" s="131" t="s">
        <v>237</v>
      </c>
      <c r="Q238" s="53"/>
      <c r="R238" s="53"/>
    </row>
    <row r="239" spans="2:18" ht="15" hidden="1" customHeight="1" outlineLevel="1">
      <c r="B239" s="376" t="s">
        <v>520</v>
      </c>
      <c r="C239" s="76" t="s">
        <v>237</v>
      </c>
      <c r="D239" s="76" t="s">
        <v>237</v>
      </c>
      <c r="E239" s="448" t="s">
        <v>237</v>
      </c>
      <c r="F239" s="131" t="s">
        <v>237</v>
      </c>
      <c r="G239" s="131" t="s">
        <v>237</v>
      </c>
      <c r="H239" s="131" t="s">
        <v>237</v>
      </c>
      <c r="I239" s="448" t="s">
        <v>237</v>
      </c>
      <c r="J239" s="131" t="s">
        <v>237</v>
      </c>
      <c r="K239" s="131" t="s">
        <v>237</v>
      </c>
      <c r="L239" s="131" t="s">
        <v>237</v>
      </c>
      <c r="Q239" s="53"/>
      <c r="R239" s="53"/>
    </row>
    <row r="240" spans="2:18" ht="15" hidden="1" customHeight="1" outlineLevel="1">
      <c r="B240" s="376" t="s">
        <v>520</v>
      </c>
      <c r="C240" s="76" t="s">
        <v>237</v>
      </c>
      <c r="D240" s="76" t="s">
        <v>237</v>
      </c>
      <c r="E240" s="448" t="s">
        <v>237</v>
      </c>
      <c r="F240" s="131" t="s">
        <v>237</v>
      </c>
      <c r="G240" s="131" t="s">
        <v>237</v>
      </c>
      <c r="H240" s="131" t="s">
        <v>237</v>
      </c>
      <c r="I240" s="448" t="s">
        <v>237</v>
      </c>
      <c r="J240" s="131" t="s">
        <v>237</v>
      </c>
      <c r="K240" s="131" t="s">
        <v>237</v>
      </c>
      <c r="L240" s="131" t="s">
        <v>237</v>
      </c>
      <c r="Q240" s="53"/>
      <c r="R240" s="53"/>
    </row>
    <row r="241" spans="2:18" ht="15" hidden="1" customHeight="1" outlineLevel="1">
      <c r="B241" s="376" t="s">
        <v>520</v>
      </c>
      <c r="C241" s="76" t="s">
        <v>237</v>
      </c>
      <c r="D241" s="76" t="s">
        <v>237</v>
      </c>
      <c r="E241" s="448" t="s">
        <v>237</v>
      </c>
      <c r="F241" s="131" t="s">
        <v>237</v>
      </c>
      <c r="G241" s="131" t="s">
        <v>237</v>
      </c>
      <c r="H241" s="131" t="s">
        <v>237</v>
      </c>
      <c r="I241" s="448" t="s">
        <v>237</v>
      </c>
      <c r="J241" s="131" t="s">
        <v>237</v>
      </c>
      <c r="K241" s="131" t="s">
        <v>237</v>
      </c>
      <c r="L241" s="131" t="s">
        <v>237</v>
      </c>
      <c r="Q241" s="53"/>
      <c r="R241" s="53"/>
    </row>
    <row r="242" spans="2:18" ht="15" hidden="1" customHeight="1" outlineLevel="1">
      <c r="B242" s="376" t="s">
        <v>520</v>
      </c>
      <c r="C242" s="76" t="s">
        <v>237</v>
      </c>
      <c r="D242" s="76" t="s">
        <v>237</v>
      </c>
      <c r="E242" s="448" t="s">
        <v>237</v>
      </c>
      <c r="F242" s="131" t="s">
        <v>237</v>
      </c>
      <c r="G242" s="131" t="s">
        <v>237</v>
      </c>
      <c r="H242" s="131" t="s">
        <v>237</v>
      </c>
      <c r="I242" s="448" t="s">
        <v>237</v>
      </c>
      <c r="J242" s="131" t="s">
        <v>237</v>
      </c>
      <c r="K242" s="131" t="s">
        <v>237</v>
      </c>
      <c r="L242" s="131" t="s">
        <v>237</v>
      </c>
      <c r="Q242" s="53"/>
      <c r="R242" s="53"/>
    </row>
    <row r="243" spans="2:18" ht="15" hidden="1" customHeight="1" outlineLevel="1">
      <c r="B243" s="376" t="s">
        <v>520</v>
      </c>
      <c r="C243" s="76" t="s">
        <v>237</v>
      </c>
      <c r="D243" s="76" t="s">
        <v>237</v>
      </c>
      <c r="E243" s="448" t="s">
        <v>237</v>
      </c>
      <c r="F243" s="131" t="s">
        <v>237</v>
      </c>
      <c r="G243" s="131" t="s">
        <v>237</v>
      </c>
      <c r="H243" s="131" t="s">
        <v>237</v>
      </c>
      <c r="I243" s="448" t="s">
        <v>237</v>
      </c>
      <c r="J243" s="131" t="s">
        <v>237</v>
      </c>
      <c r="K243" s="131" t="s">
        <v>237</v>
      </c>
      <c r="L243" s="131" t="s">
        <v>237</v>
      </c>
      <c r="Q243" s="53"/>
      <c r="R243" s="53"/>
    </row>
    <row r="244" spans="2:18" ht="15" hidden="1" customHeight="1" outlineLevel="1">
      <c r="B244" s="376" t="s">
        <v>520</v>
      </c>
      <c r="C244" s="76" t="s">
        <v>237</v>
      </c>
      <c r="D244" s="76" t="s">
        <v>237</v>
      </c>
      <c r="E244" s="448" t="s">
        <v>237</v>
      </c>
      <c r="F244" s="131" t="s">
        <v>237</v>
      </c>
      <c r="G244" s="131" t="s">
        <v>237</v>
      </c>
      <c r="H244" s="131" t="s">
        <v>237</v>
      </c>
      <c r="I244" s="448" t="s">
        <v>237</v>
      </c>
      <c r="J244" s="131" t="s">
        <v>237</v>
      </c>
      <c r="K244" s="131" t="s">
        <v>237</v>
      </c>
      <c r="L244" s="131" t="s">
        <v>237</v>
      </c>
      <c r="Q244" s="53"/>
      <c r="R244" s="53"/>
    </row>
    <row r="245" spans="2:18" ht="15" hidden="1" customHeight="1" outlineLevel="1">
      <c r="B245" s="376" t="s">
        <v>520</v>
      </c>
      <c r="C245" s="76" t="s">
        <v>237</v>
      </c>
      <c r="D245" s="76" t="s">
        <v>237</v>
      </c>
      <c r="E245" s="448" t="s">
        <v>237</v>
      </c>
      <c r="F245" s="131" t="s">
        <v>237</v>
      </c>
      <c r="G245" s="131" t="s">
        <v>237</v>
      </c>
      <c r="H245" s="131" t="s">
        <v>237</v>
      </c>
      <c r="I245" s="448" t="s">
        <v>237</v>
      </c>
      <c r="J245" s="131" t="s">
        <v>237</v>
      </c>
      <c r="K245" s="131" t="s">
        <v>237</v>
      </c>
      <c r="L245" s="131" t="s">
        <v>237</v>
      </c>
      <c r="Q245" s="53"/>
      <c r="R245" s="53"/>
    </row>
    <row r="246" spans="2:18" ht="15.75" hidden="1" customHeight="1" outlineLevel="1" thickBot="1">
      <c r="B246" s="376" t="s">
        <v>520</v>
      </c>
      <c r="C246" s="76" t="s">
        <v>237</v>
      </c>
      <c r="D246" s="76" t="s">
        <v>237</v>
      </c>
      <c r="E246" s="448" t="s">
        <v>237</v>
      </c>
      <c r="F246" s="131" t="s">
        <v>237</v>
      </c>
      <c r="G246" s="131" t="s">
        <v>237</v>
      </c>
      <c r="H246" s="131" t="s">
        <v>237</v>
      </c>
      <c r="I246" s="448" t="s">
        <v>237</v>
      </c>
      <c r="J246" s="131" t="s">
        <v>237</v>
      </c>
      <c r="K246" s="131" t="s">
        <v>237</v>
      </c>
      <c r="L246" s="131" t="s">
        <v>237</v>
      </c>
      <c r="Q246" s="53"/>
      <c r="R246" s="53"/>
    </row>
    <row r="247" spans="2:18" s="17" customFormat="1" ht="21" customHeight="1" collapsed="1">
      <c r="B247" s="392" t="s">
        <v>105</v>
      </c>
      <c r="C247" s="393">
        <f>RR!C5</f>
        <v>1801</v>
      </c>
      <c r="D247" s="393">
        <f>RR!D5</f>
        <v>27449.833117429749</v>
      </c>
      <c r="E247" s="450">
        <f>RR!E5</f>
        <v>0.72934569103311975</v>
      </c>
      <c r="F247" s="450">
        <f>RR!F5</f>
        <v>0</v>
      </c>
      <c r="G247" s="450">
        <f>RR!G5</f>
        <v>0.1113689440293414</v>
      </c>
      <c r="H247" s="450">
        <f>RR!H5</f>
        <v>0.50618334346212235</v>
      </c>
      <c r="I247" s="450">
        <f>RR!I5</f>
        <v>0.91081310600256249</v>
      </c>
      <c r="J247" s="450">
        <f>RR!J5</f>
        <v>0.99822109295292116</v>
      </c>
      <c r="K247" s="450">
        <f>RR!K5</f>
        <v>1</v>
      </c>
      <c r="L247" s="450">
        <f>RR!L5</f>
        <v>1</v>
      </c>
      <c r="O247" s="48"/>
      <c r="P247" s="48"/>
      <c r="Q247" s="53"/>
      <c r="R247" s="53"/>
    </row>
  </sheetData>
  <mergeCells count="1">
    <mergeCell ref="B5:L5"/>
  </mergeCells>
  <conditionalFormatting sqref="R13:R6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C3DF0-6D2D-463C-844B-7DC3C567A195}">
  <dimension ref="B2:AH120"/>
  <sheetViews>
    <sheetView workbookViewId="0">
      <selection activeCell="I10" sqref="I10"/>
    </sheetView>
  </sheetViews>
  <sheetFormatPr defaultColWidth="9" defaultRowHeight="14.4" outlineLevelRow="1"/>
  <cols>
    <col min="1" max="1" width="9" style="3"/>
    <col min="2" max="2" width="9" style="6"/>
    <col min="3" max="3" width="9" style="38"/>
    <col min="4" max="34" width="6.59765625" style="3" customWidth="1"/>
    <col min="35" max="16384" width="9" style="3"/>
  </cols>
  <sheetData>
    <row r="2" spans="2:34">
      <c r="B2" s="236" t="s">
        <v>413</v>
      </c>
    </row>
    <row r="3" spans="2:34" ht="15" thickBot="1"/>
    <row r="4" spans="2:34" ht="43.8" thickBot="1">
      <c r="B4" s="127" t="s">
        <v>124</v>
      </c>
      <c r="C4" s="314" t="s">
        <v>14</v>
      </c>
      <c r="D4" s="421">
        <v>1994</v>
      </c>
      <c r="E4" s="422">
        <v>1995</v>
      </c>
      <c r="F4" s="422">
        <v>1996</v>
      </c>
      <c r="G4" s="422">
        <v>1997</v>
      </c>
      <c r="H4" s="422">
        <v>1998</v>
      </c>
      <c r="I4" s="422">
        <v>1999</v>
      </c>
      <c r="J4" s="422">
        <v>2000</v>
      </c>
      <c r="K4" s="422">
        <v>2001</v>
      </c>
      <c r="L4" s="422">
        <v>2002</v>
      </c>
      <c r="M4" s="422">
        <v>2003</v>
      </c>
      <c r="N4" s="422">
        <v>2004</v>
      </c>
      <c r="O4" s="422">
        <v>2005</v>
      </c>
      <c r="P4" s="422">
        <v>2006</v>
      </c>
      <c r="Q4" s="422">
        <v>2007</v>
      </c>
      <c r="R4" s="422">
        <v>2008</v>
      </c>
      <c r="S4" s="422">
        <v>2009</v>
      </c>
      <c r="T4" s="422">
        <v>2010</v>
      </c>
      <c r="U4" s="422">
        <v>2011</v>
      </c>
      <c r="V4" s="422">
        <v>2012</v>
      </c>
      <c r="W4" s="422">
        <v>2013</v>
      </c>
      <c r="X4" s="422">
        <v>2014</v>
      </c>
      <c r="Y4" s="422">
        <v>2015</v>
      </c>
      <c r="Z4" s="422">
        <v>2016</v>
      </c>
      <c r="AA4" s="422">
        <v>2017</v>
      </c>
      <c r="AB4" s="422">
        <v>2018</v>
      </c>
      <c r="AC4" s="422">
        <v>2019</v>
      </c>
      <c r="AD4" s="422">
        <v>2020</v>
      </c>
      <c r="AE4" s="422">
        <v>2021</v>
      </c>
      <c r="AF4" s="422">
        <v>2022</v>
      </c>
      <c r="AG4" s="422">
        <v>2023</v>
      </c>
      <c r="AH4" s="423">
        <v>2024</v>
      </c>
    </row>
    <row r="5" spans="2:34">
      <c r="B5" s="86" t="s">
        <v>251</v>
      </c>
      <c r="C5" s="132">
        <v>0.80220365440182906</v>
      </c>
      <c r="D5" s="256" t="s">
        <v>237</v>
      </c>
      <c r="E5" s="257" t="s">
        <v>237</v>
      </c>
      <c r="F5" s="257" t="s">
        <v>237</v>
      </c>
      <c r="G5" s="257" t="s">
        <v>237</v>
      </c>
      <c r="H5" s="257">
        <v>0.9559223130166028</v>
      </c>
      <c r="I5" s="257" t="s">
        <v>237</v>
      </c>
      <c r="J5" s="257" t="s">
        <v>237</v>
      </c>
      <c r="K5" s="257" t="s">
        <v>237</v>
      </c>
      <c r="L5" s="257" t="s">
        <v>237</v>
      </c>
      <c r="M5" s="257" t="s">
        <v>237</v>
      </c>
      <c r="N5" s="257" t="s">
        <v>237</v>
      </c>
      <c r="O5" s="257" t="s">
        <v>237</v>
      </c>
      <c r="P5" s="257" t="s">
        <v>237</v>
      </c>
      <c r="Q5" s="257" t="s">
        <v>237</v>
      </c>
      <c r="R5" s="257" t="s">
        <v>237</v>
      </c>
      <c r="S5" s="257" t="s">
        <v>237</v>
      </c>
      <c r="T5" s="257">
        <v>0.93971723701673904</v>
      </c>
      <c r="U5" s="257">
        <v>0.92286933610529065</v>
      </c>
      <c r="V5" s="257">
        <v>0.95850156881342419</v>
      </c>
      <c r="W5" s="257">
        <v>0.43406454667542682</v>
      </c>
      <c r="X5" s="257">
        <v>0.85133131200280965</v>
      </c>
      <c r="Y5" s="257">
        <v>0.58300732860311122</v>
      </c>
      <c r="Z5" s="257">
        <v>0.77304519654668935</v>
      </c>
      <c r="AA5" s="257">
        <v>0.80303189075868775</v>
      </c>
      <c r="AB5" s="257" t="s">
        <v>237</v>
      </c>
      <c r="AC5" s="257" t="s">
        <v>237</v>
      </c>
      <c r="AD5" s="257" t="s">
        <v>237</v>
      </c>
      <c r="AE5" s="257" t="s">
        <v>237</v>
      </c>
      <c r="AF5" s="257" t="s">
        <v>237</v>
      </c>
      <c r="AG5" s="257" t="s">
        <v>237</v>
      </c>
      <c r="AH5" s="258" t="s">
        <v>237</v>
      </c>
    </row>
    <row r="6" spans="2:34">
      <c r="B6" s="196" t="s">
        <v>252</v>
      </c>
      <c r="C6" s="197">
        <v>0.61755172688155413</v>
      </c>
      <c r="D6" s="259" t="s">
        <v>237</v>
      </c>
      <c r="E6" s="260" t="s">
        <v>237</v>
      </c>
      <c r="F6" s="260" t="s">
        <v>237</v>
      </c>
      <c r="G6" s="260" t="s">
        <v>237</v>
      </c>
      <c r="H6" s="260" t="s">
        <v>237</v>
      </c>
      <c r="I6" s="260" t="s">
        <v>237</v>
      </c>
      <c r="J6" s="260" t="s">
        <v>237</v>
      </c>
      <c r="K6" s="260" t="s">
        <v>237</v>
      </c>
      <c r="L6" s="260" t="s">
        <v>237</v>
      </c>
      <c r="M6" s="260" t="s">
        <v>237</v>
      </c>
      <c r="N6" s="260" t="s">
        <v>237</v>
      </c>
      <c r="O6" s="260" t="s">
        <v>237</v>
      </c>
      <c r="P6" s="260" t="s">
        <v>237</v>
      </c>
      <c r="Q6" s="260" t="s">
        <v>237</v>
      </c>
      <c r="R6" s="260" t="s">
        <v>237</v>
      </c>
      <c r="S6" s="260" t="s">
        <v>237</v>
      </c>
      <c r="T6" s="260">
        <v>0.53626108890840563</v>
      </c>
      <c r="U6" s="260">
        <v>0.78025562773913038</v>
      </c>
      <c r="V6" s="260" t="s">
        <v>237</v>
      </c>
      <c r="W6" s="260">
        <v>0</v>
      </c>
      <c r="X6" s="260" t="s">
        <v>237</v>
      </c>
      <c r="Y6" s="260">
        <v>0.81226037799384276</v>
      </c>
      <c r="Z6" s="260">
        <v>0.1113619238396482</v>
      </c>
      <c r="AA6" s="260" t="s">
        <v>237</v>
      </c>
      <c r="AB6" s="260" t="s">
        <v>237</v>
      </c>
      <c r="AC6" s="260">
        <v>0.6861413500054957</v>
      </c>
      <c r="AD6" s="260">
        <v>0.93272018368148268</v>
      </c>
      <c r="AE6" s="260" t="s">
        <v>237</v>
      </c>
      <c r="AF6" s="260" t="s">
        <v>237</v>
      </c>
      <c r="AG6" s="260">
        <v>1</v>
      </c>
      <c r="AH6" s="261" t="s">
        <v>237</v>
      </c>
    </row>
    <row r="7" spans="2:34">
      <c r="B7" s="87" t="s">
        <v>253</v>
      </c>
      <c r="C7" s="133">
        <v>0.7622638565123615</v>
      </c>
      <c r="D7" s="262" t="s">
        <v>237</v>
      </c>
      <c r="E7" s="263">
        <v>0.97385853133172118</v>
      </c>
      <c r="F7" s="263" t="s">
        <v>237</v>
      </c>
      <c r="G7" s="263">
        <v>0.47933775313761312</v>
      </c>
      <c r="H7" s="263">
        <v>1</v>
      </c>
      <c r="I7" s="263">
        <v>0.2106004103910761</v>
      </c>
      <c r="J7" s="263">
        <v>0.37536914882540801</v>
      </c>
      <c r="K7" s="263">
        <v>0.1017932594278899</v>
      </c>
      <c r="L7" s="263">
        <v>0.81818522263273485</v>
      </c>
      <c r="M7" s="263">
        <v>0.88575545051452964</v>
      </c>
      <c r="N7" s="263" t="s">
        <v>237</v>
      </c>
      <c r="O7" s="263">
        <v>0.96026297271034433</v>
      </c>
      <c r="P7" s="263" t="s">
        <v>237</v>
      </c>
      <c r="Q7" s="263" t="s">
        <v>237</v>
      </c>
      <c r="R7" s="263">
        <v>0.7518714415871729</v>
      </c>
      <c r="S7" s="263" t="s">
        <v>237</v>
      </c>
      <c r="T7" s="263" t="s">
        <v>237</v>
      </c>
      <c r="U7" s="263" t="s">
        <v>237</v>
      </c>
      <c r="V7" s="263" t="s">
        <v>237</v>
      </c>
      <c r="W7" s="263">
        <v>0.9089631663646256</v>
      </c>
      <c r="X7" s="263" t="s">
        <v>237</v>
      </c>
      <c r="Y7" s="263" t="s">
        <v>237</v>
      </c>
      <c r="Z7" s="263" t="s">
        <v>237</v>
      </c>
      <c r="AA7" s="263" t="s">
        <v>237</v>
      </c>
      <c r="AB7" s="263">
        <v>0</v>
      </c>
      <c r="AC7" s="263">
        <v>0.97754446650318416</v>
      </c>
      <c r="AD7" s="263">
        <v>0.97647661614861592</v>
      </c>
      <c r="AE7" s="263" t="s">
        <v>237</v>
      </c>
      <c r="AF7" s="263" t="s">
        <v>237</v>
      </c>
      <c r="AG7" s="263" t="s">
        <v>237</v>
      </c>
      <c r="AH7" s="264">
        <v>0.98467422291463969</v>
      </c>
    </row>
    <row r="8" spans="2:34">
      <c r="B8" s="196" t="s">
        <v>254</v>
      </c>
      <c r="C8" s="197">
        <v>0.66186754040377294</v>
      </c>
      <c r="D8" s="259" t="s">
        <v>237</v>
      </c>
      <c r="E8" s="260" t="s">
        <v>237</v>
      </c>
      <c r="F8" s="260" t="s">
        <v>237</v>
      </c>
      <c r="G8" s="260" t="s">
        <v>237</v>
      </c>
      <c r="H8" s="260" t="s">
        <v>237</v>
      </c>
      <c r="I8" s="260" t="s">
        <v>237</v>
      </c>
      <c r="J8" s="260" t="s">
        <v>237</v>
      </c>
      <c r="K8" s="260" t="s">
        <v>237</v>
      </c>
      <c r="L8" s="260" t="s">
        <v>237</v>
      </c>
      <c r="M8" s="260" t="s">
        <v>237</v>
      </c>
      <c r="N8" s="260" t="s">
        <v>237</v>
      </c>
      <c r="O8" s="260" t="s">
        <v>237</v>
      </c>
      <c r="P8" s="260" t="s">
        <v>237</v>
      </c>
      <c r="Q8" s="260" t="s">
        <v>237</v>
      </c>
      <c r="R8" s="260">
        <v>0.74784010279165758</v>
      </c>
      <c r="S8" s="260">
        <v>0.74855901546722514</v>
      </c>
      <c r="T8" s="260">
        <v>3.7830514310139521E-2</v>
      </c>
      <c r="U8" s="260">
        <v>0.97640305264096816</v>
      </c>
      <c r="V8" s="260">
        <v>0.60425485639841836</v>
      </c>
      <c r="W8" s="260">
        <v>0.41543890385500631</v>
      </c>
      <c r="X8" s="260" t="s">
        <v>237</v>
      </c>
      <c r="Y8" s="260">
        <v>0.95501647009241086</v>
      </c>
      <c r="Z8" s="260">
        <v>0.5667130802027337</v>
      </c>
      <c r="AA8" s="260">
        <v>0.72605958942386428</v>
      </c>
      <c r="AB8" s="260">
        <v>0.83813319266651654</v>
      </c>
      <c r="AC8" s="260">
        <v>0.72211137657008961</v>
      </c>
      <c r="AD8" s="260">
        <v>0.79388895644812663</v>
      </c>
      <c r="AE8" s="260" t="s">
        <v>237</v>
      </c>
      <c r="AF8" s="260" t="s">
        <v>237</v>
      </c>
      <c r="AG8" s="260" t="s">
        <v>237</v>
      </c>
      <c r="AH8" s="261" t="s">
        <v>237</v>
      </c>
    </row>
    <row r="9" spans="2:34">
      <c r="B9" s="87" t="s">
        <v>255</v>
      </c>
      <c r="C9" s="133">
        <v>0.70679293485265815</v>
      </c>
      <c r="D9" s="262" t="s">
        <v>237</v>
      </c>
      <c r="E9" s="263" t="s">
        <v>237</v>
      </c>
      <c r="F9" s="263" t="s">
        <v>237</v>
      </c>
      <c r="G9" s="263" t="s">
        <v>237</v>
      </c>
      <c r="H9" s="263" t="s">
        <v>237</v>
      </c>
      <c r="I9" s="263" t="s">
        <v>237</v>
      </c>
      <c r="J9" s="263">
        <v>0.41642811333073321</v>
      </c>
      <c r="K9" s="263">
        <v>0.79356221726462062</v>
      </c>
      <c r="L9" s="263" t="s">
        <v>237</v>
      </c>
      <c r="M9" s="263" t="s">
        <v>237</v>
      </c>
      <c r="N9" s="263" t="s">
        <v>237</v>
      </c>
      <c r="O9" s="263" t="s">
        <v>237</v>
      </c>
      <c r="P9" s="263" t="s">
        <v>237</v>
      </c>
      <c r="Q9" s="263">
        <v>0.99708349205334568</v>
      </c>
      <c r="R9" s="263" t="s">
        <v>237</v>
      </c>
      <c r="S9" s="263" t="s">
        <v>237</v>
      </c>
      <c r="T9" s="263">
        <v>0.93489619144240343</v>
      </c>
      <c r="U9" s="263" t="s">
        <v>237</v>
      </c>
      <c r="V9" s="263">
        <v>1</v>
      </c>
      <c r="W9" s="263" t="s">
        <v>237</v>
      </c>
      <c r="X9" s="263">
        <v>0.44067468519760489</v>
      </c>
      <c r="Y9" s="263" t="s">
        <v>237</v>
      </c>
      <c r="Z9" s="263" t="s">
        <v>237</v>
      </c>
      <c r="AA9" s="263" t="s">
        <v>237</v>
      </c>
      <c r="AB9" s="263" t="s">
        <v>237</v>
      </c>
      <c r="AC9" s="263" t="s">
        <v>237</v>
      </c>
      <c r="AD9" s="263" t="s">
        <v>237</v>
      </c>
      <c r="AE9" s="263" t="s">
        <v>237</v>
      </c>
      <c r="AF9" s="263" t="s">
        <v>237</v>
      </c>
      <c r="AG9" s="263" t="s">
        <v>237</v>
      </c>
      <c r="AH9" s="264" t="s">
        <v>237</v>
      </c>
    </row>
    <row r="10" spans="2:34">
      <c r="B10" s="196" t="s">
        <v>257</v>
      </c>
      <c r="C10" s="197">
        <v>0.90477858471505923</v>
      </c>
      <c r="D10" s="259" t="s">
        <v>237</v>
      </c>
      <c r="E10" s="260" t="s">
        <v>237</v>
      </c>
      <c r="F10" s="260" t="s">
        <v>237</v>
      </c>
      <c r="G10" s="260" t="s">
        <v>237</v>
      </c>
      <c r="H10" s="260" t="s">
        <v>237</v>
      </c>
      <c r="I10" s="260" t="s">
        <v>237</v>
      </c>
      <c r="J10" s="260">
        <v>0.97479665921466352</v>
      </c>
      <c r="K10" s="260" t="s">
        <v>237</v>
      </c>
      <c r="L10" s="260" t="s">
        <v>237</v>
      </c>
      <c r="M10" s="260" t="s">
        <v>237</v>
      </c>
      <c r="N10" s="260">
        <v>0.50455456845806501</v>
      </c>
      <c r="O10" s="260">
        <v>0.60885117006874201</v>
      </c>
      <c r="P10" s="260">
        <v>0.62661209906661808</v>
      </c>
      <c r="Q10" s="260">
        <v>1</v>
      </c>
      <c r="R10" s="260">
        <v>0.96953209514033234</v>
      </c>
      <c r="S10" s="260">
        <v>1</v>
      </c>
      <c r="T10" s="260" t="s">
        <v>237</v>
      </c>
      <c r="U10" s="260">
        <v>0.99087737014970434</v>
      </c>
      <c r="V10" s="260">
        <v>0.97742270994991931</v>
      </c>
      <c r="W10" s="260">
        <v>0.9088023102127335</v>
      </c>
      <c r="X10" s="260" t="s">
        <v>237</v>
      </c>
      <c r="Y10" s="260" t="s">
        <v>237</v>
      </c>
      <c r="Z10" s="260" t="s">
        <v>237</v>
      </c>
      <c r="AA10" s="260">
        <v>0.31301163653247338</v>
      </c>
      <c r="AB10" s="260" t="s">
        <v>237</v>
      </c>
      <c r="AC10" s="260">
        <v>1</v>
      </c>
      <c r="AD10" s="260" t="s">
        <v>237</v>
      </c>
      <c r="AE10" s="260" t="s">
        <v>237</v>
      </c>
      <c r="AF10" s="260" t="s">
        <v>237</v>
      </c>
      <c r="AG10" s="260" t="s">
        <v>237</v>
      </c>
      <c r="AH10" s="261">
        <v>0.98544828842859356</v>
      </c>
    </row>
    <row r="11" spans="2:34">
      <c r="B11" s="87" t="s">
        <v>258</v>
      </c>
      <c r="C11" s="133">
        <v>0.80940372533438665</v>
      </c>
      <c r="D11" s="262" t="s">
        <v>237</v>
      </c>
      <c r="E11" s="263" t="s">
        <v>237</v>
      </c>
      <c r="F11" s="263" t="s">
        <v>237</v>
      </c>
      <c r="G11" s="263" t="s">
        <v>237</v>
      </c>
      <c r="H11" s="263">
        <v>0.31323821812122588</v>
      </c>
      <c r="I11" s="263">
        <v>0.41118612101995172</v>
      </c>
      <c r="J11" s="263">
        <v>0.80371995985154077</v>
      </c>
      <c r="K11" s="263" t="s">
        <v>237</v>
      </c>
      <c r="L11" s="263" t="s">
        <v>237</v>
      </c>
      <c r="M11" s="263">
        <v>0.86711802264048332</v>
      </c>
      <c r="N11" s="263" t="s">
        <v>237</v>
      </c>
      <c r="O11" s="263" t="s">
        <v>237</v>
      </c>
      <c r="P11" s="263" t="s">
        <v>237</v>
      </c>
      <c r="Q11" s="263" t="s">
        <v>237</v>
      </c>
      <c r="R11" s="263">
        <v>0.84362137296787121</v>
      </c>
      <c r="S11" s="263" t="s">
        <v>237</v>
      </c>
      <c r="T11" s="263" t="s">
        <v>237</v>
      </c>
      <c r="U11" s="263">
        <v>0.94616935751761455</v>
      </c>
      <c r="V11" s="263">
        <v>0.80109094229240319</v>
      </c>
      <c r="W11" s="263">
        <v>0.81231204742795771</v>
      </c>
      <c r="X11" s="263">
        <v>0.86204970412289439</v>
      </c>
      <c r="Y11" s="263" t="s">
        <v>237</v>
      </c>
      <c r="Z11" s="263">
        <v>0.63576628623990894</v>
      </c>
      <c r="AA11" s="263">
        <v>1</v>
      </c>
      <c r="AB11" s="263" t="s">
        <v>237</v>
      </c>
      <c r="AC11" s="263" t="s">
        <v>237</v>
      </c>
      <c r="AD11" s="263">
        <v>1</v>
      </c>
      <c r="AE11" s="263" t="s">
        <v>237</v>
      </c>
      <c r="AF11" s="263" t="s">
        <v>237</v>
      </c>
      <c r="AG11" s="263" t="s">
        <v>237</v>
      </c>
      <c r="AH11" s="264" t="s">
        <v>237</v>
      </c>
    </row>
    <row r="12" spans="2:34">
      <c r="B12" s="196" t="s">
        <v>259</v>
      </c>
      <c r="C12" s="197">
        <v>0.7707500264456485</v>
      </c>
      <c r="D12" s="259" t="s">
        <v>237</v>
      </c>
      <c r="E12" s="260" t="s">
        <v>237</v>
      </c>
      <c r="F12" s="260" t="s">
        <v>237</v>
      </c>
      <c r="G12" s="260" t="s">
        <v>237</v>
      </c>
      <c r="H12" s="260">
        <v>1</v>
      </c>
      <c r="I12" s="260" t="s">
        <v>237</v>
      </c>
      <c r="J12" s="260">
        <v>0.82850703129385184</v>
      </c>
      <c r="K12" s="260">
        <v>0.8083993289107515</v>
      </c>
      <c r="L12" s="260" t="s">
        <v>237</v>
      </c>
      <c r="M12" s="260">
        <v>0.82589806385634423</v>
      </c>
      <c r="N12" s="260" t="s">
        <v>237</v>
      </c>
      <c r="O12" s="260" t="s">
        <v>237</v>
      </c>
      <c r="P12" s="260" t="s">
        <v>237</v>
      </c>
      <c r="Q12" s="260">
        <v>0.72951806245342787</v>
      </c>
      <c r="R12" s="260" t="s">
        <v>237</v>
      </c>
      <c r="S12" s="260" t="s">
        <v>237</v>
      </c>
      <c r="T12" s="260">
        <v>2.3348152152456499E-2</v>
      </c>
      <c r="U12" s="260">
        <v>5.8682358388895241E-3</v>
      </c>
      <c r="V12" s="260">
        <v>0.91780141859917508</v>
      </c>
      <c r="W12" s="260" t="s">
        <v>237</v>
      </c>
      <c r="X12" s="260" t="s">
        <v>237</v>
      </c>
      <c r="Y12" s="260" t="s">
        <v>237</v>
      </c>
      <c r="Z12" s="260">
        <v>0.77304924020006072</v>
      </c>
      <c r="AA12" s="260" t="s">
        <v>237</v>
      </c>
      <c r="AB12" s="260" t="s">
        <v>237</v>
      </c>
      <c r="AC12" s="260" t="s">
        <v>237</v>
      </c>
      <c r="AD12" s="260" t="s">
        <v>237</v>
      </c>
      <c r="AE12" s="260" t="s">
        <v>237</v>
      </c>
      <c r="AF12" s="260" t="s">
        <v>237</v>
      </c>
      <c r="AG12" s="260">
        <v>0.97434691953538966</v>
      </c>
      <c r="AH12" s="261">
        <v>0.9996990662203159</v>
      </c>
    </row>
    <row r="13" spans="2:34">
      <c r="B13" s="87" t="s">
        <v>261</v>
      </c>
      <c r="C13" s="133">
        <v>0.70549442813094043</v>
      </c>
      <c r="D13" s="262" t="s">
        <v>237</v>
      </c>
      <c r="E13" s="263" t="s">
        <v>237</v>
      </c>
      <c r="F13" s="263" t="s">
        <v>237</v>
      </c>
      <c r="G13" s="263">
        <v>0.34780740077959432</v>
      </c>
      <c r="H13" s="263" t="s">
        <v>237</v>
      </c>
      <c r="I13" s="263" t="s">
        <v>237</v>
      </c>
      <c r="J13" s="263">
        <v>0.15110838359028561</v>
      </c>
      <c r="K13" s="263" t="s">
        <v>237</v>
      </c>
      <c r="L13" s="263">
        <v>0.60106480663009298</v>
      </c>
      <c r="M13" s="263">
        <v>0.97996615680361987</v>
      </c>
      <c r="N13" s="263">
        <v>1</v>
      </c>
      <c r="O13" s="263">
        <v>1</v>
      </c>
      <c r="P13" s="263" t="s">
        <v>237</v>
      </c>
      <c r="Q13" s="263">
        <v>1</v>
      </c>
      <c r="R13" s="263" t="s">
        <v>237</v>
      </c>
      <c r="S13" s="263">
        <v>0.5</v>
      </c>
      <c r="T13" s="263" t="s">
        <v>237</v>
      </c>
      <c r="U13" s="263" t="s">
        <v>237</v>
      </c>
      <c r="V13" s="263">
        <v>0.93534134638696076</v>
      </c>
      <c r="W13" s="263">
        <v>0.80320426217939822</v>
      </c>
      <c r="X13" s="263">
        <v>0.1503490492989083</v>
      </c>
      <c r="Y13" s="263">
        <v>0.86816580591954451</v>
      </c>
      <c r="Z13" s="263">
        <v>0.62457559015127639</v>
      </c>
      <c r="AA13" s="263">
        <v>0.23300626077787731</v>
      </c>
      <c r="AB13" s="263" t="s">
        <v>237</v>
      </c>
      <c r="AC13" s="263" t="s">
        <v>237</v>
      </c>
      <c r="AD13" s="263">
        <v>0.99007855301683034</v>
      </c>
      <c r="AE13" s="263">
        <v>1</v>
      </c>
      <c r="AF13" s="263" t="s">
        <v>237</v>
      </c>
      <c r="AG13" s="263" t="s">
        <v>237</v>
      </c>
      <c r="AH13" s="264" t="s">
        <v>237</v>
      </c>
    </row>
    <row r="14" spans="2:34">
      <c r="B14" s="196" t="s">
        <v>263</v>
      </c>
      <c r="C14" s="197">
        <v>0.78965274620821579</v>
      </c>
      <c r="D14" s="259" t="s">
        <v>237</v>
      </c>
      <c r="E14" s="260" t="s">
        <v>237</v>
      </c>
      <c r="F14" s="260" t="s">
        <v>237</v>
      </c>
      <c r="G14" s="260" t="s">
        <v>237</v>
      </c>
      <c r="H14" s="260" t="s">
        <v>237</v>
      </c>
      <c r="I14" s="260" t="s">
        <v>237</v>
      </c>
      <c r="J14" s="260" t="s">
        <v>237</v>
      </c>
      <c r="K14" s="260" t="s">
        <v>237</v>
      </c>
      <c r="L14" s="260" t="s">
        <v>237</v>
      </c>
      <c r="M14" s="260" t="s">
        <v>237</v>
      </c>
      <c r="N14" s="260" t="s">
        <v>237</v>
      </c>
      <c r="O14" s="260" t="s">
        <v>237</v>
      </c>
      <c r="P14" s="260" t="s">
        <v>237</v>
      </c>
      <c r="Q14" s="260" t="s">
        <v>237</v>
      </c>
      <c r="R14" s="260" t="s">
        <v>237</v>
      </c>
      <c r="S14" s="260" t="s">
        <v>237</v>
      </c>
      <c r="T14" s="260" t="s">
        <v>237</v>
      </c>
      <c r="U14" s="260">
        <v>1</v>
      </c>
      <c r="V14" s="260">
        <v>0.97649945417170558</v>
      </c>
      <c r="W14" s="260" t="s">
        <v>237</v>
      </c>
      <c r="X14" s="260">
        <v>0.89546848189046069</v>
      </c>
      <c r="Y14" s="260">
        <v>0.99748214983291061</v>
      </c>
      <c r="Z14" s="260" t="s">
        <v>237</v>
      </c>
      <c r="AA14" s="260" t="s">
        <v>237</v>
      </c>
      <c r="AB14" s="260" t="s">
        <v>237</v>
      </c>
      <c r="AC14" s="260" t="s">
        <v>237</v>
      </c>
      <c r="AD14" s="260" t="s">
        <v>237</v>
      </c>
      <c r="AE14" s="260">
        <v>0.95784313524209297</v>
      </c>
      <c r="AF14" s="260">
        <v>0.29580774443855862</v>
      </c>
      <c r="AG14" s="260" t="s">
        <v>237</v>
      </c>
      <c r="AH14" s="261" t="s">
        <v>237</v>
      </c>
    </row>
    <row r="15" spans="2:34">
      <c r="B15" s="87" t="s">
        <v>265</v>
      </c>
      <c r="C15" s="133">
        <v>0.9271524269124426</v>
      </c>
      <c r="D15" s="262">
        <v>0.98282225967544956</v>
      </c>
      <c r="E15" s="263" t="s">
        <v>237</v>
      </c>
      <c r="F15" s="263" t="s">
        <v>237</v>
      </c>
      <c r="G15" s="263">
        <v>0.87926618049421057</v>
      </c>
      <c r="H15" s="263">
        <v>0.96692421398003525</v>
      </c>
      <c r="I15" s="263">
        <v>0.97972116688856858</v>
      </c>
      <c r="J15" s="263">
        <v>0.8441615667229373</v>
      </c>
      <c r="K15" s="263">
        <v>0.5931347481895819</v>
      </c>
      <c r="L15" s="263">
        <v>0.60180034311561803</v>
      </c>
      <c r="M15" s="263">
        <v>0.98409027242813707</v>
      </c>
      <c r="N15" s="263">
        <v>1</v>
      </c>
      <c r="O15" s="263" t="s">
        <v>237</v>
      </c>
      <c r="P15" s="263">
        <v>0.57386176464151106</v>
      </c>
      <c r="Q15" s="263">
        <v>0.97843639769865709</v>
      </c>
      <c r="R15" s="263">
        <v>0.99612609559758214</v>
      </c>
      <c r="S15" s="263" t="s">
        <v>237</v>
      </c>
      <c r="T15" s="263">
        <v>1</v>
      </c>
      <c r="U15" s="263">
        <v>1</v>
      </c>
      <c r="V15" s="263" t="s">
        <v>237</v>
      </c>
      <c r="W15" s="263">
        <v>1</v>
      </c>
      <c r="X15" s="263">
        <v>0.99520136911300394</v>
      </c>
      <c r="Y15" s="263">
        <v>0.99869932583214427</v>
      </c>
      <c r="Z15" s="263">
        <v>0.90433702404133398</v>
      </c>
      <c r="AA15" s="263">
        <v>0.93143305840546897</v>
      </c>
      <c r="AB15" s="263" t="s">
        <v>237</v>
      </c>
      <c r="AC15" s="263">
        <v>0.88052685980656631</v>
      </c>
      <c r="AD15" s="263">
        <v>0.98276571979139515</v>
      </c>
      <c r="AE15" s="263" t="s">
        <v>237</v>
      </c>
      <c r="AF15" s="263">
        <v>0.99426313077275397</v>
      </c>
      <c r="AG15" s="263">
        <v>0.99604368994988002</v>
      </c>
      <c r="AH15" s="264">
        <v>0.97672213605591052</v>
      </c>
    </row>
    <row r="16" spans="2:34">
      <c r="B16" s="196" t="s">
        <v>266</v>
      </c>
      <c r="C16" s="197">
        <v>0.42396598740430502</v>
      </c>
      <c r="D16" s="259" t="s">
        <v>237</v>
      </c>
      <c r="E16" s="260" t="s">
        <v>237</v>
      </c>
      <c r="F16" s="260" t="s">
        <v>237</v>
      </c>
      <c r="G16" s="260" t="s">
        <v>237</v>
      </c>
      <c r="H16" s="260" t="s">
        <v>237</v>
      </c>
      <c r="I16" s="260" t="s">
        <v>237</v>
      </c>
      <c r="J16" s="260" t="s">
        <v>237</v>
      </c>
      <c r="K16" s="260" t="s">
        <v>237</v>
      </c>
      <c r="L16" s="260" t="s">
        <v>237</v>
      </c>
      <c r="M16" s="260" t="s">
        <v>237</v>
      </c>
      <c r="N16" s="260" t="s">
        <v>237</v>
      </c>
      <c r="O16" s="260" t="s">
        <v>237</v>
      </c>
      <c r="P16" s="260" t="s">
        <v>237</v>
      </c>
      <c r="Q16" s="260" t="s">
        <v>237</v>
      </c>
      <c r="R16" s="260" t="s">
        <v>237</v>
      </c>
      <c r="S16" s="260" t="s">
        <v>237</v>
      </c>
      <c r="T16" s="260" t="s">
        <v>237</v>
      </c>
      <c r="U16" s="260" t="s">
        <v>237</v>
      </c>
      <c r="V16" s="260" t="s">
        <v>237</v>
      </c>
      <c r="W16" s="260" t="s">
        <v>237</v>
      </c>
      <c r="X16" s="260" t="s">
        <v>237</v>
      </c>
      <c r="Y16" s="260" t="s">
        <v>237</v>
      </c>
      <c r="Z16" s="260">
        <v>0.48785062041105548</v>
      </c>
      <c r="AA16" s="260">
        <v>0.24873481972607089</v>
      </c>
      <c r="AB16" s="260">
        <v>0.19967259100755921</v>
      </c>
      <c r="AC16" s="260">
        <v>0.88632321491856403</v>
      </c>
      <c r="AD16" s="260">
        <v>0.20051859526749091</v>
      </c>
      <c r="AE16" s="260" t="s">
        <v>237</v>
      </c>
      <c r="AF16" s="260" t="s">
        <v>237</v>
      </c>
      <c r="AG16" s="260" t="s">
        <v>237</v>
      </c>
      <c r="AH16" s="261" t="s">
        <v>237</v>
      </c>
    </row>
    <row r="17" spans="2:34">
      <c r="B17" s="87" t="s">
        <v>267</v>
      </c>
      <c r="C17" s="133">
        <v>0.68327130690670335</v>
      </c>
      <c r="D17" s="262" t="s">
        <v>237</v>
      </c>
      <c r="E17" s="263" t="s">
        <v>237</v>
      </c>
      <c r="F17" s="263">
        <v>1</v>
      </c>
      <c r="G17" s="263" t="s">
        <v>237</v>
      </c>
      <c r="H17" s="263" t="s">
        <v>237</v>
      </c>
      <c r="I17" s="263">
        <v>1</v>
      </c>
      <c r="J17" s="263" t="s">
        <v>237</v>
      </c>
      <c r="K17" s="263" t="s">
        <v>237</v>
      </c>
      <c r="L17" s="263" t="s">
        <v>237</v>
      </c>
      <c r="M17" s="263" t="s">
        <v>237</v>
      </c>
      <c r="N17" s="263">
        <v>1</v>
      </c>
      <c r="O17" s="263" t="s">
        <v>237</v>
      </c>
      <c r="P17" s="263">
        <v>1</v>
      </c>
      <c r="Q17" s="263">
        <v>1</v>
      </c>
      <c r="R17" s="263" t="s">
        <v>237</v>
      </c>
      <c r="S17" s="263" t="s">
        <v>237</v>
      </c>
      <c r="T17" s="263">
        <v>8.4487902833871545E-2</v>
      </c>
      <c r="U17" s="263" t="s">
        <v>237</v>
      </c>
      <c r="V17" s="263" t="s">
        <v>237</v>
      </c>
      <c r="W17" s="263" t="s">
        <v>237</v>
      </c>
      <c r="X17" s="263" t="s">
        <v>237</v>
      </c>
      <c r="Y17" s="263" t="s">
        <v>237</v>
      </c>
      <c r="Z17" s="263">
        <v>0.14383215771328831</v>
      </c>
      <c r="AA17" s="263" t="s">
        <v>237</v>
      </c>
      <c r="AB17" s="263" t="s">
        <v>237</v>
      </c>
      <c r="AC17" s="263" t="s">
        <v>237</v>
      </c>
      <c r="AD17" s="263" t="s">
        <v>237</v>
      </c>
      <c r="AE17" s="263" t="s">
        <v>237</v>
      </c>
      <c r="AF17" s="263" t="s">
        <v>237</v>
      </c>
      <c r="AG17" s="263" t="s">
        <v>237</v>
      </c>
      <c r="AH17" s="264" t="s">
        <v>237</v>
      </c>
    </row>
    <row r="18" spans="2:34">
      <c r="B18" s="196" t="s">
        <v>268</v>
      </c>
      <c r="C18" s="197">
        <v>0.67549926875649602</v>
      </c>
      <c r="D18" s="259" t="s">
        <v>237</v>
      </c>
      <c r="E18" s="260">
        <v>1.2268550333033011E-7</v>
      </c>
      <c r="F18" s="260">
        <v>0.38519777664575661</v>
      </c>
      <c r="G18" s="260" t="s">
        <v>237</v>
      </c>
      <c r="H18" s="260" t="s">
        <v>237</v>
      </c>
      <c r="I18" s="260" t="s">
        <v>237</v>
      </c>
      <c r="J18" s="260" t="s">
        <v>237</v>
      </c>
      <c r="K18" s="260" t="s">
        <v>237</v>
      </c>
      <c r="L18" s="260">
        <v>0.54198345465265485</v>
      </c>
      <c r="M18" s="260">
        <v>1</v>
      </c>
      <c r="N18" s="260" t="s">
        <v>237</v>
      </c>
      <c r="O18" s="260">
        <v>0.47927849031803132</v>
      </c>
      <c r="P18" s="260">
        <v>0.83647830018831704</v>
      </c>
      <c r="Q18" s="260">
        <v>1</v>
      </c>
      <c r="R18" s="260" t="s">
        <v>237</v>
      </c>
      <c r="S18" s="260">
        <v>0.61171842045351255</v>
      </c>
      <c r="T18" s="260">
        <v>1</v>
      </c>
      <c r="U18" s="260">
        <v>0.90875032921446663</v>
      </c>
      <c r="V18" s="260" t="s">
        <v>237</v>
      </c>
      <c r="W18" s="260">
        <v>0.85667700886798626</v>
      </c>
      <c r="X18" s="260">
        <v>0.69457276117428601</v>
      </c>
      <c r="Y18" s="260">
        <v>0.48051693947002327</v>
      </c>
      <c r="Z18" s="260">
        <v>0</v>
      </c>
      <c r="AA18" s="260" t="s">
        <v>237</v>
      </c>
      <c r="AB18" s="260">
        <v>0.91493351436277603</v>
      </c>
      <c r="AC18" s="260" t="s">
        <v>237</v>
      </c>
      <c r="AD18" s="260">
        <v>0.99127040871804684</v>
      </c>
      <c r="AE18" s="260" t="s">
        <v>237</v>
      </c>
      <c r="AF18" s="260" t="s">
        <v>237</v>
      </c>
      <c r="AG18" s="260" t="s">
        <v>237</v>
      </c>
      <c r="AH18" s="261" t="s">
        <v>237</v>
      </c>
    </row>
    <row r="19" spans="2:34">
      <c r="B19" s="87" t="s">
        <v>269</v>
      </c>
      <c r="C19" s="133">
        <v>0.55518626191754483</v>
      </c>
      <c r="D19" s="262" t="s">
        <v>237</v>
      </c>
      <c r="E19" s="263" t="s">
        <v>237</v>
      </c>
      <c r="F19" s="263" t="s">
        <v>237</v>
      </c>
      <c r="G19" s="263" t="s">
        <v>237</v>
      </c>
      <c r="H19" s="263" t="s">
        <v>237</v>
      </c>
      <c r="I19" s="263">
        <v>0.25016007848115041</v>
      </c>
      <c r="J19" s="263" t="s">
        <v>237</v>
      </c>
      <c r="K19" s="263" t="s">
        <v>237</v>
      </c>
      <c r="L19" s="263" t="s">
        <v>237</v>
      </c>
      <c r="M19" s="263" t="s">
        <v>237</v>
      </c>
      <c r="N19" s="263" t="s">
        <v>237</v>
      </c>
      <c r="O19" s="263" t="s">
        <v>237</v>
      </c>
      <c r="P19" s="263" t="s">
        <v>237</v>
      </c>
      <c r="Q19" s="263" t="s">
        <v>237</v>
      </c>
      <c r="R19" s="263" t="s">
        <v>237</v>
      </c>
      <c r="S19" s="263" t="s">
        <v>237</v>
      </c>
      <c r="T19" s="263" t="s">
        <v>237</v>
      </c>
      <c r="U19" s="263" t="s">
        <v>237</v>
      </c>
      <c r="V19" s="263" t="s">
        <v>237</v>
      </c>
      <c r="W19" s="263" t="s">
        <v>237</v>
      </c>
      <c r="X19" s="263" t="s">
        <v>237</v>
      </c>
      <c r="Y19" s="263" t="s">
        <v>237</v>
      </c>
      <c r="Z19" s="263">
        <v>0.23385101356775259</v>
      </c>
      <c r="AA19" s="263">
        <v>0.64712266763049242</v>
      </c>
      <c r="AB19" s="263">
        <v>0.9999363371004053</v>
      </c>
      <c r="AC19" s="263" t="s">
        <v>237</v>
      </c>
      <c r="AD19" s="263">
        <v>0.70358476523796232</v>
      </c>
      <c r="AE19" s="263">
        <v>6.2383267366596183E-2</v>
      </c>
      <c r="AF19" s="263" t="s">
        <v>237</v>
      </c>
      <c r="AG19" s="263">
        <v>0.65699438929214171</v>
      </c>
      <c r="AH19" s="264" t="s">
        <v>237</v>
      </c>
    </row>
    <row r="20" spans="2:34">
      <c r="B20" s="196" t="s">
        <v>272</v>
      </c>
      <c r="C20" s="197">
        <v>0.80890842661116413</v>
      </c>
      <c r="D20" s="259" t="s">
        <v>237</v>
      </c>
      <c r="E20" s="260" t="s">
        <v>237</v>
      </c>
      <c r="F20" s="260" t="s">
        <v>237</v>
      </c>
      <c r="G20" s="260" t="s">
        <v>237</v>
      </c>
      <c r="H20" s="260" t="s">
        <v>237</v>
      </c>
      <c r="I20" s="260" t="s">
        <v>237</v>
      </c>
      <c r="J20" s="260" t="s">
        <v>237</v>
      </c>
      <c r="K20" s="260">
        <v>0.74105822960287338</v>
      </c>
      <c r="L20" s="260" t="s">
        <v>237</v>
      </c>
      <c r="M20" s="260">
        <v>1</v>
      </c>
      <c r="N20" s="260">
        <v>0.82784087060565736</v>
      </c>
      <c r="O20" s="260" t="s">
        <v>237</v>
      </c>
      <c r="P20" s="260">
        <v>1</v>
      </c>
      <c r="Q20" s="260" t="s">
        <v>237</v>
      </c>
      <c r="R20" s="260" t="s">
        <v>237</v>
      </c>
      <c r="S20" s="260" t="s">
        <v>237</v>
      </c>
      <c r="T20" s="260" t="s">
        <v>237</v>
      </c>
      <c r="U20" s="260" t="s">
        <v>237</v>
      </c>
      <c r="V20" s="260">
        <v>0</v>
      </c>
      <c r="W20" s="260" t="s">
        <v>237</v>
      </c>
      <c r="X20" s="260" t="s">
        <v>237</v>
      </c>
      <c r="Y20" s="260">
        <v>0.9383195621007695</v>
      </c>
      <c r="Z20" s="260" t="s">
        <v>237</v>
      </c>
      <c r="AA20" s="260">
        <v>0.99403405959931745</v>
      </c>
      <c r="AB20" s="260" t="s">
        <v>237</v>
      </c>
      <c r="AC20" s="260" t="s">
        <v>237</v>
      </c>
      <c r="AD20" s="260" t="s">
        <v>237</v>
      </c>
      <c r="AE20" s="260" t="s">
        <v>237</v>
      </c>
      <c r="AF20" s="260" t="s">
        <v>237</v>
      </c>
      <c r="AG20" s="260" t="s">
        <v>237</v>
      </c>
      <c r="AH20" s="261" t="s">
        <v>237</v>
      </c>
    </row>
    <row r="21" spans="2:34">
      <c r="B21" s="87" t="s">
        <v>274</v>
      </c>
      <c r="C21" s="133">
        <v>0.70883768322147644</v>
      </c>
      <c r="D21" s="262">
        <v>7.1516409243410448E-2</v>
      </c>
      <c r="E21" s="263" t="s">
        <v>237</v>
      </c>
      <c r="F21" s="263">
        <v>0.61909837938974088</v>
      </c>
      <c r="G21" s="263" t="s">
        <v>237</v>
      </c>
      <c r="H21" s="263" t="s">
        <v>237</v>
      </c>
      <c r="I21" s="263">
        <v>0.95318920234711213</v>
      </c>
      <c r="J21" s="263" t="s">
        <v>237</v>
      </c>
      <c r="K21" s="263">
        <v>1</v>
      </c>
      <c r="L21" s="263">
        <v>0.85156483459471899</v>
      </c>
      <c r="M21" s="263">
        <v>0.9962886510433131</v>
      </c>
      <c r="N21" s="263" t="s">
        <v>237</v>
      </c>
      <c r="O21" s="263">
        <v>0.47460985049197563</v>
      </c>
      <c r="P21" s="263" t="s">
        <v>237</v>
      </c>
      <c r="Q21" s="263" t="s">
        <v>237</v>
      </c>
      <c r="R21" s="263">
        <v>0.98398031739422909</v>
      </c>
      <c r="S21" s="263">
        <v>1</v>
      </c>
      <c r="T21" s="263">
        <v>0.44838756396626561</v>
      </c>
      <c r="U21" s="263">
        <v>0</v>
      </c>
      <c r="V21" s="263" t="s">
        <v>237</v>
      </c>
      <c r="W21" s="263" t="s">
        <v>237</v>
      </c>
      <c r="X21" s="263">
        <v>0.62418918621497788</v>
      </c>
      <c r="Y21" s="263">
        <v>0.70150841784834772</v>
      </c>
      <c r="Z21" s="263">
        <v>0.213551434858851</v>
      </c>
      <c r="AA21" s="263" t="s">
        <v>237</v>
      </c>
      <c r="AB21" s="263" t="s">
        <v>237</v>
      </c>
      <c r="AC21" s="263">
        <v>0.8765235586627943</v>
      </c>
      <c r="AD21" s="263">
        <v>0.81791662851708591</v>
      </c>
      <c r="AE21" s="263">
        <v>1</v>
      </c>
      <c r="AF21" s="263">
        <v>1</v>
      </c>
      <c r="AG21" s="263" t="s">
        <v>237</v>
      </c>
      <c r="AH21" s="264" t="s">
        <v>237</v>
      </c>
    </row>
    <row r="22" spans="2:34">
      <c r="B22" s="196" t="s">
        <v>276</v>
      </c>
      <c r="C22" s="197">
        <v>0.80287161403083307</v>
      </c>
      <c r="D22" s="259" t="s">
        <v>237</v>
      </c>
      <c r="E22" s="260" t="s">
        <v>237</v>
      </c>
      <c r="F22" s="260" t="s">
        <v>237</v>
      </c>
      <c r="G22" s="260" t="s">
        <v>237</v>
      </c>
      <c r="H22" s="260" t="s">
        <v>237</v>
      </c>
      <c r="I22" s="260" t="s">
        <v>237</v>
      </c>
      <c r="J22" s="260" t="s">
        <v>237</v>
      </c>
      <c r="K22" s="260">
        <v>0.69991411066328124</v>
      </c>
      <c r="L22" s="260" t="s">
        <v>237</v>
      </c>
      <c r="M22" s="260" t="s">
        <v>237</v>
      </c>
      <c r="N22" s="260" t="s">
        <v>237</v>
      </c>
      <c r="O22" s="260" t="s">
        <v>237</v>
      </c>
      <c r="P22" s="260" t="s">
        <v>237</v>
      </c>
      <c r="Q22" s="260" t="s">
        <v>237</v>
      </c>
      <c r="R22" s="260">
        <v>0.94496360557904702</v>
      </c>
      <c r="S22" s="260" t="s">
        <v>237</v>
      </c>
      <c r="T22" s="260">
        <v>0.7687285011296946</v>
      </c>
      <c r="U22" s="260">
        <v>0.84860712766456847</v>
      </c>
      <c r="V22" s="260" t="s">
        <v>237</v>
      </c>
      <c r="W22" s="260" t="s">
        <v>237</v>
      </c>
      <c r="X22" s="260" t="s">
        <v>237</v>
      </c>
      <c r="Y22" s="260">
        <v>1</v>
      </c>
      <c r="Z22" s="260" t="s">
        <v>237</v>
      </c>
      <c r="AA22" s="260">
        <v>0.60738908191415586</v>
      </c>
      <c r="AB22" s="260">
        <v>0.66511437472122015</v>
      </c>
      <c r="AC22" s="260" t="s">
        <v>237</v>
      </c>
      <c r="AD22" s="260">
        <v>0.9125908457038947</v>
      </c>
      <c r="AE22" s="260">
        <v>0.5304369283093151</v>
      </c>
      <c r="AF22" s="260" t="s">
        <v>237</v>
      </c>
      <c r="AG22" s="260" t="s">
        <v>237</v>
      </c>
      <c r="AH22" s="261" t="s">
        <v>237</v>
      </c>
    </row>
    <row r="23" spans="2:34">
      <c r="B23" s="87" t="s">
        <v>277</v>
      </c>
      <c r="C23" s="133">
        <v>0.75825071482203155</v>
      </c>
      <c r="D23" s="262">
        <v>0.91043597540324694</v>
      </c>
      <c r="E23" s="263">
        <v>1.9245025020243521E-2</v>
      </c>
      <c r="F23" s="263" t="s">
        <v>237</v>
      </c>
      <c r="G23" s="263" t="s">
        <v>237</v>
      </c>
      <c r="H23" s="263" t="s">
        <v>237</v>
      </c>
      <c r="I23" s="263" t="s">
        <v>237</v>
      </c>
      <c r="J23" s="263" t="s">
        <v>237</v>
      </c>
      <c r="K23" s="263" t="s">
        <v>237</v>
      </c>
      <c r="L23" s="263" t="s">
        <v>237</v>
      </c>
      <c r="M23" s="263">
        <v>0.95346823310633011</v>
      </c>
      <c r="N23" s="263" t="s">
        <v>237</v>
      </c>
      <c r="O23" s="263">
        <v>0.9897412243629099</v>
      </c>
      <c r="P23" s="263" t="s">
        <v>237</v>
      </c>
      <c r="Q23" s="263" t="s">
        <v>237</v>
      </c>
      <c r="R23" s="263">
        <v>0.46399592917263111</v>
      </c>
      <c r="S23" s="263" t="s">
        <v>237</v>
      </c>
      <c r="T23" s="263">
        <v>0.99564302182416553</v>
      </c>
      <c r="U23" s="263" t="s">
        <v>237</v>
      </c>
      <c r="V23" s="263" t="s">
        <v>237</v>
      </c>
      <c r="W23" s="263">
        <v>0.99987323356370827</v>
      </c>
      <c r="X23" s="263">
        <v>0.66713548462062955</v>
      </c>
      <c r="Y23" s="263">
        <v>0.61832724450871401</v>
      </c>
      <c r="Z23" s="263">
        <v>0.81805893950471908</v>
      </c>
      <c r="AA23" s="263" t="s">
        <v>237</v>
      </c>
      <c r="AB23" s="263">
        <v>0.30962406858383601</v>
      </c>
      <c r="AC23" s="263">
        <v>1</v>
      </c>
      <c r="AD23" s="263">
        <v>0.98697833944622559</v>
      </c>
      <c r="AE23" s="263">
        <v>1</v>
      </c>
      <c r="AF23" s="263" t="s">
        <v>237</v>
      </c>
      <c r="AG23" s="263" t="s">
        <v>237</v>
      </c>
      <c r="AH23" s="264" t="s">
        <v>237</v>
      </c>
    </row>
    <row r="24" spans="2:34">
      <c r="B24" s="196" t="s">
        <v>282</v>
      </c>
      <c r="C24" s="197">
        <v>0.73016781966961342</v>
      </c>
      <c r="D24" s="259" t="s">
        <v>237</v>
      </c>
      <c r="E24" s="260" t="s">
        <v>237</v>
      </c>
      <c r="F24" s="260" t="s">
        <v>237</v>
      </c>
      <c r="G24" s="260" t="s">
        <v>237</v>
      </c>
      <c r="H24" s="260" t="s">
        <v>237</v>
      </c>
      <c r="I24" s="260" t="s">
        <v>237</v>
      </c>
      <c r="J24" s="260" t="s">
        <v>237</v>
      </c>
      <c r="K24" s="260" t="s">
        <v>237</v>
      </c>
      <c r="L24" s="260" t="s">
        <v>237</v>
      </c>
      <c r="M24" s="260" t="s">
        <v>237</v>
      </c>
      <c r="N24" s="260" t="s">
        <v>237</v>
      </c>
      <c r="O24" s="260" t="s">
        <v>237</v>
      </c>
      <c r="P24" s="260" t="s">
        <v>237</v>
      </c>
      <c r="Q24" s="260" t="s">
        <v>237</v>
      </c>
      <c r="R24" s="260" t="s">
        <v>237</v>
      </c>
      <c r="S24" s="260" t="s">
        <v>237</v>
      </c>
      <c r="T24" s="260" t="s">
        <v>237</v>
      </c>
      <c r="U24" s="260" t="s">
        <v>237</v>
      </c>
      <c r="V24" s="260" t="s">
        <v>237</v>
      </c>
      <c r="W24" s="260">
        <v>0.99082998653454379</v>
      </c>
      <c r="X24" s="260" t="s">
        <v>237</v>
      </c>
      <c r="Y24" s="260" t="s">
        <v>237</v>
      </c>
      <c r="Z24" s="260">
        <v>0.81728198396768681</v>
      </c>
      <c r="AA24" s="260">
        <v>1</v>
      </c>
      <c r="AB24" s="260" t="s">
        <v>237</v>
      </c>
      <c r="AC24" s="260">
        <v>0.38616625875266519</v>
      </c>
      <c r="AD24" s="260">
        <v>1</v>
      </c>
      <c r="AE24" s="260" t="s">
        <v>237</v>
      </c>
      <c r="AF24" s="260" t="s">
        <v>237</v>
      </c>
      <c r="AG24" s="260">
        <v>0.84411951215915626</v>
      </c>
      <c r="AH24" s="261" t="s">
        <v>237</v>
      </c>
    </row>
    <row r="25" spans="2:34">
      <c r="B25" s="87" t="s">
        <v>284</v>
      </c>
      <c r="C25" s="133">
        <v>0.62713517771382044</v>
      </c>
      <c r="D25" s="262" t="s">
        <v>237</v>
      </c>
      <c r="E25" s="263" t="s">
        <v>237</v>
      </c>
      <c r="F25" s="263" t="s">
        <v>237</v>
      </c>
      <c r="G25" s="263" t="s">
        <v>237</v>
      </c>
      <c r="H25" s="263">
        <v>0.53744406107609854</v>
      </c>
      <c r="I25" s="263">
        <v>0.79790253473883599</v>
      </c>
      <c r="J25" s="263">
        <v>0.96704155090443322</v>
      </c>
      <c r="K25" s="263">
        <v>0.18616888519046951</v>
      </c>
      <c r="L25" s="263">
        <v>0.63676511218494569</v>
      </c>
      <c r="M25" s="263" t="s">
        <v>237</v>
      </c>
      <c r="N25" s="263">
        <v>0.99525873360305117</v>
      </c>
      <c r="O25" s="263" t="s">
        <v>237</v>
      </c>
      <c r="P25" s="263" t="s">
        <v>237</v>
      </c>
      <c r="Q25" s="263" t="s">
        <v>237</v>
      </c>
      <c r="R25" s="263" t="s">
        <v>237</v>
      </c>
      <c r="S25" s="263" t="s">
        <v>237</v>
      </c>
      <c r="T25" s="263" t="s">
        <v>237</v>
      </c>
      <c r="U25" s="263" t="s">
        <v>237</v>
      </c>
      <c r="V25" s="263">
        <v>0.52156372217572333</v>
      </c>
      <c r="W25" s="263" t="s">
        <v>237</v>
      </c>
      <c r="X25" s="263" t="s">
        <v>237</v>
      </c>
      <c r="Y25" s="263" t="s">
        <v>237</v>
      </c>
      <c r="Z25" s="263">
        <v>0.94315088650829781</v>
      </c>
      <c r="AA25" s="263" t="s">
        <v>237</v>
      </c>
      <c r="AB25" s="263">
        <v>0</v>
      </c>
      <c r="AC25" s="263">
        <v>0.996877895539381</v>
      </c>
      <c r="AD25" s="263">
        <v>0.66519335549113234</v>
      </c>
      <c r="AE25" s="263">
        <v>1</v>
      </c>
      <c r="AF25" s="263" t="s">
        <v>237</v>
      </c>
      <c r="AG25" s="263" t="s">
        <v>237</v>
      </c>
      <c r="AH25" s="264" t="s">
        <v>237</v>
      </c>
    </row>
    <row r="26" spans="2:34">
      <c r="B26" s="196" t="s">
        <v>285</v>
      </c>
      <c r="C26" s="197">
        <v>0.58487779748356528</v>
      </c>
      <c r="D26" s="259" t="s">
        <v>237</v>
      </c>
      <c r="E26" s="260" t="s">
        <v>237</v>
      </c>
      <c r="F26" s="260" t="s">
        <v>237</v>
      </c>
      <c r="G26" s="260">
        <v>0.34851486157546968</v>
      </c>
      <c r="H26" s="260">
        <v>0.74380567338741055</v>
      </c>
      <c r="I26" s="260" t="s">
        <v>237</v>
      </c>
      <c r="J26" s="260" t="s">
        <v>237</v>
      </c>
      <c r="K26" s="260">
        <v>0.69408040831106366</v>
      </c>
      <c r="L26" s="260">
        <v>0.95091307195098984</v>
      </c>
      <c r="M26" s="260">
        <v>0.99045338155983687</v>
      </c>
      <c r="N26" s="260">
        <v>0.49713490460336729</v>
      </c>
      <c r="O26" s="260" t="s">
        <v>237</v>
      </c>
      <c r="P26" s="260" t="s">
        <v>237</v>
      </c>
      <c r="Q26" s="260" t="s">
        <v>237</v>
      </c>
      <c r="R26" s="260">
        <v>0.87346018899388733</v>
      </c>
      <c r="S26" s="260">
        <v>0.33333333333333331</v>
      </c>
      <c r="T26" s="260">
        <v>0.78571996594867377</v>
      </c>
      <c r="U26" s="260">
        <v>0.48869852888057042</v>
      </c>
      <c r="V26" s="260" t="s">
        <v>237</v>
      </c>
      <c r="W26" s="260">
        <v>0.21318536196608559</v>
      </c>
      <c r="X26" s="260">
        <v>0.60952623773850556</v>
      </c>
      <c r="Y26" s="260">
        <v>0.81391269179461601</v>
      </c>
      <c r="Z26" s="260">
        <v>0.40193791397666961</v>
      </c>
      <c r="AA26" s="260" t="s">
        <v>237</v>
      </c>
      <c r="AB26" s="260">
        <v>0.46302819228340869</v>
      </c>
      <c r="AC26" s="260">
        <v>0.37511528112943232</v>
      </c>
      <c r="AD26" s="260">
        <v>0.89059786642753447</v>
      </c>
      <c r="AE26" s="260">
        <v>0.40596717887160361</v>
      </c>
      <c r="AF26" s="260">
        <v>0.95695842512944318</v>
      </c>
      <c r="AG26" s="260">
        <v>0.97001313689775781</v>
      </c>
      <c r="AH26" s="261" t="s">
        <v>237</v>
      </c>
    </row>
    <row r="27" spans="2:34">
      <c r="B27" s="87" t="s">
        <v>287</v>
      </c>
      <c r="C27" s="133">
        <v>0.79865606371957132</v>
      </c>
      <c r="D27" s="262" t="s">
        <v>237</v>
      </c>
      <c r="E27" s="263" t="s">
        <v>237</v>
      </c>
      <c r="F27" s="263">
        <v>0.81052583471367023</v>
      </c>
      <c r="G27" s="263" t="s">
        <v>237</v>
      </c>
      <c r="H27" s="263" t="s">
        <v>237</v>
      </c>
      <c r="I27" s="263" t="s">
        <v>237</v>
      </c>
      <c r="J27" s="263" t="s">
        <v>237</v>
      </c>
      <c r="K27" s="263" t="s">
        <v>237</v>
      </c>
      <c r="L27" s="263">
        <v>0.32253188565383489</v>
      </c>
      <c r="M27" s="263" t="s">
        <v>237</v>
      </c>
      <c r="N27" s="263">
        <v>0.94177598458024547</v>
      </c>
      <c r="O27" s="263">
        <v>0.99355712555291109</v>
      </c>
      <c r="P27" s="263" t="s">
        <v>237</v>
      </c>
      <c r="Q27" s="263" t="s">
        <v>237</v>
      </c>
      <c r="R27" s="263" t="s">
        <v>237</v>
      </c>
      <c r="S27" s="263" t="s">
        <v>237</v>
      </c>
      <c r="T27" s="263" t="s">
        <v>237</v>
      </c>
      <c r="U27" s="263" t="s">
        <v>237</v>
      </c>
      <c r="V27" s="263" t="s">
        <v>237</v>
      </c>
      <c r="W27" s="263">
        <v>0.41057112117038391</v>
      </c>
      <c r="X27" s="263" t="s">
        <v>237</v>
      </c>
      <c r="Y27" s="263" t="s">
        <v>237</v>
      </c>
      <c r="Z27" s="263" t="s">
        <v>237</v>
      </c>
      <c r="AA27" s="263" t="s">
        <v>237</v>
      </c>
      <c r="AB27" s="263" t="s">
        <v>237</v>
      </c>
      <c r="AC27" s="263">
        <v>0.87294443055545501</v>
      </c>
      <c r="AD27" s="263">
        <v>1</v>
      </c>
      <c r="AE27" s="263">
        <v>0.99949982776510193</v>
      </c>
      <c r="AF27" s="263">
        <v>1</v>
      </c>
      <c r="AG27" s="263" t="s">
        <v>237</v>
      </c>
      <c r="AH27" s="264" t="s">
        <v>237</v>
      </c>
    </row>
    <row r="28" spans="2:34">
      <c r="B28" s="196" t="s">
        <v>288</v>
      </c>
      <c r="C28" s="197">
        <v>0.67732292511876846</v>
      </c>
      <c r="D28" s="259" t="s">
        <v>237</v>
      </c>
      <c r="E28" s="260" t="s">
        <v>237</v>
      </c>
      <c r="F28" s="260" t="s">
        <v>237</v>
      </c>
      <c r="G28" s="260" t="s">
        <v>237</v>
      </c>
      <c r="H28" s="260">
        <v>1</v>
      </c>
      <c r="I28" s="260" t="s">
        <v>237</v>
      </c>
      <c r="J28" s="260" t="s">
        <v>237</v>
      </c>
      <c r="K28" s="260">
        <v>0.84989928568268136</v>
      </c>
      <c r="L28" s="260" t="s">
        <v>237</v>
      </c>
      <c r="M28" s="260">
        <v>1</v>
      </c>
      <c r="N28" s="260" t="s">
        <v>237</v>
      </c>
      <c r="O28" s="260">
        <v>1</v>
      </c>
      <c r="P28" s="260" t="s">
        <v>237</v>
      </c>
      <c r="Q28" s="260">
        <v>0.99522705664030675</v>
      </c>
      <c r="R28" s="260">
        <v>1.6758993008824941E-8</v>
      </c>
      <c r="S28" s="260" t="s">
        <v>237</v>
      </c>
      <c r="T28" s="260" t="s">
        <v>237</v>
      </c>
      <c r="U28" s="260">
        <v>0.28727757072476379</v>
      </c>
      <c r="V28" s="260">
        <v>1</v>
      </c>
      <c r="W28" s="260" t="s">
        <v>237</v>
      </c>
      <c r="X28" s="260">
        <v>0.8368374477609174</v>
      </c>
      <c r="Y28" s="260" t="s">
        <v>237</v>
      </c>
      <c r="Z28" s="260">
        <v>0.1132219727114743</v>
      </c>
      <c r="AA28" s="260">
        <v>0.99835291152598971</v>
      </c>
      <c r="AB28" s="260" t="s">
        <v>237</v>
      </c>
      <c r="AC28" s="260">
        <v>7.1257572651859988E-2</v>
      </c>
      <c r="AD28" s="260">
        <v>0.99814284649371954</v>
      </c>
      <c r="AE28" s="260">
        <v>0.79453353302386376</v>
      </c>
      <c r="AF28" s="260" t="s">
        <v>237</v>
      </c>
      <c r="AG28" s="260" t="s">
        <v>237</v>
      </c>
      <c r="AH28" s="261" t="s">
        <v>237</v>
      </c>
    </row>
    <row r="29" spans="2:34">
      <c r="B29" s="87" t="s">
        <v>291</v>
      </c>
      <c r="C29" s="133">
        <v>0.85371739147570225</v>
      </c>
      <c r="D29" s="262" t="s">
        <v>237</v>
      </c>
      <c r="E29" s="263" t="s">
        <v>237</v>
      </c>
      <c r="F29" s="263" t="s">
        <v>237</v>
      </c>
      <c r="G29" s="263" t="s">
        <v>237</v>
      </c>
      <c r="H29" s="263" t="s">
        <v>237</v>
      </c>
      <c r="I29" s="263" t="s">
        <v>237</v>
      </c>
      <c r="J29" s="263" t="s">
        <v>237</v>
      </c>
      <c r="K29" s="263" t="s">
        <v>237</v>
      </c>
      <c r="L29" s="263" t="s">
        <v>237</v>
      </c>
      <c r="M29" s="263" t="s">
        <v>237</v>
      </c>
      <c r="N29" s="263" t="s">
        <v>237</v>
      </c>
      <c r="O29" s="263" t="s">
        <v>237</v>
      </c>
      <c r="P29" s="263" t="s">
        <v>237</v>
      </c>
      <c r="Q29" s="263" t="s">
        <v>237</v>
      </c>
      <c r="R29" s="263" t="s">
        <v>237</v>
      </c>
      <c r="S29" s="263">
        <v>0.75169429415449152</v>
      </c>
      <c r="T29" s="263">
        <v>0.91288747216633792</v>
      </c>
      <c r="U29" s="263">
        <v>0.7023154495427385</v>
      </c>
      <c r="V29" s="263">
        <v>0.87596961263015138</v>
      </c>
      <c r="W29" s="263" t="s">
        <v>237</v>
      </c>
      <c r="X29" s="263">
        <v>0.98574612276559681</v>
      </c>
      <c r="Y29" s="263" t="s">
        <v>237</v>
      </c>
      <c r="Z29" s="263" t="s">
        <v>237</v>
      </c>
      <c r="AA29" s="263" t="s">
        <v>237</v>
      </c>
      <c r="AB29" s="263" t="s">
        <v>237</v>
      </c>
      <c r="AC29" s="263" t="s">
        <v>237</v>
      </c>
      <c r="AD29" s="263">
        <v>0.99406306923778553</v>
      </c>
      <c r="AE29" s="263" t="s">
        <v>237</v>
      </c>
      <c r="AF29" s="263" t="s">
        <v>237</v>
      </c>
      <c r="AG29" s="263" t="s">
        <v>237</v>
      </c>
      <c r="AH29" s="264" t="s">
        <v>237</v>
      </c>
    </row>
    <row r="30" spans="2:34">
      <c r="B30" s="196" t="s">
        <v>292</v>
      </c>
      <c r="C30" s="197">
        <v>0.70302936937823057</v>
      </c>
      <c r="D30" s="259" t="s">
        <v>237</v>
      </c>
      <c r="E30" s="260" t="s">
        <v>237</v>
      </c>
      <c r="F30" s="260" t="s">
        <v>237</v>
      </c>
      <c r="G30" s="260" t="s">
        <v>237</v>
      </c>
      <c r="H30" s="260">
        <v>0.67423278209795523</v>
      </c>
      <c r="I30" s="260" t="s">
        <v>237</v>
      </c>
      <c r="J30" s="260" t="s">
        <v>237</v>
      </c>
      <c r="K30" s="260">
        <v>0.76698181433438828</v>
      </c>
      <c r="L30" s="260">
        <v>1</v>
      </c>
      <c r="M30" s="260" t="s">
        <v>237</v>
      </c>
      <c r="N30" s="260">
        <v>1</v>
      </c>
      <c r="O30" s="260" t="s">
        <v>237</v>
      </c>
      <c r="P30" s="260" t="s">
        <v>237</v>
      </c>
      <c r="Q30" s="260" t="s">
        <v>237</v>
      </c>
      <c r="R30" s="260" t="s">
        <v>237</v>
      </c>
      <c r="S30" s="260" t="s">
        <v>237</v>
      </c>
      <c r="T30" s="260" t="s">
        <v>237</v>
      </c>
      <c r="U30" s="260" t="s">
        <v>237</v>
      </c>
      <c r="V30" s="260" t="s">
        <v>237</v>
      </c>
      <c r="W30" s="260" t="s">
        <v>237</v>
      </c>
      <c r="X30" s="260" t="s">
        <v>237</v>
      </c>
      <c r="Y30" s="260" t="s">
        <v>237</v>
      </c>
      <c r="Z30" s="260">
        <v>0.58584609500455032</v>
      </c>
      <c r="AA30" s="260" t="s">
        <v>237</v>
      </c>
      <c r="AB30" s="260" t="s">
        <v>237</v>
      </c>
      <c r="AC30" s="260">
        <v>0.7362056613752006</v>
      </c>
      <c r="AD30" s="260">
        <v>0.40363604322263003</v>
      </c>
      <c r="AE30" s="260">
        <v>0.96680713121946782</v>
      </c>
      <c r="AF30" s="260" t="s">
        <v>237</v>
      </c>
      <c r="AG30" s="260" t="s">
        <v>237</v>
      </c>
      <c r="AH30" s="261" t="s">
        <v>237</v>
      </c>
    </row>
    <row r="31" spans="2:34">
      <c r="B31" s="87" t="s">
        <v>293</v>
      </c>
      <c r="C31" s="133">
        <v>0.97652752166663737</v>
      </c>
      <c r="D31" s="262" t="s">
        <v>237</v>
      </c>
      <c r="E31" s="263" t="s">
        <v>237</v>
      </c>
      <c r="F31" s="263" t="s">
        <v>237</v>
      </c>
      <c r="G31" s="263" t="s">
        <v>237</v>
      </c>
      <c r="H31" s="263" t="s">
        <v>237</v>
      </c>
      <c r="I31" s="263" t="s">
        <v>237</v>
      </c>
      <c r="J31" s="263" t="s">
        <v>237</v>
      </c>
      <c r="K31" s="263" t="s">
        <v>237</v>
      </c>
      <c r="L31" s="263" t="s">
        <v>237</v>
      </c>
      <c r="M31" s="263" t="s">
        <v>237</v>
      </c>
      <c r="N31" s="263" t="s">
        <v>237</v>
      </c>
      <c r="O31" s="263" t="s">
        <v>237</v>
      </c>
      <c r="P31" s="263" t="s">
        <v>237</v>
      </c>
      <c r="Q31" s="263" t="s">
        <v>237</v>
      </c>
      <c r="R31" s="263" t="s">
        <v>237</v>
      </c>
      <c r="S31" s="263" t="s">
        <v>237</v>
      </c>
      <c r="T31" s="263" t="s">
        <v>237</v>
      </c>
      <c r="U31" s="263" t="s">
        <v>237</v>
      </c>
      <c r="V31" s="263" t="s">
        <v>237</v>
      </c>
      <c r="W31" s="263" t="s">
        <v>237</v>
      </c>
      <c r="X31" s="263" t="s">
        <v>237</v>
      </c>
      <c r="Y31" s="263" t="s">
        <v>237</v>
      </c>
      <c r="Z31" s="263" t="s">
        <v>237</v>
      </c>
      <c r="AA31" s="263" t="s">
        <v>237</v>
      </c>
      <c r="AB31" s="263" t="s">
        <v>237</v>
      </c>
      <c r="AC31" s="263" t="s">
        <v>237</v>
      </c>
      <c r="AD31" s="263" t="s">
        <v>237</v>
      </c>
      <c r="AE31" s="263">
        <v>0.97075745467827979</v>
      </c>
      <c r="AF31" s="263">
        <v>0.9773518169506884</v>
      </c>
      <c r="AG31" s="263" t="s">
        <v>237</v>
      </c>
      <c r="AH31" s="264" t="s">
        <v>237</v>
      </c>
    </row>
    <row r="32" spans="2:34">
      <c r="B32" s="196" t="s">
        <v>297</v>
      </c>
      <c r="C32" s="197">
        <v>0.9390529069202822</v>
      </c>
      <c r="D32" s="259" t="s">
        <v>237</v>
      </c>
      <c r="E32" s="260" t="s">
        <v>237</v>
      </c>
      <c r="F32" s="260" t="s">
        <v>237</v>
      </c>
      <c r="G32" s="260" t="s">
        <v>237</v>
      </c>
      <c r="H32" s="260" t="s">
        <v>237</v>
      </c>
      <c r="I32" s="260" t="s">
        <v>237</v>
      </c>
      <c r="J32" s="260" t="s">
        <v>237</v>
      </c>
      <c r="K32" s="260" t="s">
        <v>237</v>
      </c>
      <c r="L32" s="260" t="s">
        <v>237</v>
      </c>
      <c r="M32" s="260" t="s">
        <v>237</v>
      </c>
      <c r="N32" s="260" t="s">
        <v>237</v>
      </c>
      <c r="O32" s="260" t="s">
        <v>237</v>
      </c>
      <c r="P32" s="260">
        <v>0.99129034286862949</v>
      </c>
      <c r="Q32" s="260" t="s">
        <v>237</v>
      </c>
      <c r="R32" s="260" t="s">
        <v>237</v>
      </c>
      <c r="S32" s="260" t="s">
        <v>237</v>
      </c>
      <c r="T32" s="260">
        <v>0.68204325196777815</v>
      </c>
      <c r="U32" s="260" t="s">
        <v>237</v>
      </c>
      <c r="V32" s="260" t="s">
        <v>237</v>
      </c>
      <c r="W32" s="260" t="s">
        <v>237</v>
      </c>
      <c r="X32" s="260" t="s">
        <v>237</v>
      </c>
      <c r="Y32" s="260" t="s">
        <v>237</v>
      </c>
      <c r="Z32" s="260">
        <v>0.87780722546312073</v>
      </c>
      <c r="AA32" s="260" t="s">
        <v>237</v>
      </c>
      <c r="AB32" s="260">
        <v>0.97632027499913931</v>
      </c>
      <c r="AC32" s="260" t="s">
        <v>237</v>
      </c>
      <c r="AD32" s="260" t="s">
        <v>237</v>
      </c>
      <c r="AE32" s="260">
        <v>0.98146659890845889</v>
      </c>
      <c r="AF32" s="260" t="s">
        <v>237</v>
      </c>
      <c r="AG32" s="260" t="s">
        <v>237</v>
      </c>
      <c r="AH32" s="261" t="s">
        <v>237</v>
      </c>
    </row>
    <row r="33" spans="2:34">
      <c r="B33" s="87" t="s">
        <v>298</v>
      </c>
      <c r="C33" s="133">
        <v>0.71107415740969793</v>
      </c>
      <c r="D33" s="262" t="s">
        <v>237</v>
      </c>
      <c r="E33" s="263" t="s">
        <v>237</v>
      </c>
      <c r="F33" s="263" t="s">
        <v>237</v>
      </c>
      <c r="G33" s="263" t="s">
        <v>237</v>
      </c>
      <c r="H33" s="263" t="s">
        <v>237</v>
      </c>
      <c r="I33" s="263" t="s">
        <v>237</v>
      </c>
      <c r="J33" s="263" t="s">
        <v>237</v>
      </c>
      <c r="K33" s="263" t="s">
        <v>237</v>
      </c>
      <c r="L33" s="263">
        <v>0.9365923925710512</v>
      </c>
      <c r="M33" s="263" t="s">
        <v>237</v>
      </c>
      <c r="N33" s="263" t="s">
        <v>237</v>
      </c>
      <c r="O33" s="263">
        <v>0.8224569142192546</v>
      </c>
      <c r="P33" s="263">
        <v>1</v>
      </c>
      <c r="Q33" s="263" t="s">
        <v>237</v>
      </c>
      <c r="R33" s="263" t="s">
        <v>237</v>
      </c>
      <c r="S33" s="263" t="s">
        <v>237</v>
      </c>
      <c r="T33" s="263">
        <v>0.97893356237729512</v>
      </c>
      <c r="U33" s="263" t="s">
        <v>237</v>
      </c>
      <c r="V33" s="263" t="s">
        <v>237</v>
      </c>
      <c r="W33" s="263" t="s">
        <v>237</v>
      </c>
      <c r="X33" s="263" t="s">
        <v>237</v>
      </c>
      <c r="Y33" s="263" t="s">
        <v>237</v>
      </c>
      <c r="Z33" s="263">
        <v>0.37642351973765942</v>
      </c>
      <c r="AA33" s="263" t="s">
        <v>237</v>
      </c>
      <c r="AB33" s="263">
        <v>0.10794939869118229</v>
      </c>
      <c r="AC33" s="263" t="s">
        <v>237</v>
      </c>
      <c r="AD33" s="263" t="s">
        <v>237</v>
      </c>
      <c r="AE33" s="263" t="s">
        <v>237</v>
      </c>
      <c r="AF33" s="263" t="s">
        <v>237</v>
      </c>
      <c r="AG33" s="263" t="s">
        <v>237</v>
      </c>
      <c r="AH33" s="264" t="s">
        <v>237</v>
      </c>
    </row>
    <row r="34" spans="2:34">
      <c r="B34" s="196" t="s">
        <v>300</v>
      </c>
      <c r="C34" s="197">
        <v>0.86661999419004987</v>
      </c>
      <c r="D34" s="259" t="s">
        <v>237</v>
      </c>
      <c r="E34" s="260" t="s">
        <v>237</v>
      </c>
      <c r="F34" s="260" t="s">
        <v>237</v>
      </c>
      <c r="G34" s="260" t="s">
        <v>237</v>
      </c>
      <c r="H34" s="260">
        <v>0.50513587075774968</v>
      </c>
      <c r="I34" s="260">
        <v>0.86822107508548085</v>
      </c>
      <c r="J34" s="260" t="s">
        <v>237</v>
      </c>
      <c r="K34" s="260">
        <v>0.9994670017080588</v>
      </c>
      <c r="L34" s="260" t="s">
        <v>237</v>
      </c>
      <c r="M34" s="260">
        <v>0.87801392872602357</v>
      </c>
      <c r="N34" s="260">
        <v>0.99788553065837338</v>
      </c>
      <c r="O34" s="260">
        <v>0.29339515807480709</v>
      </c>
      <c r="P34" s="260" t="s">
        <v>237</v>
      </c>
      <c r="Q34" s="260" t="s">
        <v>237</v>
      </c>
      <c r="R34" s="260" t="s">
        <v>237</v>
      </c>
      <c r="S34" s="260" t="s">
        <v>237</v>
      </c>
      <c r="T34" s="260">
        <v>1</v>
      </c>
      <c r="U34" s="260">
        <v>0.99965910059501861</v>
      </c>
      <c r="V34" s="260" t="s">
        <v>237</v>
      </c>
      <c r="W34" s="260" t="s">
        <v>237</v>
      </c>
      <c r="X34" s="260">
        <v>0.64087599981783439</v>
      </c>
      <c r="Y34" s="260">
        <v>0.99004595488691738</v>
      </c>
      <c r="Z34" s="260">
        <v>0.92198963006565626</v>
      </c>
      <c r="AA34" s="260">
        <v>1</v>
      </c>
      <c r="AB34" s="260">
        <v>1</v>
      </c>
      <c r="AC34" s="260">
        <v>0.79545197303792925</v>
      </c>
      <c r="AD34" s="260" t="s">
        <v>237</v>
      </c>
      <c r="AE34" s="260" t="s">
        <v>237</v>
      </c>
      <c r="AF34" s="260">
        <v>0.81021566434226644</v>
      </c>
      <c r="AG34" s="260" t="s">
        <v>237</v>
      </c>
      <c r="AH34" s="261">
        <v>0.74685065406960827</v>
      </c>
    </row>
    <row r="35" spans="2:34">
      <c r="B35" s="87" t="s">
        <v>301</v>
      </c>
      <c r="C35" s="133">
        <v>0.86614503614782401</v>
      </c>
      <c r="D35" s="262" t="s">
        <v>237</v>
      </c>
      <c r="E35" s="263" t="s">
        <v>237</v>
      </c>
      <c r="F35" s="263" t="s">
        <v>237</v>
      </c>
      <c r="G35" s="263" t="s">
        <v>237</v>
      </c>
      <c r="H35" s="263" t="s">
        <v>237</v>
      </c>
      <c r="I35" s="263" t="s">
        <v>237</v>
      </c>
      <c r="J35" s="263" t="s">
        <v>237</v>
      </c>
      <c r="K35" s="263" t="s">
        <v>237</v>
      </c>
      <c r="L35" s="263" t="s">
        <v>237</v>
      </c>
      <c r="M35" s="263" t="s">
        <v>237</v>
      </c>
      <c r="N35" s="263" t="s">
        <v>237</v>
      </c>
      <c r="O35" s="263" t="s">
        <v>237</v>
      </c>
      <c r="P35" s="263" t="s">
        <v>237</v>
      </c>
      <c r="Q35" s="263" t="s">
        <v>237</v>
      </c>
      <c r="R35" s="263" t="s">
        <v>237</v>
      </c>
      <c r="S35" s="263" t="s">
        <v>237</v>
      </c>
      <c r="T35" s="263" t="s">
        <v>237</v>
      </c>
      <c r="U35" s="263" t="s">
        <v>237</v>
      </c>
      <c r="V35" s="263" t="s">
        <v>237</v>
      </c>
      <c r="W35" s="263" t="s">
        <v>237</v>
      </c>
      <c r="X35" s="263" t="s">
        <v>237</v>
      </c>
      <c r="Y35" s="263" t="s">
        <v>237</v>
      </c>
      <c r="Z35" s="263" t="s">
        <v>237</v>
      </c>
      <c r="AA35" s="263" t="s">
        <v>237</v>
      </c>
      <c r="AB35" s="263" t="s">
        <v>237</v>
      </c>
      <c r="AC35" s="263">
        <v>0.99408614928240591</v>
      </c>
      <c r="AD35" s="263">
        <v>1</v>
      </c>
      <c r="AE35" s="263">
        <v>0.80617466074542954</v>
      </c>
      <c r="AF35" s="263">
        <v>0.92585342229983492</v>
      </c>
      <c r="AG35" s="263">
        <v>0.96469519007620086</v>
      </c>
      <c r="AH35" s="264" t="s">
        <v>237</v>
      </c>
    </row>
    <row r="36" spans="2:34">
      <c r="B36" s="196" t="s">
        <v>302</v>
      </c>
      <c r="C36" s="197">
        <v>0.84341402142364374</v>
      </c>
      <c r="D36" s="259" t="s">
        <v>237</v>
      </c>
      <c r="E36" s="260" t="s">
        <v>237</v>
      </c>
      <c r="F36" s="260" t="s">
        <v>237</v>
      </c>
      <c r="G36" s="260" t="s">
        <v>237</v>
      </c>
      <c r="H36" s="260" t="s">
        <v>237</v>
      </c>
      <c r="I36" s="260" t="s">
        <v>237</v>
      </c>
      <c r="J36" s="260" t="s">
        <v>237</v>
      </c>
      <c r="K36" s="260" t="s">
        <v>237</v>
      </c>
      <c r="L36" s="260" t="s">
        <v>237</v>
      </c>
      <c r="M36" s="260" t="s">
        <v>237</v>
      </c>
      <c r="N36" s="260" t="s">
        <v>237</v>
      </c>
      <c r="O36" s="260" t="s">
        <v>237</v>
      </c>
      <c r="P36" s="260" t="s">
        <v>237</v>
      </c>
      <c r="Q36" s="260" t="s">
        <v>237</v>
      </c>
      <c r="R36" s="260" t="s">
        <v>237</v>
      </c>
      <c r="S36" s="260" t="s">
        <v>237</v>
      </c>
      <c r="T36" s="260" t="s">
        <v>237</v>
      </c>
      <c r="U36" s="260" t="s">
        <v>237</v>
      </c>
      <c r="V36" s="260" t="s">
        <v>237</v>
      </c>
      <c r="W36" s="260">
        <v>0.56854820857686472</v>
      </c>
      <c r="X36" s="260">
        <v>0.97573775394055939</v>
      </c>
      <c r="Y36" s="260">
        <v>0.82062953469611888</v>
      </c>
      <c r="Z36" s="260">
        <v>0.86052818400171527</v>
      </c>
      <c r="AA36" s="260" t="s">
        <v>237</v>
      </c>
      <c r="AB36" s="260">
        <v>0.65651913901804027</v>
      </c>
      <c r="AC36" s="260" t="s">
        <v>237</v>
      </c>
      <c r="AD36" s="260">
        <v>0.87292201313487938</v>
      </c>
      <c r="AE36" s="260" t="s">
        <v>237</v>
      </c>
      <c r="AF36" s="260" t="s">
        <v>237</v>
      </c>
      <c r="AG36" s="260" t="s">
        <v>237</v>
      </c>
      <c r="AH36" s="261" t="s">
        <v>237</v>
      </c>
    </row>
    <row r="37" spans="2:34">
      <c r="B37" s="87" t="s">
        <v>303</v>
      </c>
      <c r="C37" s="133">
        <v>0.78347130922446084</v>
      </c>
      <c r="D37" s="262" t="s">
        <v>237</v>
      </c>
      <c r="E37" s="263" t="s">
        <v>237</v>
      </c>
      <c r="F37" s="263" t="s">
        <v>237</v>
      </c>
      <c r="G37" s="263" t="s">
        <v>237</v>
      </c>
      <c r="H37" s="263" t="s">
        <v>237</v>
      </c>
      <c r="I37" s="263">
        <v>1</v>
      </c>
      <c r="J37" s="263" t="s">
        <v>237</v>
      </c>
      <c r="K37" s="263" t="s">
        <v>237</v>
      </c>
      <c r="L37" s="263">
        <v>0.75853167851593661</v>
      </c>
      <c r="M37" s="263" t="s">
        <v>237</v>
      </c>
      <c r="N37" s="263" t="s">
        <v>237</v>
      </c>
      <c r="O37" s="263">
        <v>0.51201081871274923</v>
      </c>
      <c r="P37" s="263">
        <v>1</v>
      </c>
      <c r="Q37" s="263">
        <v>1</v>
      </c>
      <c r="R37" s="263" t="s">
        <v>237</v>
      </c>
      <c r="S37" s="263">
        <v>0.76303994407579323</v>
      </c>
      <c r="T37" s="263" t="s">
        <v>237</v>
      </c>
      <c r="U37" s="263" t="s">
        <v>237</v>
      </c>
      <c r="V37" s="263" t="s">
        <v>237</v>
      </c>
      <c r="W37" s="263" t="s">
        <v>237</v>
      </c>
      <c r="X37" s="263" t="s">
        <v>237</v>
      </c>
      <c r="Y37" s="263" t="s">
        <v>237</v>
      </c>
      <c r="Z37" s="263" t="s">
        <v>237</v>
      </c>
      <c r="AA37" s="263" t="s">
        <v>237</v>
      </c>
      <c r="AB37" s="263" t="s">
        <v>237</v>
      </c>
      <c r="AC37" s="263" t="s">
        <v>237</v>
      </c>
      <c r="AD37" s="263" t="s">
        <v>237</v>
      </c>
      <c r="AE37" s="263" t="s">
        <v>237</v>
      </c>
      <c r="AF37" s="263" t="s">
        <v>237</v>
      </c>
      <c r="AG37" s="263" t="s">
        <v>237</v>
      </c>
      <c r="AH37" s="264" t="s">
        <v>237</v>
      </c>
    </row>
    <row r="38" spans="2:34">
      <c r="B38" s="196" t="s">
        <v>305</v>
      </c>
      <c r="C38" s="197">
        <v>0.68649006163776105</v>
      </c>
      <c r="D38" s="259" t="s">
        <v>237</v>
      </c>
      <c r="E38" s="260" t="s">
        <v>237</v>
      </c>
      <c r="F38" s="260" t="s">
        <v>237</v>
      </c>
      <c r="G38" s="260" t="s">
        <v>237</v>
      </c>
      <c r="H38" s="260" t="s">
        <v>237</v>
      </c>
      <c r="I38" s="260" t="s">
        <v>237</v>
      </c>
      <c r="J38" s="260" t="s">
        <v>237</v>
      </c>
      <c r="K38" s="260">
        <v>0.76154709260556763</v>
      </c>
      <c r="L38" s="260">
        <v>0.73765415202084661</v>
      </c>
      <c r="M38" s="260" t="s">
        <v>237</v>
      </c>
      <c r="N38" s="260">
        <v>0.71764375259567403</v>
      </c>
      <c r="O38" s="260" t="s">
        <v>237</v>
      </c>
      <c r="P38" s="260" t="s">
        <v>237</v>
      </c>
      <c r="Q38" s="260">
        <v>1</v>
      </c>
      <c r="R38" s="260" t="s">
        <v>237</v>
      </c>
      <c r="S38" s="260">
        <v>0.95036625233314653</v>
      </c>
      <c r="T38" s="260">
        <v>0.9191631555624391</v>
      </c>
      <c r="U38" s="260" t="s">
        <v>237</v>
      </c>
      <c r="V38" s="260" t="s">
        <v>237</v>
      </c>
      <c r="W38" s="260">
        <v>0.83039368400312186</v>
      </c>
      <c r="X38" s="260">
        <v>0.39303998742823337</v>
      </c>
      <c r="Y38" s="260">
        <v>0.98188633137680603</v>
      </c>
      <c r="Z38" s="260">
        <v>0.66733770821892779</v>
      </c>
      <c r="AA38" s="260">
        <v>0.91457726718904853</v>
      </c>
      <c r="AB38" s="260" t="s">
        <v>237</v>
      </c>
      <c r="AC38" s="260">
        <v>0.37193693820344481</v>
      </c>
      <c r="AD38" s="260">
        <v>0.53449182984869748</v>
      </c>
      <c r="AE38" s="260">
        <v>0.35053082290381588</v>
      </c>
      <c r="AF38" s="260">
        <v>0.48092879681194722</v>
      </c>
      <c r="AG38" s="260" t="s">
        <v>237</v>
      </c>
      <c r="AH38" s="261" t="s">
        <v>237</v>
      </c>
    </row>
    <row r="39" spans="2:34">
      <c r="B39" s="87" t="s">
        <v>306</v>
      </c>
      <c r="C39" s="133">
        <v>0.75447673326337206</v>
      </c>
      <c r="D39" s="262" t="s">
        <v>237</v>
      </c>
      <c r="E39" s="263" t="s">
        <v>237</v>
      </c>
      <c r="F39" s="263" t="s">
        <v>237</v>
      </c>
      <c r="G39" s="263">
        <v>4.1623996749533348E-2</v>
      </c>
      <c r="H39" s="263" t="s">
        <v>237</v>
      </c>
      <c r="I39" s="263" t="s">
        <v>237</v>
      </c>
      <c r="J39" s="263" t="s">
        <v>237</v>
      </c>
      <c r="K39" s="263">
        <v>0.99775018016980499</v>
      </c>
      <c r="L39" s="263">
        <v>0.13615457854848079</v>
      </c>
      <c r="M39" s="263" t="s">
        <v>237</v>
      </c>
      <c r="N39" s="263" t="s">
        <v>237</v>
      </c>
      <c r="O39" s="263" t="s">
        <v>237</v>
      </c>
      <c r="P39" s="263" t="s">
        <v>237</v>
      </c>
      <c r="Q39" s="263">
        <v>1</v>
      </c>
      <c r="R39" s="263" t="s">
        <v>237</v>
      </c>
      <c r="S39" s="263">
        <v>0.90957538053756126</v>
      </c>
      <c r="T39" s="263">
        <v>0.77133545024015837</v>
      </c>
      <c r="U39" s="263" t="s">
        <v>237</v>
      </c>
      <c r="V39" s="263" t="s">
        <v>237</v>
      </c>
      <c r="W39" s="263">
        <v>0.8842926890988162</v>
      </c>
      <c r="X39" s="263">
        <v>0.53654418575758467</v>
      </c>
      <c r="Y39" s="263">
        <v>0.98788914967295027</v>
      </c>
      <c r="Z39" s="263">
        <v>1</v>
      </c>
      <c r="AA39" s="263">
        <v>0.9986021207955893</v>
      </c>
      <c r="AB39" s="263">
        <v>1</v>
      </c>
      <c r="AC39" s="263" t="s">
        <v>237</v>
      </c>
      <c r="AD39" s="263">
        <v>1</v>
      </c>
      <c r="AE39" s="263" t="s">
        <v>237</v>
      </c>
      <c r="AF39" s="263" t="s">
        <v>237</v>
      </c>
      <c r="AG39" s="263" t="s">
        <v>237</v>
      </c>
      <c r="AH39" s="264" t="s">
        <v>237</v>
      </c>
    </row>
    <row r="40" spans="2:34">
      <c r="B40" s="196" t="s">
        <v>348</v>
      </c>
      <c r="C40" s="197">
        <v>0.92424272157881704</v>
      </c>
      <c r="D40" s="259" t="s">
        <v>237</v>
      </c>
      <c r="E40" s="260" t="s">
        <v>237</v>
      </c>
      <c r="F40" s="260" t="s">
        <v>237</v>
      </c>
      <c r="G40" s="260" t="s">
        <v>237</v>
      </c>
      <c r="H40" s="260" t="s">
        <v>237</v>
      </c>
      <c r="I40" s="260" t="s">
        <v>237</v>
      </c>
      <c r="J40" s="260" t="s">
        <v>237</v>
      </c>
      <c r="K40" s="260" t="s">
        <v>237</v>
      </c>
      <c r="L40" s="260" t="s">
        <v>237</v>
      </c>
      <c r="M40" s="260" t="s">
        <v>237</v>
      </c>
      <c r="N40" s="260" t="s">
        <v>237</v>
      </c>
      <c r="O40" s="260" t="s">
        <v>237</v>
      </c>
      <c r="P40" s="260" t="s">
        <v>237</v>
      </c>
      <c r="Q40" s="260" t="s">
        <v>237</v>
      </c>
      <c r="R40" s="260" t="s">
        <v>237</v>
      </c>
      <c r="S40" s="260" t="s">
        <v>237</v>
      </c>
      <c r="T40" s="260">
        <v>0.9981978670770506</v>
      </c>
      <c r="U40" s="260">
        <v>0.74679084675504259</v>
      </c>
      <c r="V40" s="260">
        <v>0.99228998203484009</v>
      </c>
      <c r="W40" s="260" t="s">
        <v>237</v>
      </c>
      <c r="X40" s="260" t="s">
        <v>237</v>
      </c>
      <c r="Y40" s="260" t="s">
        <v>237</v>
      </c>
      <c r="Z40" s="260" t="s">
        <v>237</v>
      </c>
      <c r="AA40" s="260">
        <v>0.94915339849382729</v>
      </c>
      <c r="AB40" s="260">
        <v>0.52366720217368012</v>
      </c>
      <c r="AC40" s="260" t="s">
        <v>237</v>
      </c>
      <c r="AD40" s="260" t="s">
        <v>237</v>
      </c>
      <c r="AE40" s="260" t="s">
        <v>237</v>
      </c>
      <c r="AF40" s="260" t="s">
        <v>237</v>
      </c>
      <c r="AG40" s="260" t="s">
        <v>237</v>
      </c>
      <c r="AH40" s="261" t="s">
        <v>237</v>
      </c>
    </row>
    <row r="41" spans="2:34">
      <c r="B41" s="87" t="s">
        <v>307</v>
      </c>
      <c r="C41" s="133">
        <v>0.72197869015995164</v>
      </c>
      <c r="D41" s="262">
        <v>1</v>
      </c>
      <c r="E41" s="263" t="s">
        <v>237</v>
      </c>
      <c r="F41" s="263" t="s">
        <v>237</v>
      </c>
      <c r="G41" s="263" t="s">
        <v>237</v>
      </c>
      <c r="H41" s="263">
        <v>0.21682806893333531</v>
      </c>
      <c r="I41" s="263" t="s">
        <v>237</v>
      </c>
      <c r="J41" s="263" t="s">
        <v>237</v>
      </c>
      <c r="K41" s="263" t="s">
        <v>237</v>
      </c>
      <c r="L41" s="263" t="s">
        <v>237</v>
      </c>
      <c r="M41" s="263">
        <v>1</v>
      </c>
      <c r="N41" s="263">
        <v>3.1754123830322209E-2</v>
      </c>
      <c r="O41" s="263" t="s">
        <v>237</v>
      </c>
      <c r="P41" s="263" t="s">
        <v>237</v>
      </c>
      <c r="Q41" s="263">
        <v>0.74869792949585356</v>
      </c>
      <c r="R41" s="263">
        <v>4.433952911577331E-2</v>
      </c>
      <c r="S41" s="263">
        <v>0.8745963283793029</v>
      </c>
      <c r="T41" s="263" t="s">
        <v>237</v>
      </c>
      <c r="U41" s="263">
        <v>0.83591993312548096</v>
      </c>
      <c r="V41" s="263">
        <v>1</v>
      </c>
      <c r="W41" s="263" t="s">
        <v>237</v>
      </c>
      <c r="X41" s="263">
        <v>0.9752680342339054</v>
      </c>
      <c r="Y41" s="263">
        <v>0.43973263176982302</v>
      </c>
      <c r="Z41" s="263">
        <v>0.91750561308771827</v>
      </c>
      <c r="AA41" s="263">
        <v>0.60745806860324103</v>
      </c>
      <c r="AB41" s="263">
        <v>0.97303835399271388</v>
      </c>
      <c r="AC41" s="263">
        <v>0.90694360629970594</v>
      </c>
      <c r="AD41" s="263">
        <v>0.98665898299515176</v>
      </c>
      <c r="AE41" s="263">
        <v>8.6647149760864309E-2</v>
      </c>
      <c r="AF41" s="263" t="s">
        <v>237</v>
      </c>
      <c r="AG41" s="263">
        <v>0.99652056491390373</v>
      </c>
      <c r="AH41" s="264" t="s">
        <v>237</v>
      </c>
    </row>
    <row r="42" spans="2:34">
      <c r="B42" s="196" t="s">
        <v>308</v>
      </c>
      <c r="C42" s="197">
        <v>0.69727400218328572</v>
      </c>
      <c r="D42" s="259" t="s">
        <v>237</v>
      </c>
      <c r="E42" s="260" t="s">
        <v>237</v>
      </c>
      <c r="F42" s="260" t="s">
        <v>237</v>
      </c>
      <c r="G42" s="260" t="s">
        <v>237</v>
      </c>
      <c r="H42" s="260" t="s">
        <v>237</v>
      </c>
      <c r="I42" s="260" t="s">
        <v>237</v>
      </c>
      <c r="J42" s="260" t="s">
        <v>237</v>
      </c>
      <c r="K42" s="260" t="s">
        <v>237</v>
      </c>
      <c r="L42" s="260" t="s">
        <v>237</v>
      </c>
      <c r="M42" s="260">
        <v>1</v>
      </c>
      <c r="N42" s="260" t="s">
        <v>237</v>
      </c>
      <c r="O42" s="260" t="s">
        <v>237</v>
      </c>
      <c r="P42" s="260" t="s">
        <v>237</v>
      </c>
      <c r="Q42" s="260" t="s">
        <v>237</v>
      </c>
      <c r="R42" s="260" t="s">
        <v>237</v>
      </c>
      <c r="S42" s="260">
        <v>0.55987167343823252</v>
      </c>
      <c r="T42" s="260">
        <v>0.28082453361785142</v>
      </c>
      <c r="U42" s="260" t="s">
        <v>237</v>
      </c>
      <c r="V42" s="260" t="s">
        <v>237</v>
      </c>
      <c r="W42" s="260">
        <v>0.7136387852643431</v>
      </c>
      <c r="X42" s="260">
        <v>0.98900944070714059</v>
      </c>
      <c r="Y42" s="260" t="s">
        <v>237</v>
      </c>
      <c r="Z42" s="260" t="s">
        <v>237</v>
      </c>
      <c r="AA42" s="260" t="s">
        <v>237</v>
      </c>
      <c r="AB42" s="260">
        <v>0.91645916326623456</v>
      </c>
      <c r="AC42" s="260">
        <v>0.98662011949577355</v>
      </c>
      <c r="AD42" s="260">
        <v>1</v>
      </c>
      <c r="AE42" s="260" t="s">
        <v>237</v>
      </c>
      <c r="AF42" s="260" t="s">
        <v>237</v>
      </c>
      <c r="AG42" s="260">
        <v>0</v>
      </c>
      <c r="AH42" s="261" t="s">
        <v>237</v>
      </c>
    </row>
    <row r="43" spans="2:34">
      <c r="B43" s="87" t="s">
        <v>310</v>
      </c>
      <c r="C43" s="133">
        <v>0.6179681930826566</v>
      </c>
      <c r="D43" s="262" t="s">
        <v>237</v>
      </c>
      <c r="E43" s="263" t="s">
        <v>237</v>
      </c>
      <c r="F43" s="263" t="s">
        <v>237</v>
      </c>
      <c r="G43" s="263" t="s">
        <v>237</v>
      </c>
      <c r="H43" s="263" t="s">
        <v>237</v>
      </c>
      <c r="I43" s="263" t="s">
        <v>237</v>
      </c>
      <c r="J43" s="263" t="s">
        <v>237</v>
      </c>
      <c r="K43" s="263" t="s">
        <v>237</v>
      </c>
      <c r="L43" s="263" t="s">
        <v>237</v>
      </c>
      <c r="M43" s="263" t="s">
        <v>237</v>
      </c>
      <c r="N43" s="263" t="s">
        <v>237</v>
      </c>
      <c r="O43" s="263" t="s">
        <v>237</v>
      </c>
      <c r="P43" s="263" t="s">
        <v>237</v>
      </c>
      <c r="Q43" s="263" t="s">
        <v>237</v>
      </c>
      <c r="R43" s="263">
        <v>0.74316367420006146</v>
      </c>
      <c r="S43" s="263">
        <v>6.5577365743518676E-2</v>
      </c>
      <c r="T43" s="263">
        <v>0.81060481370929371</v>
      </c>
      <c r="U43" s="263">
        <v>0.71925332172837275</v>
      </c>
      <c r="V43" s="263">
        <v>0.73730158299859394</v>
      </c>
      <c r="W43" s="263">
        <v>0.65159414355845569</v>
      </c>
      <c r="X43" s="263">
        <v>0.7461813375352776</v>
      </c>
      <c r="Y43" s="263" t="s">
        <v>237</v>
      </c>
      <c r="Z43" s="263">
        <v>0</v>
      </c>
      <c r="AA43" s="263">
        <v>0.9995368572792358</v>
      </c>
      <c r="AB43" s="263">
        <v>0.6056063201423072</v>
      </c>
      <c r="AC43" s="263">
        <v>0</v>
      </c>
      <c r="AD43" s="263">
        <v>1</v>
      </c>
      <c r="AE43" s="263" t="s">
        <v>237</v>
      </c>
      <c r="AF43" s="263" t="s">
        <v>237</v>
      </c>
      <c r="AG43" s="263" t="s">
        <v>237</v>
      </c>
      <c r="AH43" s="264">
        <v>0.33058703631884889</v>
      </c>
    </row>
    <row r="44" spans="2:34">
      <c r="B44" s="196" t="s">
        <v>312</v>
      </c>
      <c r="C44" s="197">
        <v>0.71087961140425227</v>
      </c>
      <c r="D44" s="259" t="s">
        <v>237</v>
      </c>
      <c r="E44" s="260" t="s">
        <v>237</v>
      </c>
      <c r="F44" s="260" t="s">
        <v>237</v>
      </c>
      <c r="G44" s="260" t="s">
        <v>237</v>
      </c>
      <c r="H44" s="260" t="s">
        <v>237</v>
      </c>
      <c r="I44" s="260" t="s">
        <v>237</v>
      </c>
      <c r="J44" s="260">
        <v>0.1113689440293414</v>
      </c>
      <c r="K44" s="260">
        <v>8.8750279414993222E-2</v>
      </c>
      <c r="L44" s="260">
        <v>0.99518285189607891</v>
      </c>
      <c r="M44" s="260">
        <v>1</v>
      </c>
      <c r="N44" s="260" t="s">
        <v>237</v>
      </c>
      <c r="O44" s="260" t="s">
        <v>237</v>
      </c>
      <c r="P44" s="260" t="s">
        <v>237</v>
      </c>
      <c r="Q44" s="260" t="s">
        <v>237</v>
      </c>
      <c r="R44" s="260" t="s">
        <v>237</v>
      </c>
      <c r="S44" s="260" t="s">
        <v>237</v>
      </c>
      <c r="T44" s="260">
        <v>0.99483994996069014</v>
      </c>
      <c r="U44" s="260" t="s">
        <v>237</v>
      </c>
      <c r="V44" s="260" t="s">
        <v>237</v>
      </c>
      <c r="W44" s="260" t="s">
        <v>237</v>
      </c>
      <c r="X44" s="260" t="s">
        <v>237</v>
      </c>
      <c r="Y44" s="260" t="s">
        <v>237</v>
      </c>
      <c r="Z44" s="260">
        <v>0.99522525977887888</v>
      </c>
      <c r="AA44" s="260">
        <v>1</v>
      </c>
      <c r="AB44" s="260" t="s">
        <v>237</v>
      </c>
      <c r="AC44" s="260" t="s">
        <v>237</v>
      </c>
      <c r="AD44" s="260" t="s">
        <v>237</v>
      </c>
      <c r="AE44" s="260">
        <v>1</v>
      </c>
      <c r="AF44" s="260">
        <v>0.96380785459119145</v>
      </c>
      <c r="AG44" s="260">
        <v>1</v>
      </c>
      <c r="AH44" s="261" t="s">
        <v>237</v>
      </c>
    </row>
    <row r="45" spans="2:34">
      <c r="B45" s="87" t="s">
        <v>313</v>
      </c>
      <c r="C45" s="133">
        <v>0.68435351632341268</v>
      </c>
      <c r="D45" s="262" t="s">
        <v>237</v>
      </c>
      <c r="E45" s="263" t="s">
        <v>237</v>
      </c>
      <c r="F45" s="263" t="s">
        <v>237</v>
      </c>
      <c r="G45" s="263">
        <v>0.22184224668289459</v>
      </c>
      <c r="H45" s="263" t="s">
        <v>237</v>
      </c>
      <c r="I45" s="263" t="s">
        <v>237</v>
      </c>
      <c r="J45" s="263">
        <v>3.0447472717288399E-2</v>
      </c>
      <c r="K45" s="263">
        <v>0.62101458607968918</v>
      </c>
      <c r="L45" s="263">
        <v>0.67989079837009825</v>
      </c>
      <c r="M45" s="263">
        <v>0.99156385067794195</v>
      </c>
      <c r="N45" s="263">
        <v>0.98460343619699109</v>
      </c>
      <c r="O45" s="263" t="s">
        <v>237</v>
      </c>
      <c r="P45" s="263">
        <v>0.93041829502658902</v>
      </c>
      <c r="Q45" s="263" t="s">
        <v>237</v>
      </c>
      <c r="R45" s="263">
        <v>1</v>
      </c>
      <c r="S45" s="263" t="s">
        <v>237</v>
      </c>
      <c r="T45" s="263">
        <v>0.79240684845394938</v>
      </c>
      <c r="U45" s="263" t="s">
        <v>237</v>
      </c>
      <c r="V45" s="263" t="s">
        <v>237</v>
      </c>
      <c r="W45" s="263" t="s">
        <v>237</v>
      </c>
      <c r="X45" s="263" t="s">
        <v>237</v>
      </c>
      <c r="Y45" s="263" t="s">
        <v>237</v>
      </c>
      <c r="Z45" s="263" t="s">
        <v>237</v>
      </c>
      <c r="AA45" s="263">
        <v>1.378584885155448E-2</v>
      </c>
      <c r="AB45" s="263" t="s">
        <v>237</v>
      </c>
      <c r="AC45" s="263">
        <v>0.53409121220498745</v>
      </c>
      <c r="AD45" s="263">
        <v>0.93885227531168491</v>
      </c>
      <c r="AE45" s="263">
        <v>0.91581563030886703</v>
      </c>
      <c r="AF45" s="263" t="s">
        <v>237</v>
      </c>
      <c r="AG45" s="263" t="s">
        <v>237</v>
      </c>
      <c r="AH45" s="264" t="s">
        <v>237</v>
      </c>
    </row>
    <row r="46" spans="2:34">
      <c r="B46" s="196" t="s">
        <v>314</v>
      </c>
      <c r="C46" s="197">
        <v>0.8605524720188743</v>
      </c>
      <c r="D46" s="259" t="s">
        <v>237</v>
      </c>
      <c r="E46" s="260" t="s">
        <v>237</v>
      </c>
      <c r="F46" s="260" t="s">
        <v>237</v>
      </c>
      <c r="G46" s="260">
        <v>1</v>
      </c>
      <c r="H46" s="260">
        <v>0.99852680381584391</v>
      </c>
      <c r="I46" s="260">
        <v>1</v>
      </c>
      <c r="J46" s="260" t="s">
        <v>237</v>
      </c>
      <c r="K46" s="260" t="s">
        <v>237</v>
      </c>
      <c r="L46" s="260">
        <v>0.48211841573138442</v>
      </c>
      <c r="M46" s="260" t="s">
        <v>237</v>
      </c>
      <c r="N46" s="260">
        <v>0.94569554542927892</v>
      </c>
      <c r="O46" s="260">
        <v>0.33359906410805701</v>
      </c>
      <c r="P46" s="260">
        <v>3.5443814921964821E-2</v>
      </c>
      <c r="Q46" s="260" t="s">
        <v>237</v>
      </c>
      <c r="R46" s="260">
        <v>0.993531916512989</v>
      </c>
      <c r="S46" s="260">
        <v>0.80988240442863624</v>
      </c>
      <c r="T46" s="260" t="s">
        <v>237</v>
      </c>
      <c r="U46" s="260" t="s">
        <v>237</v>
      </c>
      <c r="V46" s="260">
        <v>0.95067530867563865</v>
      </c>
      <c r="W46" s="260" t="s">
        <v>237</v>
      </c>
      <c r="X46" s="260" t="s">
        <v>237</v>
      </c>
      <c r="Y46" s="260" t="s">
        <v>237</v>
      </c>
      <c r="Z46" s="260">
        <v>0.97438273147422116</v>
      </c>
      <c r="AA46" s="260" t="s">
        <v>237</v>
      </c>
      <c r="AB46" s="260">
        <v>4.5439683427707281E-2</v>
      </c>
      <c r="AC46" s="260">
        <v>0.9526572020659887</v>
      </c>
      <c r="AD46" s="260" t="s">
        <v>237</v>
      </c>
      <c r="AE46" s="260" t="s">
        <v>237</v>
      </c>
      <c r="AF46" s="260" t="s">
        <v>237</v>
      </c>
      <c r="AG46" s="260">
        <v>0.89489900962426305</v>
      </c>
      <c r="AH46" s="261" t="s">
        <v>237</v>
      </c>
    </row>
    <row r="47" spans="2:34">
      <c r="B47" s="87" t="s">
        <v>315</v>
      </c>
      <c r="C47" s="133">
        <v>0.46113630234805147</v>
      </c>
      <c r="D47" s="262">
        <v>0.23058317277702939</v>
      </c>
      <c r="E47" s="263" t="s">
        <v>237</v>
      </c>
      <c r="F47" s="263">
        <v>0</v>
      </c>
      <c r="G47" s="263" t="s">
        <v>237</v>
      </c>
      <c r="H47" s="263" t="s">
        <v>237</v>
      </c>
      <c r="I47" s="263">
        <v>0.98761335632104408</v>
      </c>
      <c r="J47" s="263" t="s">
        <v>237</v>
      </c>
      <c r="K47" s="263">
        <v>0.42437039679720162</v>
      </c>
      <c r="L47" s="263">
        <v>0.25418369110731609</v>
      </c>
      <c r="M47" s="263" t="s">
        <v>237</v>
      </c>
      <c r="N47" s="263" t="s">
        <v>237</v>
      </c>
      <c r="O47" s="263" t="s">
        <v>237</v>
      </c>
      <c r="P47" s="263" t="s">
        <v>237</v>
      </c>
      <c r="Q47" s="263">
        <v>0.61866348917281933</v>
      </c>
      <c r="R47" s="263" t="s">
        <v>237</v>
      </c>
      <c r="S47" s="263" t="s">
        <v>237</v>
      </c>
      <c r="T47" s="263">
        <v>0.89154372326878317</v>
      </c>
      <c r="U47" s="263" t="s">
        <v>237</v>
      </c>
      <c r="V47" s="263" t="s">
        <v>237</v>
      </c>
      <c r="W47" s="263" t="s">
        <v>237</v>
      </c>
      <c r="X47" s="263" t="s">
        <v>237</v>
      </c>
      <c r="Y47" s="263" t="s">
        <v>237</v>
      </c>
      <c r="Z47" s="263" t="s">
        <v>237</v>
      </c>
      <c r="AA47" s="263">
        <v>0.64060093850528355</v>
      </c>
      <c r="AB47" s="263" t="s">
        <v>237</v>
      </c>
      <c r="AC47" s="263" t="s">
        <v>237</v>
      </c>
      <c r="AD47" s="263">
        <v>0.2048449400105655</v>
      </c>
      <c r="AE47" s="263" t="s">
        <v>237</v>
      </c>
      <c r="AF47" s="263" t="s">
        <v>237</v>
      </c>
      <c r="AG47" s="263" t="s">
        <v>237</v>
      </c>
      <c r="AH47" s="264" t="s">
        <v>237</v>
      </c>
    </row>
    <row r="48" spans="2:34">
      <c r="B48" s="196" t="s">
        <v>318</v>
      </c>
      <c r="C48" s="197">
        <v>0.49611801898275859</v>
      </c>
      <c r="D48" s="259" t="s">
        <v>237</v>
      </c>
      <c r="E48" s="260" t="s">
        <v>237</v>
      </c>
      <c r="F48" s="260" t="s">
        <v>237</v>
      </c>
      <c r="G48" s="260" t="s">
        <v>237</v>
      </c>
      <c r="H48" s="260" t="s">
        <v>237</v>
      </c>
      <c r="I48" s="260" t="s">
        <v>237</v>
      </c>
      <c r="J48" s="260" t="s">
        <v>237</v>
      </c>
      <c r="K48" s="260">
        <v>0.35749481712946501</v>
      </c>
      <c r="L48" s="260" t="s">
        <v>237</v>
      </c>
      <c r="M48" s="260">
        <v>1</v>
      </c>
      <c r="N48" s="260">
        <v>0.90917279489016389</v>
      </c>
      <c r="O48" s="260" t="s">
        <v>237</v>
      </c>
      <c r="P48" s="260">
        <v>0.44727812788587118</v>
      </c>
      <c r="Q48" s="260" t="s">
        <v>237</v>
      </c>
      <c r="R48" s="260">
        <v>1</v>
      </c>
      <c r="S48" s="260">
        <v>0.55676183343254604</v>
      </c>
      <c r="T48" s="260">
        <v>0.50072201510180669</v>
      </c>
      <c r="U48" s="260" t="s">
        <v>237</v>
      </c>
      <c r="V48" s="260">
        <v>0.35367693276229889</v>
      </c>
      <c r="W48" s="260">
        <v>0.33333333333333331</v>
      </c>
      <c r="X48" s="260">
        <v>0.1291484339418596</v>
      </c>
      <c r="Y48" s="260">
        <v>0.23168815424154879</v>
      </c>
      <c r="Z48" s="260">
        <v>0.62024829868349074</v>
      </c>
      <c r="AA48" s="260">
        <v>0.45196653343812487</v>
      </c>
      <c r="AB48" s="260">
        <v>0.57628705000607505</v>
      </c>
      <c r="AC48" s="260">
        <v>0.85313715593785</v>
      </c>
      <c r="AD48" s="260">
        <v>0.47264863377223509</v>
      </c>
      <c r="AE48" s="260">
        <v>0.26684635474339752</v>
      </c>
      <c r="AF48" s="260" t="s">
        <v>237</v>
      </c>
      <c r="AG48" s="260">
        <v>0.46207454822193622</v>
      </c>
      <c r="AH48" s="261">
        <v>0.97585265200489812</v>
      </c>
    </row>
    <row r="49" spans="2:34">
      <c r="B49" s="87" t="s">
        <v>319</v>
      </c>
      <c r="C49" s="133">
        <v>0.81044550969061213</v>
      </c>
      <c r="D49" s="262" t="s">
        <v>237</v>
      </c>
      <c r="E49" s="263" t="s">
        <v>237</v>
      </c>
      <c r="F49" s="263" t="s">
        <v>237</v>
      </c>
      <c r="G49" s="263" t="s">
        <v>237</v>
      </c>
      <c r="H49" s="263" t="s">
        <v>237</v>
      </c>
      <c r="I49" s="263">
        <v>0.86056811658409571</v>
      </c>
      <c r="J49" s="263" t="s">
        <v>237</v>
      </c>
      <c r="K49" s="263">
        <v>0.9021538489288583</v>
      </c>
      <c r="L49" s="263">
        <v>1</v>
      </c>
      <c r="M49" s="263" t="s">
        <v>237</v>
      </c>
      <c r="N49" s="263" t="s">
        <v>237</v>
      </c>
      <c r="O49" s="263" t="s">
        <v>237</v>
      </c>
      <c r="P49" s="263" t="s">
        <v>237</v>
      </c>
      <c r="Q49" s="263" t="s">
        <v>237</v>
      </c>
      <c r="R49" s="263" t="s">
        <v>237</v>
      </c>
      <c r="S49" s="263" t="s">
        <v>237</v>
      </c>
      <c r="T49" s="263">
        <v>0.76635432641811352</v>
      </c>
      <c r="U49" s="263">
        <v>1</v>
      </c>
      <c r="V49" s="263">
        <v>0.88691224073794916</v>
      </c>
      <c r="W49" s="263" t="s">
        <v>237</v>
      </c>
      <c r="X49" s="263" t="s">
        <v>237</v>
      </c>
      <c r="Y49" s="263" t="s">
        <v>237</v>
      </c>
      <c r="Z49" s="263">
        <v>0.57502919748393932</v>
      </c>
      <c r="AA49" s="263" t="s">
        <v>237</v>
      </c>
      <c r="AB49" s="263" t="s">
        <v>237</v>
      </c>
      <c r="AC49" s="263" t="s">
        <v>237</v>
      </c>
      <c r="AD49" s="263" t="s">
        <v>237</v>
      </c>
      <c r="AE49" s="263" t="s">
        <v>237</v>
      </c>
      <c r="AF49" s="263" t="s">
        <v>237</v>
      </c>
      <c r="AG49" s="263" t="s">
        <v>237</v>
      </c>
      <c r="AH49" s="264" t="s">
        <v>237</v>
      </c>
    </row>
    <row r="50" spans="2:34">
      <c r="B50" s="196" t="s">
        <v>320</v>
      </c>
      <c r="C50" s="197">
        <v>0.60193756197673054</v>
      </c>
      <c r="D50" s="259" t="s">
        <v>237</v>
      </c>
      <c r="E50" s="260" t="s">
        <v>237</v>
      </c>
      <c r="F50" s="260" t="s">
        <v>237</v>
      </c>
      <c r="G50" s="260" t="s">
        <v>237</v>
      </c>
      <c r="H50" s="260" t="s">
        <v>237</v>
      </c>
      <c r="I50" s="260" t="s">
        <v>237</v>
      </c>
      <c r="J50" s="260" t="s">
        <v>237</v>
      </c>
      <c r="K50" s="260" t="s">
        <v>237</v>
      </c>
      <c r="L50" s="260" t="s">
        <v>237</v>
      </c>
      <c r="M50" s="260" t="s">
        <v>237</v>
      </c>
      <c r="N50" s="260" t="s">
        <v>237</v>
      </c>
      <c r="O50" s="260" t="s">
        <v>237</v>
      </c>
      <c r="P50" s="260" t="s">
        <v>237</v>
      </c>
      <c r="Q50" s="260" t="s">
        <v>237</v>
      </c>
      <c r="R50" s="260" t="s">
        <v>237</v>
      </c>
      <c r="S50" s="260" t="s">
        <v>237</v>
      </c>
      <c r="T50" s="260">
        <v>0.58316543673923127</v>
      </c>
      <c r="U50" s="260" t="s">
        <v>237</v>
      </c>
      <c r="V50" s="260">
        <v>0.36012108395810161</v>
      </c>
      <c r="W50" s="260">
        <v>0.55106289002169817</v>
      </c>
      <c r="X50" s="260">
        <v>0.43955900654064117</v>
      </c>
      <c r="Y50" s="260">
        <v>0.83624854662456538</v>
      </c>
      <c r="Z50" s="260" t="s">
        <v>237</v>
      </c>
      <c r="AA50" s="260">
        <v>0.97202097938310916</v>
      </c>
      <c r="AB50" s="260" t="s">
        <v>237</v>
      </c>
      <c r="AC50" s="260" t="s">
        <v>237</v>
      </c>
      <c r="AD50" s="260">
        <v>0.85852421600031503</v>
      </c>
      <c r="AE50" s="260" t="s">
        <v>237</v>
      </c>
      <c r="AF50" s="260" t="s">
        <v>237</v>
      </c>
      <c r="AG50" s="260" t="s">
        <v>237</v>
      </c>
      <c r="AH50" s="261" t="s">
        <v>237</v>
      </c>
    </row>
    <row r="51" spans="2:34">
      <c r="B51" s="87" t="s">
        <v>321</v>
      </c>
      <c r="C51" s="133">
        <v>0.76047253031159356</v>
      </c>
      <c r="D51" s="262" t="s">
        <v>237</v>
      </c>
      <c r="E51" s="263" t="s">
        <v>237</v>
      </c>
      <c r="F51" s="263">
        <v>0.82645705531952829</v>
      </c>
      <c r="G51" s="263">
        <v>1</v>
      </c>
      <c r="H51" s="263">
        <v>0.65510037610998861</v>
      </c>
      <c r="I51" s="263">
        <v>0.83874612004548899</v>
      </c>
      <c r="J51" s="263">
        <v>0.48906139015318612</v>
      </c>
      <c r="K51" s="263" t="s">
        <v>237</v>
      </c>
      <c r="L51" s="263" t="s">
        <v>237</v>
      </c>
      <c r="M51" s="263" t="s">
        <v>237</v>
      </c>
      <c r="N51" s="263" t="s">
        <v>237</v>
      </c>
      <c r="O51" s="263" t="s">
        <v>237</v>
      </c>
      <c r="P51" s="263" t="s">
        <v>237</v>
      </c>
      <c r="Q51" s="263">
        <v>1</v>
      </c>
      <c r="R51" s="263">
        <v>0.97843085498604898</v>
      </c>
      <c r="S51" s="263">
        <v>0.8189473649677379</v>
      </c>
      <c r="T51" s="263">
        <v>0.94106985132332532</v>
      </c>
      <c r="U51" s="263">
        <v>0.74488680660379658</v>
      </c>
      <c r="V51" s="263">
        <v>0.64068780844181683</v>
      </c>
      <c r="W51" s="263" t="s">
        <v>237</v>
      </c>
      <c r="X51" s="263">
        <v>0.4778567473088442</v>
      </c>
      <c r="Y51" s="263">
        <v>0.80837130783013067</v>
      </c>
      <c r="Z51" s="263">
        <v>0.87219816751880075</v>
      </c>
      <c r="AA51" s="263">
        <v>0.69602536159780826</v>
      </c>
      <c r="AB51" s="263" t="s">
        <v>237</v>
      </c>
      <c r="AC51" s="263" t="s">
        <v>237</v>
      </c>
      <c r="AD51" s="263" t="s">
        <v>237</v>
      </c>
      <c r="AE51" s="263">
        <v>1</v>
      </c>
      <c r="AF51" s="263" t="s">
        <v>237</v>
      </c>
      <c r="AG51" s="263" t="s">
        <v>237</v>
      </c>
      <c r="AH51" s="264" t="s">
        <v>237</v>
      </c>
    </row>
    <row r="52" spans="2:34">
      <c r="B52" s="196" t="s">
        <v>322</v>
      </c>
      <c r="C52" s="197">
        <v>0.76520082324752703</v>
      </c>
      <c r="D52" s="259" t="s">
        <v>237</v>
      </c>
      <c r="E52" s="260" t="s">
        <v>237</v>
      </c>
      <c r="F52" s="260" t="s">
        <v>237</v>
      </c>
      <c r="G52" s="260" t="s">
        <v>237</v>
      </c>
      <c r="H52" s="260" t="s">
        <v>237</v>
      </c>
      <c r="I52" s="260" t="s">
        <v>237</v>
      </c>
      <c r="J52" s="260" t="s">
        <v>237</v>
      </c>
      <c r="K52" s="260" t="s">
        <v>237</v>
      </c>
      <c r="L52" s="260" t="s">
        <v>237</v>
      </c>
      <c r="M52" s="260" t="s">
        <v>237</v>
      </c>
      <c r="N52" s="260" t="s">
        <v>237</v>
      </c>
      <c r="O52" s="260" t="s">
        <v>237</v>
      </c>
      <c r="P52" s="260" t="s">
        <v>237</v>
      </c>
      <c r="Q52" s="260" t="s">
        <v>237</v>
      </c>
      <c r="R52" s="260" t="s">
        <v>237</v>
      </c>
      <c r="S52" s="260" t="s">
        <v>237</v>
      </c>
      <c r="T52" s="260" t="s">
        <v>237</v>
      </c>
      <c r="U52" s="260" t="s">
        <v>237</v>
      </c>
      <c r="V52" s="260" t="s">
        <v>237</v>
      </c>
      <c r="W52" s="260" t="s">
        <v>237</v>
      </c>
      <c r="X52" s="260" t="s">
        <v>237</v>
      </c>
      <c r="Y52" s="260">
        <v>0.69866916201198337</v>
      </c>
      <c r="Z52" s="260">
        <v>0.83375744131073215</v>
      </c>
      <c r="AA52" s="260" t="s">
        <v>237</v>
      </c>
      <c r="AB52" s="260" t="s">
        <v>237</v>
      </c>
      <c r="AC52" s="260">
        <v>0.83122624527615563</v>
      </c>
      <c r="AD52" s="260" t="s">
        <v>237</v>
      </c>
      <c r="AE52" s="260" t="s">
        <v>237</v>
      </c>
      <c r="AF52" s="260" t="s">
        <v>237</v>
      </c>
      <c r="AG52" s="260" t="s">
        <v>237</v>
      </c>
      <c r="AH52" s="261" t="s">
        <v>237</v>
      </c>
    </row>
    <row r="53" spans="2:34">
      <c r="B53" s="87" t="s">
        <v>325</v>
      </c>
      <c r="C53" s="133">
        <v>0.87746979676058667</v>
      </c>
      <c r="D53" s="262" t="s">
        <v>237</v>
      </c>
      <c r="E53" s="263" t="s">
        <v>237</v>
      </c>
      <c r="F53" s="263" t="s">
        <v>237</v>
      </c>
      <c r="G53" s="263" t="s">
        <v>237</v>
      </c>
      <c r="H53" s="263">
        <v>0.99620965041651877</v>
      </c>
      <c r="I53" s="263" t="s">
        <v>237</v>
      </c>
      <c r="J53" s="263">
        <v>0.79062896335437061</v>
      </c>
      <c r="K53" s="263" t="s">
        <v>237</v>
      </c>
      <c r="L53" s="263">
        <v>0.69432587909709986</v>
      </c>
      <c r="M53" s="263" t="s">
        <v>237</v>
      </c>
      <c r="N53" s="263">
        <v>0.53821623079476055</v>
      </c>
      <c r="O53" s="263" t="s">
        <v>237</v>
      </c>
      <c r="P53" s="263">
        <v>0.94575905598062837</v>
      </c>
      <c r="Q53" s="263">
        <v>0.99896410431400184</v>
      </c>
      <c r="R53" s="263">
        <v>0.84508437323903252</v>
      </c>
      <c r="S53" s="263">
        <v>0.76552504486551931</v>
      </c>
      <c r="T53" s="263" t="s">
        <v>237</v>
      </c>
      <c r="U53" s="263">
        <v>0.97610958665115699</v>
      </c>
      <c r="V53" s="263" t="s">
        <v>237</v>
      </c>
      <c r="W53" s="263" t="s">
        <v>237</v>
      </c>
      <c r="X53" s="263" t="s">
        <v>237</v>
      </c>
      <c r="Y53" s="263">
        <v>0.51161814194222488</v>
      </c>
      <c r="Z53" s="263" t="s">
        <v>237</v>
      </c>
      <c r="AA53" s="263">
        <v>0.98594495213476097</v>
      </c>
      <c r="AB53" s="263">
        <v>0.31609847877293079</v>
      </c>
      <c r="AC53" s="263">
        <v>1</v>
      </c>
      <c r="AD53" s="263">
        <v>0.87482264204934879</v>
      </c>
      <c r="AE53" s="263">
        <v>0.96917362707320287</v>
      </c>
      <c r="AF53" s="263">
        <v>0.90126680992916386</v>
      </c>
      <c r="AG53" s="263">
        <v>0.99340059698405714</v>
      </c>
      <c r="AH53" s="264">
        <v>0.98298053482260772</v>
      </c>
    </row>
    <row r="54" spans="2:34">
      <c r="B54" s="196" t="s">
        <v>328</v>
      </c>
      <c r="C54" s="197">
        <v>0.76465096534012911</v>
      </c>
      <c r="D54" s="259" t="s">
        <v>237</v>
      </c>
      <c r="E54" s="260">
        <v>0.41878584423248633</v>
      </c>
      <c r="F54" s="260" t="s">
        <v>237</v>
      </c>
      <c r="G54" s="260">
        <v>0.67747861737368731</v>
      </c>
      <c r="H54" s="260">
        <v>0.8832925149831854</v>
      </c>
      <c r="I54" s="260" t="s">
        <v>237</v>
      </c>
      <c r="J54" s="260">
        <v>0.57888785108629959</v>
      </c>
      <c r="K54" s="260" t="s">
        <v>237</v>
      </c>
      <c r="L54" s="260" t="s">
        <v>237</v>
      </c>
      <c r="M54" s="260">
        <v>0.99687654645359569</v>
      </c>
      <c r="N54" s="260" t="s">
        <v>237</v>
      </c>
      <c r="O54" s="260" t="s">
        <v>237</v>
      </c>
      <c r="P54" s="260" t="s">
        <v>237</v>
      </c>
      <c r="Q54" s="260" t="s">
        <v>237</v>
      </c>
      <c r="R54" s="260" t="s">
        <v>237</v>
      </c>
      <c r="S54" s="260" t="s">
        <v>237</v>
      </c>
      <c r="T54" s="260" t="s">
        <v>237</v>
      </c>
      <c r="U54" s="260" t="s">
        <v>237</v>
      </c>
      <c r="V54" s="260" t="s">
        <v>237</v>
      </c>
      <c r="W54" s="260" t="s">
        <v>237</v>
      </c>
      <c r="X54" s="260" t="s">
        <v>237</v>
      </c>
      <c r="Y54" s="260" t="s">
        <v>237</v>
      </c>
      <c r="Z54" s="260" t="s">
        <v>237</v>
      </c>
      <c r="AA54" s="260" t="s">
        <v>237</v>
      </c>
      <c r="AB54" s="260">
        <v>0.93382660340783541</v>
      </c>
      <c r="AC54" s="260">
        <v>0.89906114277797355</v>
      </c>
      <c r="AD54" s="260" t="s">
        <v>237</v>
      </c>
      <c r="AE54" s="260" t="s">
        <v>237</v>
      </c>
      <c r="AF54" s="260" t="s">
        <v>237</v>
      </c>
      <c r="AG54" s="260" t="s">
        <v>237</v>
      </c>
      <c r="AH54" s="261" t="s">
        <v>237</v>
      </c>
    </row>
    <row r="55" spans="2:34" ht="15" thickBot="1"/>
    <row r="56" spans="2:34" ht="43.8" thickBot="1">
      <c r="B56" s="127" t="str">
        <f t="shared" ref="B56:D56" si="0">B4</f>
        <v>ISO country code</v>
      </c>
      <c r="C56" s="314" t="str">
        <f t="shared" si="0"/>
        <v>Average default rate</v>
      </c>
      <c r="D56" s="421">
        <f t="shared" si="0"/>
        <v>1994</v>
      </c>
      <c r="E56" s="422">
        <f t="shared" ref="E56:AH56" si="1">E4</f>
        <v>1995</v>
      </c>
      <c r="F56" s="422">
        <f t="shared" si="1"/>
        <v>1996</v>
      </c>
      <c r="G56" s="422">
        <f t="shared" si="1"/>
        <v>1997</v>
      </c>
      <c r="H56" s="422">
        <f t="shared" si="1"/>
        <v>1998</v>
      </c>
      <c r="I56" s="422">
        <f t="shared" si="1"/>
        <v>1999</v>
      </c>
      <c r="J56" s="422">
        <f t="shared" si="1"/>
        <v>2000</v>
      </c>
      <c r="K56" s="422">
        <f t="shared" si="1"/>
        <v>2001</v>
      </c>
      <c r="L56" s="422">
        <f t="shared" si="1"/>
        <v>2002</v>
      </c>
      <c r="M56" s="422">
        <f t="shared" si="1"/>
        <v>2003</v>
      </c>
      <c r="N56" s="422">
        <f t="shared" si="1"/>
        <v>2004</v>
      </c>
      <c r="O56" s="422">
        <f t="shared" si="1"/>
        <v>2005</v>
      </c>
      <c r="P56" s="422">
        <f t="shared" si="1"/>
        <v>2006</v>
      </c>
      <c r="Q56" s="422">
        <f t="shared" si="1"/>
        <v>2007</v>
      </c>
      <c r="R56" s="422">
        <f t="shared" si="1"/>
        <v>2008</v>
      </c>
      <c r="S56" s="422">
        <f t="shared" si="1"/>
        <v>2009</v>
      </c>
      <c r="T56" s="422">
        <f t="shared" si="1"/>
        <v>2010</v>
      </c>
      <c r="U56" s="422">
        <f t="shared" si="1"/>
        <v>2011</v>
      </c>
      <c r="V56" s="422">
        <f t="shared" si="1"/>
        <v>2012</v>
      </c>
      <c r="W56" s="422">
        <f t="shared" si="1"/>
        <v>2013</v>
      </c>
      <c r="X56" s="422">
        <f t="shared" si="1"/>
        <v>2014</v>
      </c>
      <c r="Y56" s="422">
        <f t="shared" si="1"/>
        <v>2015</v>
      </c>
      <c r="Z56" s="422">
        <f t="shared" si="1"/>
        <v>2016</v>
      </c>
      <c r="AA56" s="422">
        <f t="shared" si="1"/>
        <v>2017</v>
      </c>
      <c r="AB56" s="422">
        <f t="shared" si="1"/>
        <v>2018</v>
      </c>
      <c r="AC56" s="422">
        <f t="shared" si="1"/>
        <v>2019</v>
      </c>
      <c r="AD56" s="422">
        <f t="shared" si="1"/>
        <v>2020</v>
      </c>
      <c r="AE56" s="422">
        <f t="shared" si="1"/>
        <v>2021</v>
      </c>
      <c r="AF56" s="422">
        <f t="shared" si="1"/>
        <v>2022</v>
      </c>
      <c r="AG56" s="422">
        <f t="shared" si="1"/>
        <v>2023</v>
      </c>
      <c r="AH56" s="423">
        <f t="shared" si="1"/>
        <v>2024</v>
      </c>
    </row>
    <row r="57" spans="2:34">
      <c r="B57" s="87" t="s">
        <v>329</v>
      </c>
      <c r="C57" s="133">
        <v>0.55781799407312938</v>
      </c>
      <c r="D57" s="262" t="s">
        <v>237</v>
      </c>
      <c r="E57" s="263" t="s">
        <v>237</v>
      </c>
      <c r="F57" s="263" t="s">
        <v>237</v>
      </c>
      <c r="G57" s="263" t="s">
        <v>237</v>
      </c>
      <c r="H57" s="263" t="s">
        <v>237</v>
      </c>
      <c r="I57" s="263" t="s">
        <v>237</v>
      </c>
      <c r="J57" s="263" t="s">
        <v>237</v>
      </c>
      <c r="K57" s="263" t="s">
        <v>237</v>
      </c>
      <c r="L57" s="263" t="s">
        <v>237</v>
      </c>
      <c r="M57" s="263" t="s">
        <v>237</v>
      </c>
      <c r="N57" s="263" t="s">
        <v>237</v>
      </c>
      <c r="O57" s="263" t="s">
        <v>237</v>
      </c>
      <c r="P57" s="263">
        <v>0.4929440257569514</v>
      </c>
      <c r="Q57" s="263">
        <v>0.16454797194252471</v>
      </c>
      <c r="R57" s="263" t="s">
        <v>237</v>
      </c>
      <c r="S57" s="263">
        <v>3.7810234268521807E-2</v>
      </c>
      <c r="T57" s="263">
        <v>0.84475884595755935</v>
      </c>
      <c r="U57" s="263">
        <v>0.26392726459284832</v>
      </c>
      <c r="V57" s="263">
        <v>2.4504228166619652E-2</v>
      </c>
      <c r="W57" s="263" t="s">
        <v>237</v>
      </c>
      <c r="X57" s="263">
        <v>5.392289216932146E-2</v>
      </c>
      <c r="Y57" s="263">
        <v>0.63211714991472312</v>
      </c>
      <c r="Z57" s="263">
        <v>0.83266835158991392</v>
      </c>
      <c r="AA57" s="263">
        <v>0.98693054116658396</v>
      </c>
      <c r="AB57" s="263" t="s">
        <v>237</v>
      </c>
      <c r="AC57" s="263" t="s">
        <v>237</v>
      </c>
      <c r="AD57" s="263" t="s">
        <v>237</v>
      </c>
      <c r="AE57" s="263" t="s">
        <v>237</v>
      </c>
      <c r="AF57" s="263" t="s">
        <v>237</v>
      </c>
      <c r="AG57" s="263" t="s">
        <v>237</v>
      </c>
      <c r="AH57" s="264" t="s">
        <v>237</v>
      </c>
    </row>
    <row r="58" spans="2:34">
      <c r="B58" s="196" t="s">
        <v>330</v>
      </c>
      <c r="C58" s="197">
        <v>0.87258173476452261</v>
      </c>
      <c r="D58" s="259" t="s">
        <v>237</v>
      </c>
      <c r="E58" s="260" t="s">
        <v>237</v>
      </c>
      <c r="F58" s="260" t="s">
        <v>237</v>
      </c>
      <c r="G58" s="260" t="s">
        <v>237</v>
      </c>
      <c r="H58" s="260" t="s">
        <v>237</v>
      </c>
      <c r="I58" s="260" t="s">
        <v>237</v>
      </c>
      <c r="J58" s="260" t="s">
        <v>237</v>
      </c>
      <c r="K58" s="260" t="s">
        <v>237</v>
      </c>
      <c r="L58" s="260" t="s">
        <v>237</v>
      </c>
      <c r="M58" s="260" t="s">
        <v>237</v>
      </c>
      <c r="N58" s="260" t="s">
        <v>237</v>
      </c>
      <c r="O58" s="260" t="s">
        <v>237</v>
      </c>
      <c r="P58" s="260" t="s">
        <v>237</v>
      </c>
      <c r="Q58" s="260" t="s">
        <v>237</v>
      </c>
      <c r="R58" s="260" t="s">
        <v>237</v>
      </c>
      <c r="S58" s="260" t="s">
        <v>237</v>
      </c>
      <c r="T58" s="260" t="s">
        <v>237</v>
      </c>
      <c r="U58" s="260" t="s">
        <v>237</v>
      </c>
      <c r="V58" s="260">
        <v>0.88640679940066713</v>
      </c>
      <c r="W58" s="260" t="s">
        <v>237</v>
      </c>
      <c r="X58" s="260">
        <v>0.2350413672996747</v>
      </c>
      <c r="Y58" s="260">
        <v>1</v>
      </c>
      <c r="Z58" s="260" t="s">
        <v>237</v>
      </c>
      <c r="AA58" s="260" t="s">
        <v>237</v>
      </c>
      <c r="AB58" s="260" t="s">
        <v>237</v>
      </c>
      <c r="AC58" s="260">
        <v>0.89471815114741171</v>
      </c>
      <c r="AD58" s="260">
        <v>0.58872224409773355</v>
      </c>
      <c r="AE58" s="260">
        <v>0.91350146928550968</v>
      </c>
      <c r="AF58" s="260">
        <v>0.91847613721609489</v>
      </c>
      <c r="AG58" s="260" t="s">
        <v>237</v>
      </c>
      <c r="AH58" s="261" t="s">
        <v>237</v>
      </c>
    </row>
    <row r="59" spans="2:34">
      <c r="B59" s="87" t="s">
        <v>332</v>
      </c>
      <c r="C59" s="133">
        <v>0.70599274482833707</v>
      </c>
      <c r="D59" s="262">
        <v>0.81235380019705727</v>
      </c>
      <c r="E59" s="263">
        <v>1</v>
      </c>
      <c r="F59" s="263" t="s">
        <v>237</v>
      </c>
      <c r="G59" s="263">
        <v>1</v>
      </c>
      <c r="H59" s="263" t="s">
        <v>237</v>
      </c>
      <c r="I59" s="263">
        <v>0.95540655300128119</v>
      </c>
      <c r="J59" s="263" t="s">
        <v>237</v>
      </c>
      <c r="K59" s="263">
        <v>0.50079609471078446</v>
      </c>
      <c r="L59" s="263" t="s">
        <v>237</v>
      </c>
      <c r="M59" s="263">
        <v>0.96628591758592752</v>
      </c>
      <c r="N59" s="263" t="s">
        <v>237</v>
      </c>
      <c r="O59" s="263">
        <v>0.86844557703862391</v>
      </c>
      <c r="P59" s="263" t="s">
        <v>237</v>
      </c>
      <c r="Q59" s="263" t="s">
        <v>237</v>
      </c>
      <c r="R59" s="263">
        <v>0.34747926332669898</v>
      </c>
      <c r="S59" s="263">
        <v>0.75842339881969911</v>
      </c>
      <c r="T59" s="263">
        <v>1</v>
      </c>
      <c r="U59" s="263" t="s">
        <v>237</v>
      </c>
      <c r="V59" s="263">
        <v>0.93672298387775521</v>
      </c>
      <c r="W59" s="263" t="s">
        <v>237</v>
      </c>
      <c r="X59" s="263">
        <v>0.96638478131698224</v>
      </c>
      <c r="Y59" s="263">
        <v>0.31205746572974918</v>
      </c>
      <c r="Z59" s="263">
        <v>0.58369798242397875</v>
      </c>
      <c r="AA59" s="263">
        <v>0.94219744093049973</v>
      </c>
      <c r="AB59" s="263">
        <v>0.71117879765123193</v>
      </c>
      <c r="AC59" s="263">
        <v>0.2960857495358859</v>
      </c>
      <c r="AD59" s="263">
        <v>0.70702132288823072</v>
      </c>
      <c r="AE59" s="263" t="s">
        <v>237</v>
      </c>
      <c r="AF59" s="263" t="s">
        <v>237</v>
      </c>
      <c r="AG59" s="263">
        <v>0.91169383306276619</v>
      </c>
      <c r="AH59" s="264" t="s">
        <v>237</v>
      </c>
    </row>
    <row r="60" spans="2:34">
      <c r="B60" s="196" t="s">
        <v>333</v>
      </c>
      <c r="C60" s="197">
        <v>0.85324771845029013</v>
      </c>
      <c r="D60" s="259">
        <v>0.9598154270082484</v>
      </c>
      <c r="E60" s="260" t="s">
        <v>237</v>
      </c>
      <c r="F60" s="260" t="s">
        <v>237</v>
      </c>
      <c r="G60" s="260" t="s">
        <v>237</v>
      </c>
      <c r="H60" s="260" t="s">
        <v>237</v>
      </c>
      <c r="I60" s="260" t="s">
        <v>237</v>
      </c>
      <c r="J60" s="260" t="s">
        <v>237</v>
      </c>
      <c r="K60" s="260" t="s">
        <v>237</v>
      </c>
      <c r="L60" s="260" t="s">
        <v>237</v>
      </c>
      <c r="M60" s="260" t="s">
        <v>237</v>
      </c>
      <c r="N60" s="260" t="s">
        <v>237</v>
      </c>
      <c r="O60" s="260" t="s">
        <v>237</v>
      </c>
      <c r="P60" s="260">
        <v>0.6892335687598159</v>
      </c>
      <c r="Q60" s="260" t="s">
        <v>237</v>
      </c>
      <c r="R60" s="260" t="s">
        <v>237</v>
      </c>
      <c r="S60" s="260" t="s">
        <v>237</v>
      </c>
      <c r="T60" s="260">
        <v>1</v>
      </c>
      <c r="U60" s="260" t="s">
        <v>237</v>
      </c>
      <c r="V60" s="260">
        <v>0.95354306957140811</v>
      </c>
      <c r="W60" s="260" t="s">
        <v>237</v>
      </c>
      <c r="X60" s="260" t="s">
        <v>237</v>
      </c>
      <c r="Y60" s="260" t="s">
        <v>237</v>
      </c>
      <c r="Z60" s="260" t="s">
        <v>237</v>
      </c>
      <c r="AA60" s="260" t="s">
        <v>237</v>
      </c>
      <c r="AB60" s="260" t="s">
        <v>237</v>
      </c>
      <c r="AC60" s="260" t="s">
        <v>237</v>
      </c>
      <c r="AD60" s="260" t="s">
        <v>237</v>
      </c>
      <c r="AE60" s="260" t="s">
        <v>237</v>
      </c>
      <c r="AF60" s="260" t="s">
        <v>237</v>
      </c>
      <c r="AG60" s="260" t="s">
        <v>237</v>
      </c>
      <c r="AH60" s="261" t="s">
        <v>237</v>
      </c>
    </row>
    <row r="61" spans="2:34">
      <c r="B61" s="87" t="s">
        <v>334</v>
      </c>
      <c r="C61" s="133">
        <v>0.72321810534752495</v>
      </c>
      <c r="D61" s="262" t="s">
        <v>237</v>
      </c>
      <c r="E61" s="263">
        <v>0.84335113100099923</v>
      </c>
      <c r="F61" s="263" t="s">
        <v>237</v>
      </c>
      <c r="G61" s="263">
        <v>0.81981922118802997</v>
      </c>
      <c r="H61" s="263">
        <v>0.98499020522333547</v>
      </c>
      <c r="I61" s="263" t="s">
        <v>237</v>
      </c>
      <c r="J61" s="263">
        <v>1</v>
      </c>
      <c r="K61" s="263" t="s">
        <v>237</v>
      </c>
      <c r="L61" s="263">
        <v>0.52843132596587605</v>
      </c>
      <c r="M61" s="263">
        <v>1</v>
      </c>
      <c r="N61" s="263">
        <v>1</v>
      </c>
      <c r="O61" s="263" t="s">
        <v>237</v>
      </c>
      <c r="P61" s="263" t="s">
        <v>237</v>
      </c>
      <c r="Q61" s="263" t="s">
        <v>237</v>
      </c>
      <c r="R61" s="263" t="s">
        <v>237</v>
      </c>
      <c r="S61" s="263" t="s">
        <v>237</v>
      </c>
      <c r="T61" s="263" t="s">
        <v>237</v>
      </c>
      <c r="U61" s="263" t="s">
        <v>237</v>
      </c>
      <c r="V61" s="263" t="s">
        <v>237</v>
      </c>
      <c r="W61" s="263" t="s">
        <v>237</v>
      </c>
      <c r="X61" s="263">
        <v>0.95184313110292307</v>
      </c>
      <c r="Y61" s="263" t="s">
        <v>237</v>
      </c>
      <c r="Z61" s="263">
        <v>0.44860384193155339</v>
      </c>
      <c r="AA61" s="263" t="s">
        <v>237</v>
      </c>
      <c r="AB61" s="263">
        <v>0.26685870737478479</v>
      </c>
      <c r="AC61" s="263">
        <v>0.79385494546214064</v>
      </c>
      <c r="AD61" s="263">
        <v>0.49124349740516782</v>
      </c>
      <c r="AE61" s="263" t="s">
        <v>237</v>
      </c>
      <c r="AF61" s="263" t="s">
        <v>237</v>
      </c>
      <c r="AG61" s="263" t="s">
        <v>237</v>
      </c>
      <c r="AH61" s="264" t="s">
        <v>237</v>
      </c>
    </row>
    <row r="62" spans="2:34">
      <c r="B62" s="196" t="s">
        <v>335</v>
      </c>
      <c r="C62" s="197">
        <v>0.68378753439861484</v>
      </c>
      <c r="D62" s="259" t="s">
        <v>237</v>
      </c>
      <c r="E62" s="260" t="s">
        <v>237</v>
      </c>
      <c r="F62" s="260">
        <v>0.21740219399669761</v>
      </c>
      <c r="G62" s="260" t="s">
        <v>237</v>
      </c>
      <c r="H62" s="260" t="s">
        <v>237</v>
      </c>
      <c r="I62" s="260" t="s">
        <v>237</v>
      </c>
      <c r="J62" s="260" t="s">
        <v>237</v>
      </c>
      <c r="K62" s="260" t="s">
        <v>237</v>
      </c>
      <c r="L62" s="260" t="s">
        <v>237</v>
      </c>
      <c r="M62" s="260" t="s">
        <v>237</v>
      </c>
      <c r="N62" s="260" t="s">
        <v>237</v>
      </c>
      <c r="O62" s="260" t="s">
        <v>237</v>
      </c>
      <c r="P62" s="260" t="s">
        <v>237</v>
      </c>
      <c r="Q62" s="260" t="s">
        <v>237</v>
      </c>
      <c r="R62" s="260">
        <v>0.45311643277117741</v>
      </c>
      <c r="S62" s="260">
        <v>0.81442244634660677</v>
      </c>
      <c r="T62" s="260">
        <v>0.57274918628700366</v>
      </c>
      <c r="U62" s="260">
        <v>0.48462029316943372</v>
      </c>
      <c r="V62" s="260" t="s">
        <v>237</v>
      </c>
      <c r="W62" s="260">
        <v>0.30055428891287639</v>
      </c>
      <c r="X62" s="260">
        <v>0.57606245654009658</v>
      </c>
      <c r="Y62" s="260">
        <v>0.73210789283484223</v>
      </c>
      <c r="Z62" s="260">
        <v>0.71714310138937742</v>
      </c>
      <c r="AA62" s="260" t="s">
        <v>237</v>
      </c>
      <c r="AB62" s="260">
        <v>0.1225500738173611</v>
      </c>
      <c r="AC62" s="260">
        <v>0.72826957419063898</v>
      </c>
      <c r="AD62" s="260">
        <v>0.88738251579593619</v>
      </c>
      <c r="AE62" s="260" t="s">
        <v>237</v>
      </c>
      <c r="AF62" s="260">
        <v>0.76951008123619724</v>
      </c>
      <c r="AG62" s="260" t="s">
        <v>237</v>
      </c>
      <c r="AH62" s="261" t="s">
        <v>237</v>
      </c>
    </row>
    <row r="63" spans="2:34">
      <c r="B63" s="87" t="s">
        <v>336</v>
      </c>
      <c r="C63" s="133">
        <v>0.85180535498606802</v>
      </c>
      <c r="D63" s="262" t="s">
        <v>237</v>
      </c>
      <c r="E63" s="263" t="s">
        <v>237</v>
      </c>
      <c r="F63" s="263" t="s">
        <v>237</v>
      </c>
      <c r="G63" s="263" t="s">
        <v>237</v>
      </c>
      <c r="H63" s="263" t="s">
        <v>237</v>
      </c>
      <c r="I63" s="263">
        <v>1</v>
      </c>
      <c r="J63" s="263">
        <v>1</v>
      </c>
      <c r="K63" s="263" t="s">
        <v>237</v>
      </c>
      <c r="L63" s="263" t="s">
        <v>237</v>
      </c>
      <c r="M63" s="263" t="s">
        <v>237</v>
      </c>
      <c r="N63" s="263" t="s">
        <v>237</v>
      </c>
      <c r="O63" s="263" t="s">
        <v>237</v>
      </c>
      <c r="P63" s="263">
        <v>0.49977080629604548</v>
      </c>
      <c r="Q63" s="263" t="s">
        <v>237</v>
      </c>
      <c r="R63" s="263">
        <v>1</v>
      </c>
      <c r="S63" s="263" t="s">
        <v>237</v>
      </c>
      <c r="T63" s="263">
        <v>0.98663751790682552</v>
      </c>
      <c r="U63" s="263" t="s">
        <v>237</v>
      </c>
      <c r="V63" s="263">
        <v>0.73488891108235821</v>
      </c>
      <c r="W63" s="263" t="s">
        <v>237</v>
      </c>
      <c r="X63" s="263" t="s">
        <v>237</v>
      </c>
      <c r="Y63" s="263" t="s">
        <v>237</v>
      </c>
      <c r="Z63" s="263" t="s">
        <v>237</v>
      </c>
      <c r="AA63" s="263">
        <v>0.99704058900273962</v>
      </c>
      <c r="AB63" s="263" t="s">
        <v>237</v>
      </c>
      <c r="AC63" s="263">
        <v>0.79390014478941406</v>
      </c>
      <c r="AD63" s="263">
        <v>0.3061009039042486</v>
      </c>
      <c r="AE63" s="263">
        <v>0.99565441322347326</v>
      </c>
      <c r="AF63" s="263" t="s">
        <v>237</v>
      </c>
      <c r="AG63" s="263" t="s">
        <v>237</v>
      </c>
      <c r="AH63" s="264" t="s">
        <v>237</v>
      </c>
    </row>
    <row r="64" spans="2:34">
      <c r="B64" s="196" t="s">
        <v>338</v>
      </c>
      <c r="C64" s="197">
        <v>0.76968487561386711</v>
      </c>
      <c r="D64" s="259" t="s">
        <v>237</v>
      </c>
      <c r="E64" s="260" t="s">
        <v>237</v>
      </c>
      <c r="F64" s="260" t="s">
        <v>237</v>
      </c>
      <c r="G64" s="260" t="s">
        <v>237</v>
      </c>
      <c r="H64" s="260" t="s">
        <v>237</v>
      </c>
      <c r="I64" s="260">
        <v>0.99552728737335494</v>
      </c>
      <c r="J64" s="260" t="s">
        <v>237</v>
      </c>
      <c r="K64" s="260" t="s">
        <v>237</v>
      </c>
      <c r="L64" s="260" t="s">
        <v>237</v>
      </c>
      <c r="M64" s="260" t="s">
        <v>237</v>
      </c>
      <c r="N64" s="260" t="s">
        <v>237</v>
      </c>
      <c r="O64" s="260" t="s">
        <v>237</v>
      </c>
      <c r="P64" s="260">
        <v>0.59657617761818116</v>
      </c>
      <c r="Q64" s="260">
        <v>0.84996558801640987</v>
      </c>
      <c r="R64" s="260">
        <v>0.74548555107714276</v>
      </c>
      <c r="S64" s="260">
        <v>0.15107227063806389</v>
      </c>
      <c r="T64" s="260">
        <v>0.80049428525215793</v>
      </c>
      <c r="U64" s="260" t="s">
        <v>237</v>
      </c>
      <c r="V64" s="260" t="s">
        <v>237</v>
      </c>
      <c r="W64" s="260">
        <v>1</v>
      </c>
      <c r="X64" s="260" t="s">
        <v>237</v>
      </c>
      <c r="Y64" s="260" t="s">
        <v>237</v>
      </c>
      <c r="Z64" s="260" t="s">
        <v>237</v>
      </c>
      <c r="AA64" s="260" t="s">
        <v>237</v>
      </c>
      <c r="AB64" s="260" t="s">
        <v>237</v>
      </c>
      <c r="AC64" s="260" t="s">
        <v>237</v>
      </c>
      <c r="AD64" s="260" t="s">
        <v>237</v>
      </c>
      <c r="AE64" s="260" t="s">
        <v>237</v>
      </c>
      <c r="AF64" s="260" t="s">
        <v>237</v>
      </c>
      <c r="AG64" s="260" t="s">
        <v>237</v>
      </c>
      <c r="AH64" s="261" t="s">
        <v>237</v>
      </c>
    </row>
    <row r="65" spans="2:34">
      <c r="B65" s="87" t="s">
        <v>340</v>
      </c>
      <c r="C65" s="133">
        <v>0.81165621243664432</v>
      </c>
      <c r="D65" s="262" t="s">
        <v>237</v>
      </c>
      <c r="E65" s="263" t="s">
        <v>237</v>
      </c>
      <c r="F65" s="263" t="s">
        <v>237</v>
      </c>
      <c r="G65" s="263" t="s">
        <v>237</v>
      </c>
      <c r="H65" s="263">
        <v>1</v>
      </c>
      <c r="I65" s="263" t="s">
        <v>237</v>
      </c>
      <c r="J65" s="263">
        <v>0.85582750118643791</v>
      </c>
      <c r="K65" s="263">
        <v>0.96667215581371591</v>
      </c>
      <c r="L65" s="263" t="s">
        <v>237</v>
      </c>
      <c r="M65" s="263">
        <v>0.51150186008044007</v>
      </c>
      <c r="N65" s="263" t="s">
        <v>237</v>
      </c>
      <c r="O65" s="263" t="s">
        <v>237</v>
      </c>
      <c r="P65" s="263" t="s">
        <v>237</v>
      </c>
      <c r="Q65" s="263">
        <v>1</v>
      </c>
      <c r="R65" s="263">
        <v>0.79050271221355284</v>
      </c>
      <c r="S65" s="263" t="s">
        <v>237</v>
      </c>
      <c r="T65" s="263" t="s">
        <v>237</v>
      </c>
      <c r="U65" s="263">
        <v>0.91179113259219413</v>
      </c>
      <c r="V65" s="263" t="s">
        <v>237</v>
      </c>
      <c r="W65" s="263">
        <v>0.97901193464881131</v>
      </c>
      <c r="X65" s="263">
        <v>0.23446718406268119</v>
      </c>
      <c r="Y65" s="263" t="s">
        <v>237</v>
      </c>
      <c r="Z65" s="263" t="s">
        <v>237</v>
      </c>
      <c r="AA65" s="263" t="s">
        <v>237</v>
      </c>
      <c r="AB65" s="263" t="s">
        <v>237</v>
      </c>
      <c r="AC65" s="263" t="s">
        <v>237</v>
      </c>
      <c r="AD65" s="263" t="s">
        <v>237</v>
      </c>
      <c r="AE65" s="263" t="s">
        <v>237</v>
      </c>
      <c r="AF65" s="263" t="s">
        <v>237</v>
      </c>
      <c r="AG65" s="263" t="s">
        <v>237</v>
      </c>
      <c r="AH65" s="264" t="s">
        <v>237</v>
      </c>
    </row>
    <row r="66" spans="2:34">
      <c r="B66" s="196" t="s">
        <v>342</v>
      </c>
      <c r="C66" s="197">
        <v>0.7308342886270045</v>
      </c>
      <c r="D66" s="259" t="s">
        <v>237</v>
      </c>
      <c r="E66" s="260" t="s">
        <v>237</v>
      </c>
      <c r="F66" s="260" t="s">
        <v>237</v>
      </c>
      <c r="G66" s="260" t="s">
        <v>237</v>
      </c>
      <c r="H66" s="260" t="s">
        <v>237</v>
      </c>
      <c r="I66" s="260" t="s">
        <v>237</v>
      </c>
      <c r="J66" s="260" t="s">
        <v>237</v>
      </c>
      <c r="K66" s="260" t="s">
        <v>237</v>
      </c>
      <c r="L66" s="260">
        <v>0.72458837833928502</v>
      </c>
      <c r="M66" s="260" t="s">
        <v>237</v>
      </c>
      <c r="N66" s="260" t="s">
        <v>237</v>
      </c>
      <c r="O66" s="260">
        <v>0.90200933887850032</v>
      </c>
      <c r="P66" s="260">
        <v>0.99185164032592699</v>
      </c>
      <c r="Q66" s="260">
        <v>0.98800445814640658</v>
      </c>
      <c r="R66" s="260" t="s">
        <v>237</v>
      </c>
      <c r="S66" s="260" t="s">
        <v>237</v>
      </c>
      <c r="T66" s="260">
        <v>0.8288550950757454</v>
      </c>
      <c r="U66" s="260" t="s">
        <v>237</v>
      </c>
      <c r="V66" s="260">
        <v>0.85510842725149006</v>
      </c>
      <c r="W66" s="260" t="s">
        <v>237</v>
      </c>
      <c r="X66" s="260">
        <v>0.59503844746221712</v>
      </c>
      <c r="Y66" s="260">
        <v>1</v>
      </c>
      <c r="Z66" s="260">
        <v>0.16905416310066601</v>
      </c>
      <c r="AA66" s="260" t="s">
        <v>237</v>
      </c>
      <c r="AB66" s="260" t="s">
        <v>237</v>
      </c>
      <c r="AC66" s="260" t="s">
        <v>237</v>
      </c>
      <c r="AD66" s="260" t="s">
        <v>237</v>
      </c>
      <c r="AE66" s="260">
        <v>0.89289233015579084</v>
      </c>
      <c r="AF66" s="260" t="s">
        <v>237</v>
      </c>
      <c r="AG66" s="260">
        <v>0</v>
      </c>
      <c r="AH66" s="261" t="s">
        <v>237</v>
      </c>
    </row>
    <row r="67" spans="2:34">
      <c r="B67" s="87" t="s">
        <v>343</v>
      </c>
      <c r="C67" s="133">
        <v>0.69159055361437916</v>
      </c>
      <c r="D67" s="262" t="s">
        <v>237</v>
      </c>
      <c r="E67" s="263">
        <v>0.108390474141896</v>
      </c>
      <c r="F67" s="263">
        <v>0.6703579729167769</v>
      </c>
      <c r="G67" s="263" t="s">
        <v>237</v>
      </c>
      <c r="H67" s="263" t="s">
        <v>237</v>
      </c>
      <c r="I67" s="263">
        <v>0.16403838769078929</v>
      </c>
      <c r="J67" s="263" t="s">
        <v>237</v>
      </c>
      <c r="K67" s="263">
        <v>0.53271009855183427</v>
      </c>
      <c r="L67" s="263" t="s">
        <v>237</v>
      </c>
      <c r="M67" s="263">
        <v>1</v>
      </c>
      <c r="N67" s="263">
        <v>0.35486871873983711</v>
      </c>
      <c r="O67" s="263">
        <v>0.89755990637169869</v>
      </c>
      <c r="P67" s="263" t="s">
        <v>237</v>
      </c>
      <c r="Q67" s="263" t="s">
        <v>237</v>
      </c>
      <c r="R67" s="263" t="s">
        <v>237</v>
      </c>
      <c r="S67" s="263">
        <v>0.9683620101842495</v>
      </c>
      <c r="T67" s="263" t="s">
        <v>237</v>
      </c>
      <c r="U67" s="263" t="s">
        <v>237</v>
      </c>
      <c r="V67" s="263" t="s">
        <v>237</v>
      </c>
      <c r="W67" s="263" t="s">
        <v>237</v>
      </c>
      <c r="X67" s="263" t="s">
        <v>237</v>
      </c>
      <c r="Y67" s="263">
        <v>0</v>
      </c>
      <c r="Z67" s="263">
        <v>0.71050089277366679</v>
      </c>
      <c r="AA67" s="263" t="s">
        <v>237</v>
      </c>
      <c r="AB67" s="263" t="s">
        <v>237</v>
      </c>
      <c r="AC67" s="263" t="s">
        <v>237</v>
      </c>
      <c r="AD67" s="263">
        <v>0.98049235728286532</v>
      </c>
      <c r="AE67" s="263">
        <v>0.9920593697194825</v>
      </c>
      <c r="AF67" s="263" t="s">
        <v>237</v>
      </c>
      <c r="AG67" s="263">
        <v>0.99498340527926099</v>
      </c>
      <c r="AH67" s="264" t="s">
        <v>237</v>
      </c>
    </row>
    <row r="68" spans="2:34" ht="15" thickBot="1">
      <c r="B68" s="309" t="s">
        <v>344</v>
      </c>
      <c r="C68" s="310">
        <v>0.36571772461381491</v>
      </c>
      <c r="D68" s="311">
        <v>0.99099028432333147</v>
      </c>
      <c r="E68" s="312">
        <v>0.3595082901014402</v>
      </c>
      <c r="F68" s="312" t="s">
        <v>237</v>
      </c>
      <c r="G68" s="312">
        <v>0</v>
      </c>
      <c r="H68" s="312" t="s">
        <v>237</v>
      </c>
      <c r="I68" s="312">
        <v>0.35804382935265311</v>
      </c>
      <c r="J68" s="312" t="s">
        <v>237</v>
      </c>
      <c r="K68" s="312" t="s">
        <v>237</v>
      </c>
      <c r="L68" s="312" t="s">
        <v>237</v>
      </c>
      <c r="M68" s="312" t="s">
        <v>237</v>
      </c>
      <c r="N68" s="312" t="s">
        <v>237</v>
      </c>
      <c r="O68" s="312">
        <v>0.5</v>
      </c>
      <c r="P68" s="312" t="s">
        <v>237</v>
      </c>
      <c r="Q68" s="312" t="s">
        <v>237</v>
      </c>
      <c r="R68" s="312" t="s">
        <v>237</v>
      </c>
      <c r="S68" s="312">
        <v>3.8655890671705162E-2</v>
      </c>
      <c r="T68" s="312" t="s">
        <v>237</v>
      </c>
      <c r="U68" s="312" t="s">
        <v>237</v>
      </c>
      <c r="V68" s="312">
        <v>0</v>
      </c>
      <c r="W68" s="312" t="s">
        <v>237</v>
      </c>
      <c r="X68" s="312" t="s">
        <v>237</v>
      </c>
      <c r="Y68" s="312">
        <v>0.69016313278659347</v>
      </c>
      <c r="Z68" s="312">
        <v>0.13777876532964931</v>
      </c>
      <c r="AA68" s="312">
        <v>0.44775477818659171</v>
      </c>
      <c r="AB68" s="312" t="s">
        <v>237</v>
      </c>
      <c r="AC68" s="312" t="s">
        <v>237</v>
      </c>
      <c r="AD68" s="312" t="s">
        <v>237</v>
      </c>
      <c r="AE68" s="312" t="s">
        <v>237</v>
      </c>
      <c r="AF68" s="312" t="s">
        <v>237</v>
      </c>
      <c r="AG68" s="312" t="s">
        <v>237</v>
      </c>
      <c r="AH68" s="313" t="s">
        <v>237</v>
      </c>
    </row>
    <row r="69" spans="2:34" hidden="1" outlineLevel="1">
      <c r="B69" s="143">
        <v>0</v>
      </c>
      <c r="C69" s="144">
        <v>0</v>
      </c>
      <c r="D69" s="285" t="s">
        <v>237</v>
      </c>
      <c r="E69" s="286" t="s">
        <v>237</v>
      </c>
      <c r="F69" s="286" t="s">
        <v>237</v>
      </c>
      <c r="G69" s="286" t="s">
        <v>237</v>
      </c>
      <c r="H69" s="286" t="s">
        <v>237</v>
      </c>
      <c r="I69" s="286" t="s">
        <v>237</v>
      </c>
      <c r="J69" s="286" t="s">
        <v>237</v>
      </c>
      <c r="K69" s="286" t="s">
        <v>237</v>
      </c>
      <c r="L69" s="286" t="s">
        <v>237</v>
      </c>
      <c r="M69" s="286" t="s">
        <v>237</v>
      </c>
      <c r="N69" s="286" t="s">
        <v>237</v>
      </c>
      <c r="O69" s="286" t="s">
        <v>237</v>
      </c>
      <c r="P69" s="286" t="s">
        <v>237</v>
      </c>
      <c r="Q69" s="286" t="s">
        <v>237</v>
      </c>
      <c r="R69" s="286" t="s">
        <v>237</v>
      </c>
      <c r="S69" s="286" t="s">
        <v>237</v>
      </c>
      <c r="T69" s="286" t="s">
        <v>237</v>
      </c>
      <c r="U69" s="286" t="s">
        <v>237</v>
      </c>
      <c r="V69" s="286" t="s">
        <v>237</v>
      </c>
      <c r="W69" s="286" t="s">
        <v>237</v>
      </c>
      <c r="X69" s="286" t="s">
        <v>237</v>
      </c>
      <c r="Y69" s="286" t="s">
        <v>237</v>
      </c>
      <c r="Z69" s="286" t="s">
        <v>237</v>
      </c>
      <c r="AA69" s="286" t="s">
        <v>237</v>
      </c>
      <c r="AB69" s="286" t="s">
        <v>237</v>
      </c>
      <c r="AC69" s="286" t="s">
        <v>237</v>
      </c>
      <c r="AD69" s="286" t="s">
        <v>237</v>
      </c>
      <c r="AE69" s="286" t="s">
        <v>237</v>
      </c>
      <c r="AF69" s="286" t="s">
        <v>237</v>
      </c>
      <c r="AG69" s="286" t="s">
        <v>237</v>
      </c>
      <c r="AH69" s="333" t="s">
        <v>237</v>
      </c>
    </row>
    <row r="70" spans="2:34" hidden="1" outlineLevel="1">
      <c r="B70" s="196">
        <v>0</v>
      </c>
      <c r="C70" s="197">
        <v>0</v>
      </c>
      <c r="D70" s="259" t="s">
        <v>237</v>
      </c>
      <c r="E70" s="260" t="s">
        <v>237</v>
      </c>
      <c r="F70" s="260" t="s">
        <v>237</v>
      </c>
      <c r="G70" s="260" t="s">
        <v>237</v>
      </c>
      <c r="H70" s="260" t="s">
        <v>237</v>
      </c>
      <c r="I70" s="260" t="s">
        <v>237</v>
      </c>
      <c r="J70" s="260" t="s">
        <v>237</v>
      </c>
      <c r="K70" s="260" t="s">
        <v>237</v>
      </c>
      <c r="L70" s="260" t="s">
        <v>237</v>
      </c>
      <c r="M70" s="260" t="s">
        <v>237</v>
      </c>
      <c r="N70" s="260" t="s">
        <v>237</v>
      </c>
      <c r="O70" s="260" t="s">
        <v>237</v>
      </c>
      <c r="P70" s="260" t="s">
        <v>237</v>
      </c>
      <c r="Q70" s="260" t="s">
        <v>237</v>
      </c>
      <c r="R70" s="260" t="s">
        <v>237</v>
      </c>
      <c r="S70" s="260" t="s">
        <v>237</v>
      </c>
      <c r="T70" s="260" t="s">
        <v>237</v>
      </c>
      <c r="U70" s="260" t="s">
        <v>237</v>
      </c>
      <c r="V70" s="260" t="s">
        <v>237</v>
      </c>
      <c r="W70" s="260" t="s">
        <v>237</v>
      </c>
      <c r="X70" s="260" t="s">
        <v>237</v>
      </c>
      <c r="Y70" s="260" t="s">
        <v>237</v>
      </c>
      <c r="Z70" s="260" t="s">
        <v>237</v>
      </c>
      <c r="AA70" s="260" t="s">
        <v>237</v>
      </c>
      <c r="AB70" s="260" t="s">
        <v>237</v>
      </c>
      <c r="AC70" s="260" t="s">
        <v>237</v>
      </c>
      <c r="AD70" s="260" t="s">
        <v>237</v>
      </c>
      <c r="AE70" s="260" t="s">
        <v>237</v>
      </c>
      <c r="AF70" s="260" t="s">
        <v>237</v>
      </c>
      <c r="AG70" s="260" t="s">
        <v>237</v>
      </c>
      <c r="AH70" s="261" t="s">
        <v>237</v>
      </c>
    </row>
    <row r="71" spans="2:34" hidden="1" outlineLevel="1">
      <c r="B71" s="87">
        <v>0</v>
      </c>
      <c r="C71" s="133">
        <v>0</v>
      </c>
      <c r="D71" s="262" t="s">
        <v>237</v>
      </c>
      <c r="E71" s="263" t="s">
        <v>237</v>
      </c>
      <c r="F71" s="263" t="s">
        <v>237</v>
      </c>
      <c r="G71" s="263" t="s">
        <v>237</v>
      </c>
      <c r="H71" s="263" t="s">
        <v>237</v>
      </c>
      <c r="I71" s="263" t="s">
        <v>237</v>
      </c>
      <c r="J71" s="263" t="s">
        <v>237</v>
      </c>
      <c r="K71" s="263" t="s">
        <v>237</v>
      </c>
      <c r="L71" s="263" t="s">
        <v>237</v>
      </c>
      <c r="M71" s="263" t="s">
        <v>237</v>
      </c>
      <c r="N71" s="263" t="s">
        <v>237</v>
      </c>
      <c r="O71" s="263" t="s">
        <v>237</v>
      </c>
      <c r="P71" s="263" t="s">
        <v>237</v>
      </c>
      <c r="Q71" s="263" t="s">
        <v>237</v>
      </c>
      <c r="R71" s="263" t="s">
        <v>237</v>
      </c>
      <c r="S71" s="263" t="s">
        <v>237</v>
      </c>
      <c r="T71" s="263" t="s">
        <v>237</v>
      </c>
      <c r="U71" s="263" t="s">
        <v>237</v>
      </c>
      <c r="V71" s="263" t="s">
        <v>237</v>
      </c>
      <c r="W71" s="263" t="s">
        <v>237</v>
      </c>
      <c r="X71" s="263" t="s">
        <v>237</v>
      </c>
      <c r="Y71" s="263" t="s">
        <v>237</v>
      </c>
      <c r="Z71" s="263" t="s">
        <v>237</v>
      </c>
      <c r="AA71" s="263" t="s">
        <v>237</v>
      </c>
      <c r="AB71" s="263" t="s">
        <v>237</v>
      </c>
      <c r="AC71" s="263" t="s">
        <v>237</v>
      </c>
      <c r="AD71" s="263" t="s">
        <v>237</v>
      </c>
      <c r="AE71" s="263" t="s">
        <v>237</v>
      </c>
      <c r="AF71" s="263" t="s">
        <v>237</v>
      </c>
      <c r="AG71" s="263" t="s">
        <v>237</v>
      </c>
      <c r="AH71" s="264" t="s">
        <v>237</v>
      </c>
    </row>
    <row r="72" spans="2:34" hidden="1" outlineLevel="1">
      <c r="B72" s="196">
        <v>0</v>
      </c>
      <c r="C72" s="197">
        <v>0</v>
      </c>
      <c r="D72" s="259" t="s">
        <v>237</v>
      </c>
      <c r="E72" s="260" t="s">
        <v>237</v>
      </c>
      <c r="F72" s="260" t="s">
        <v>237</v>
      </c>
      <c r="G72" s="260" t="s">
        <v>237</v>
      </c>
      <c r="H72" s="260" t="s">
        <v>237</v>
      </c>
      <c r="I72" s="260" t="s">
        <v>237</v>
      </c>
      <c r="J72" s="260" t="s">
        <v>237</v>
      </c>
      <c r="K72" s="260" t="s">
        <v>237</v>
      </c>
      <c r="L72" s="260" t="s">
        <v>237</v>
      </c>
      <c r="M72" s="260" t="s">
        <v>237</v>
      </c>
      <c r="N72" s="260" t="s">
        <v>237</v>
      </c>
      <c r="O72" s="260" t="s">
        <v>237</v>
      </c>
      <c r="P72" s="260" t="s">
        <v>237</v>
      </c>
      <c r="Q72" s="260" t="s">
        <v>237</v>
      </c>
      <c r="R72" s="260" t="s">
        <v>237</v>
      </c>
      <c r="S72" s="260" t="s">
        <v>237</v>
      </c>
      <c r="T72" s="260" t="s">
        <v>237</v>
      </c>
      <c r="U72" s="260" t="s">
        <v>237</v>
      </c>
      <c r="V72" s="260" t="s">
        <v>237</v>
      </c>
      <c r="W72" s="260" t="s">
        <v>237</v>
      </c>
      <c r="X72" s="260" t="s">
        <v>237</v>
      </c>
      <c r="Y72" s="260" t="s">
        <v>237</v>
      </c>
      <c r="Z72" s="260" t="s">
        <v>237</v>
      </c>
      <c r="AA72" s="260" t="s">
        <v>237</v>
      </c>
      <c r="AB72" s="260" t="s">
        <v>237</v>
      </c>
      <c r="AC72" s="260" t="s">
        <v>237</v>
      </c>
      <c r="AD72" s="260" t="s">
        <v>237</v>
      </c>
      <c r="AE72" s="260" t="s">
        <v>237</v>
      </c>
      <c r="AF72" s="260" t="s">
        <v>237</v>
      </c>
      <c r="AG72" s="260" t="s">
        <v>237</v>
      </c>
      <c r="AH72" s="261" t="s">
        <v>237</v>
      </c>
    </row>
    <row r="73" spans="2:34" hidden="1" outlineLevel="1">
      <c r="B73" s="87">
        <v>0</v>
      </c>
      <c r="C73" s="133">
        <v>0</v>
      </c>
      <c r="D73" s="262" t="s">
        <v>237</v>
      </c>
      <c r="E73" s="263" t="s">
        <v>237</v>
      </c>
      <c r="F73" s="263" t="s">
        <v>237</v>
      </c>
      <c r="G73" s="263" t="s">
        <v>237</v>
      </c>
      <c r="H73" s="263" t="s">
        <v>237</v>
      </c>
      <c r="I73" s="263" t="s">
        <v>237</v>
      </c>
      <c r="J73" s="263" t="s">
        <v>237</v>
      </c>
      <c r="K73" s="263" t="s">
        <v>237</v>
      </c>
      <c r="L73" s="263" t="s">
        <v>237</v>
      </c>
      <c r="M73" s="263" t="s">
        <v>237</v>
      </c>
      <c r="N73" s="263" t="s">
        <v>237</v>
      </c>
      <c r="O73" s="263" t="s">
        <v>237</v>
      </c>
      <c r="P73" s="263" t="s">
        <v>237</v>
      </c>
      <c r="Q73" s="263" t="s">
        <v>237</v>
      </c>
      <c r="R73" s="263" t="s">
        <v>237</v>
      </c>
      <c r="S73" s="263" t="s">
        <v>237</v>
      </c>
      <c r="T73" s="263" t="s">
        <v>237</v>
      </c>
      <c r="U73" s="263" t="s">
        <v>237</v>
      </c>
      <c r="V73" s="263" t="s">
        <v>237</v>
      </c>
      <c r="W73" s="263" t="s">
        <v>237</v>
      </c>
      <c r="X73" s="263" t="s">
        <v>237</v>
      </c>
      <c r="Y73" s="263" t="s">
        <v>237</v>
      </c>
      <c r="Z73" s="263" t="s">
        <v>237</v>
      </c>
      <c r="AA73" s="263" t="s">
        <v>237</v>
      </c>
      <c r="AB73" s="263" t="s">
        <v>237</v>
      </c>
      <c r="AC73" s="263" t="s">
        <v>237</v>
      </c>
      <c r="AD73" s="263" t="s">
        <v>237</v>
      </c>
      <c r="AE73" s="263" t="s">
        <v>237</v>
      </c>
      <c r="AF73" s="263" t="s">
        <v>237</v>
      </c>
      <c r="AG73" s="263" t="s">
        <v>237</v>
      </c>
      <c r="AH73" s="264" t="s">
        <v>237</v>
      </c>
    </row>
    <row r="74" spans="2:34" hidden="1" outlineLevel="1">
      <c r="B74" s="196">
        <v>0</v>
      </c>
      <c r="C74" s="197">
        <v>0</v>
      </c>
      <c r="D74" s="259" t="s">
        <v>237</v>
      </c>
      <c r="E74" s="260" t="s">
        <v>237</v>
      </c>
      <c r="F74" s="260" t="s">
        <v>237</v>
      </c>
      <c r="G74" s="260" t="s">
        <v>237</v>
      </c>
      <c r="H74" s="260" t="s">
        <v>237</v>
      </c>
      <c r="I74" s="260" t="s">
        <v>237</v>
      </c>
      <c r="J74" s="260" t="s">
        <v>237</v>
      </c>
      <c r="K74" s="260" t="s">
        <v>237</v>
      </c>
      <c r="L74" s="260" t="s">
        <v>237</v>
      </c>
      <c r="M74" s="260" t="s">
        <v>237</v>
      </c>
      <c r="N74" s="260" t="s">
        <v>237</v>
      </c>
      <c r="O74" s="260" t="s">
        <v>237</v>
      </c>
      <c r="P74" s="260" t="s">
        <v>237</v>
      </c>
      <c r="Q74" s="260" t="s">
        <v>237</v>
      </c>
      <c r="R74" s="260" t="s">
        <v>237</v>
      </c>
      <c r="S74" s="260" t="s">
        <v>237</v>
      </c>
      <c r="T74" s="260" t="s">
        <v>237</v>
      </c>
      <c r="U74" s="260" t="s">
        <v>237</v>
      </c>
      <c r="V74" s="260" t="s">
        <v>237</v>
      </c>
      <c r="W74" s="260" t="s">
        <v>237</v>
      </c>
      <c r="X74" s="260" t="s">
        <v>237</v>
      </c>
      <c r="Y74" s="260" t="s">
        <v>237</v>
      </c>
      <c r="Z74" s="260" t="s">
        <v>237</v>
      </c>
      <c r="AA74" s="260" t="s">
        <v>237</v>
      </c>
      <c r="AB74" s="260" t="s">
        <v>237</v>
      </c>
      <c r="AC74" s="260" t="s">
        <v>237</v>
      </c>
      <c r="AD74" s="260" t="s">
        <v>237</v>
      </c>
      <c r="AE74" s="260" t="s">
        <v>237</v>
      </c>
      <c r="AF74" s="260" t="s">
        <v>237</v>
      </c>
      <c r="AG74" s="260" t="s">
        <v>237</v>
      </c>
      <c r="AH74" s="261" t="s">
        <v>237</v>
      </c>
    </row>
    <row r="75" spans="2:34" hidden="1" outlineLevel="1">
      <c r="B75" s="87">
        <v>0</v>
      </c>
      <c r="C75" s="133">
        <v>0</v>
      </c>
      <c r="D75" s="262" t="s">
        <v>237</v>
      </c>
      <c r="E75" s="263" t="s">
        <v>237</v>
      </c>
      <c r="F75" s="263" t="s">
        <v>237</v>
      </c>
      <c r="G75" s="263" t="s">
        <v>237</v>
      </c>
      <c r="H75" s="263" t="s">
        <v>237</v>
      </c>
      <c r="I75" s="263" t="s">
        <v>237</v>
      </c>
      <c r="J75" s="263" t="s">
        <v>237</v>
      </c>
      <c r="K75" s="263" t="s">
        <v>237</v>
      </c>
      <c r="L75" s="263" t="s">
        <v>237</v>
      </c>
      <c r="M75" s="263" t="s">
        <v>237</v>
      </c>
      <c r="N75" s="263" t="s">
        <v>237</v>
      </c>
      <c r="O75" s="263" t="s">
        <v>237</v>
      </c>
      <c r="P75" s="263" t="s">
        <v>237</v>
      </c>
      <c r="Q75" s="263" t="s">
        <v>237</v>
      </c>
      <c r="R75" s="263" t="s">
        <v>237</v>
      </c>
      <c r="S75" s="263" t="s">
        <v>237</v>
      </c>
      <c r="T75" s="263" t="s">
        <v>237</v>
      </c>
      <c r="U75" s="263" t="s">
        <v>237</v>
      </c>
      <c r="V75" s="263" t="s">
        <v>237</v>
      </c>
      <c r="W75" s="263" t="s">
        <v>237</v>
      </c>
      <c r="X75" s="263" t="s">
        <v>237</v>
      </c>
      <c r="Y75" s="263" t="s">
        <v>237</v>
      </c>
      <c r="Z75" s="263" t="s">
        <v>237</v>
      </c>
      <c r="AA75" s="263" t="s">
        <v>237</v>
      </c>
      <c r="AB75" s="263" t="s">
        <v>237</v>
      </c>
      <c r="AC75" s="263" t="s">
        <v>237</v>
      </c>
      <c r="AD75" s="263" t="s">
        <v>237</v>
      </c>
      <c r="AE75" s="263" t="s">
        <v>237</v>
      </c>
      <c r="AF75" s="263" t="s">
        <v>237</v>
      </c>
      <c r="AG75" s="263" t="s">
        <v>237</v>
      </c>
      <c r="AH75" s="264" t="s">
        <v>237</v>
      </c>
    </row>
    <row r="76" spans="2:34" hidden="1" outlineLevel="1">
      <c r="B76" s="196">
        <v>0</v>
      </c>
      <c r="C76" s="197">
        <v>0</v>
      </c>
      <c r="D76" s="259" t="s">
        <v>237</v>
      </c>
      <c r="E76" s="260" t="s">
        <v>237</v>
      </c>
      <c r="F76" s="260" t="s">
        <v>237</v>
      </c>
      <c r="G76" s="260" t="s">
        <v>237</v>
      </c>
      <c r="H76" s="260" t="s">
        <v>237</v>
      </c>
      <c r="I76" s="260" t="s">
        <v>237</v>
      </c>
      <c r="J76" s="260" t="s">
        <v>237</v>
      </c>
      <c r="K76" s="260" t="s">
        <v>237</v>
      </c>
      <c r="L76" s="260" t="s">
        <v>237</v>
      </c>
      <c r="M76" s="260" t="s">
        <v>237</v>
      </c>
      <c r="N76" s="260" t="s">
        <v>237</v>
      </c>
      <c r="O76" s="260" t="s">
        <v>237</v>
      </c>
      <c r="P76" s="260" t="s">
        <v>237</v>
      </c>
      <c r="Q76" s="260" t="s">
        <v>237</v>
      </c>
      <c r="R76" s="260" t="s">
        <v>237</v>
      </c>
      <c r="S76" s="260" t="s">
        <v>237</v>
      </c>
      <c r="T76" s="260" t="s">
        <v>237</v>
      </c>
      <c r="U76" s="260" t="s">
        <v>237</v>
      </c>
      <c r="V76" s="260" t="s">
        <v>237</v>
      </c>
      <c r="W76" s="260" t="s">
        <v>237</v>
      </c>
      <c r="X76" s="260" t="s">
        <v>237</v>
      </c>
      <c r="Y76" s="260" t="s">
        <v>237</v>
      </c>
      <c r="Z76" s="260" t="s">
        <v>237</v>
      </c>
      <c r="AA76" s="260" t="s">
        <v>237</v>
      </c>
      <c r="AB76" s="260" t="s">
        <v>237</v>
      </c>
      <c r="AC76" s="260" t="s">
        <v>237</v>
      </c>
      <c r="AD76" s="260" t="s">
        <v>237</v>
      </c>
      <c r="AE76" s="260" t="s">
        <v>237</v>
      </c>
      <c r="AF76" s="260" t="s">
        <v>237</v>
      </c>
      <c r="AG76" s="260" t="s">
        <v>237</v>
      </c>
      <c r="AH76" s="261" t="s">
        <v>237</v>
      </c>
    </row>
    <row r="77" spans="2:34" hidden="1" outlineLevel="1">
      <c r="B77" s="87">
        <v>0</v>
      </c>
      <c r="C77" s="133">
        <v>0</v>
      </c>
      <c r="D77" s="262" t="s">
        <v>237</v>
      </c>
      <c r="E77" s="263" t="s">
        <v>237</v>
      </c>
      <c r="F77" s="263" t="s">
        <v>237</v>
      </c>
      <c r="G77" s="263" t="s">
        <v>237</v>
      </c>
      <c r="H77" s="263" t="s">
        <v>237</v>
      </c>
      <c r="I77" s="263" t="s">
        <v>237</v>
      </c>
      <c r="J77" s="263" t="s">
        <v>237</v>
      </c>
      <c r="K77" s="263" t="s">
        <v>237</v>
      </c>
      <c r="L77" s="263" t="s">
        <v>237</v>
      </c>
      <c r="M77" s="263" t="s">
        <v>237</v>
      </c>
      <c r="N77" s="263" t="s">
        <v>237</v>
      </c>
      <c r="O77" s="263" t="s">
        <v>237</v>
      </c>
      <c r="P77" s="263" t="s">
        <v>237</v>
      </c>
      <c r="Q77" s="263" t="s">
        <v>237</v>
      </c>
      <c r="R77" s="263" t="s">
        <v>237</v>
      </c>
      <c r="S77" s="263" t="s">
        <v>237</v>
      </c>
      <c r="T77" s="263" t="s">
        <v>237</v>
      </c>
      <c r="U77" s="263" t="s">
        <v>237</v>
      </c>
      <c r="V77" s="263" t="s">
        <v>237</v>
      </c>
      <c r="W77" s="263" t="s">
        <v>237</v>
      </c>
      <c r="X77" s="263" t="s">
        <v>237</v>
      </c>
      <c r="Y77" s="263" t="s">
        <v>237</v>
      </c>
      <c r="Z77" s="263" t="s">
        <v>237</v>
      </c>
      <c r="AA77" s="263" t="s">
        <v>237</v>
      </c>
      <c r="AB77" s="263" t="s">
        <v>237</v>
      </c>
      <c r="AC77" s="263" t="s">
        <v>237</v>
      </c>
      <c r="AD77" s="263" t="s">
        <v>237</v>
      </c>
      <c r="AE77" s="263" t="s">
        <v>237</v>
      </c>
      <c r="AF77" s="263" t="s">
        <v>237</v>
      </c>
      <c r="AG77" s="263" t="s">
        <v>237</v>
      </c>
      <c r="AH77" s="264" t="s">
        <v>237</v>
      </c>
    </row>
    <row r="78" spans="2:34" hidden="1" outlineLevel="1">
      <c r="B78" s="196">
        <v>0</v>
      </c>
      <c r="C78" s="197">
        <v>0</v>
      </c>
      <c r="D78" s="259" t="s">
        <v>237</v>
      </c>
      <c r="E78" s="260" t="s">
        <v>237</v>
      </c>
      <c r="F78" s="260" t="s">
        <v>237</v>
      </c>
      <c r="G78" s="260" t="s">
        <v>237</v>
      </c>
      <c r="H78" s="260" t="s">
        <v>237</v>
      </c>
      <c r="I78" s="260" t="s">
        <v>237</v>
      </c>
      <c r="J78" s="260" t="s">
        <v>237</v>
      </c>
      <c r="K78" s="260" t="s">
        <v>237</v>
      </c>
      <c r="L78" s="260" t="s">
        <v>237</v>
      </c>
      <c r="M78" s="260" t="s">
        <v>237</v>
      </c>
      <c r="N78" s="260" t="s">
        <v>237</v>
      </c>
      <c r="O78" s="260" t="s">
        <v>237</v>
      </c>
      <c r="P78" s="260" t="s">
        <v>237</v>
      </c>
      <c r="Q78" s="260" t="s">
        <v>237</v>
      </c>
      <c r="R78" s="260" t="s">
        <v>237</v>
      </c>
      <c r="S78" s="260" t="s">
        <v>237</v>
      </c>
      <c r="T78" s="260" t="s">
        <v>237</v>
      </c>
      <c r="U78" s="260" t="s">
        <v>237</v>
      </c>
      <c r="V78" s="260" t="s">
        <v>237</v>
      </c>
      <c r="W78" s="260" t="s">
        <v>237</v>
      </c>
      <c r="X78" s="260" t="s">
        <v>237</v>
      </c>
      <c r="Y78" s="260" t="s">
        <v>237</v>
      </c>
      <c r="Z78" s="260" t="s">
        <v>237</v>
      </c>
      <c r="AA78" s="260" t="s">
        <v>237</v>
      </c>
      <c r="AB78" s="260" t="s">
        <v>237</v>
      </c>
      <c r="AC78" s="260" t="s">
        <v>237</v>
      </c>
      <c r="AD78" s="260" t="s">
        <v>237</v>
      </c>
      <c r="AE78" s="260" t="s">
        <v>237</v>
      </c>
      <c r="AF78" s="260" t="s">
        <v>237</v>
      </c>
      <c r="AG78" s="260" t="s">
        <v>237</v>
      </c>
      <c r="AH78" s="261" t="s">
        <v>237</v>
      </c>
    </row>
    <row r="79" spans="2:34" hidden="1" outlineLevel="1">
      <c r="B79" s="87">
        <v>0</v>
      </c>
      <c r="C79" s="133">
        <v>0</v>
      </c>
      <c r="D79" s="262" t="s">
        <v>237</v>
      </c>
      <c r="E79" s="263" t="s">
        <v>237</v>
      </c>
      <c r="F79" s="263" t="s">
        <v>237</v>
      </c>
      <c r="G79" s="263" t="s">
        <v>237</v>
      </c>
      <c r="H79" s="263" t="s">
        <v>237</v>
      </c>
      <c r="I79" s="263" t="s">
        <v>237</v>
      </c>
      <c r="J79" s="263" t="s">
        <v>237</v>
      </c>
      <c r="K79" s="263" t="s">
        <v>237</v>
      </c>
      <c r="L79" s="263" t="s">
        <v>237</v>
      </c>
      <c r="M79" s="263" t="s">
        <v>237</v>
      </c>
      <c r="N79" s="263" t="s">
        <v>237</v>
      </c>
      <c r="O79" s="263" t="s">
        <v>237</v>
      </c>
      <c r="P79" s="263" t="s">
        <v>237</v>
      </c>
      <c r="Q79" s="263" t="s">
        <v>237</v>
      </c>
      <c r="R79" s="263" t="s">
        <v>237</v>
      </c>
      <c r="S79" s="263" t="s">
        <v>237</v>
      </c>
      <c r="T79" s="263" t="s">
        <v>237</v>
      </c>
      <c r="U79" s="263" t="s">
        <v>237</v>
      </c>
      <c r="V79" s="263" t="s">
        <v>237</v>
      </c>
      <c r="W79" s="263" t="s">
        <v>237</v>
      </c>
      <c r="X79" s="263" t="s">
        <v>237</v>
      </c>
      <c r="Y79" s="263" t="s">
        <v>237</v>
      </c>
      <c r="Z79" s="263" t="s">
        <v>237</v>
      </c>
      <c r="AA79" s="263" t="s">
        <v>237</v>
      </c>
      <c r="AB79" s="263" t="s">
        <v>237</v>
      </c>
      <c r="AC79" s="263" t="s">
        <v>237</v>
      </c>
      <c r="AD79" s="263" t="s">
        <v>237</v>
      </c>
      <c r="AE79" s="263" t="s">
        <v>237</v>
      </c>
      <c r="AF79" s="263" t="s">
        <v>237</v>
      </c>
      <c r="AG79" s="263" t="s">
        <v>237</v>
      </c>
      <c r="AH79" s="264" t="s">
        <v>237</v>
      </c>
    </row>
    <row r="80" spans="2:34" hidden="1" outlineLevel="1">
      <c r="B80" s="196">
        <v>0</v>
      </c>
      <c r="C80" s="197">
        <v>0</v>
      </c>
      <c r="D80" s="259" t="s">
        <v>237</v>
      </c>
      <c r="E80" s="260" t="s">
        <v>237</v>
      </c>
      <c r="F80" s="260" t="s">
        <v>237</v>
      </c>
      <c r="G80" s="260" t="s">
        <v>237</v>
      </c>
      <c r="H80" s="260" t="s">
        <v>237</v>
      </c>
      <c r="I80" s="260" t="s">
        <v>237</v>
      </c>
      <c r="J80" s="260" t="s">
        <v>237</v>
      </c>
      <c r="K80" s="260" t="s">
        <v>237</v>
      </c>
      <c r="L80" s="260" t="s">
        <v>237</v>
      </c>
      <c r="M80" s="260" t="s">
        <v>237</v>
      </c>
      <c r="N80" s="260" t="s">
        <v>237</v>
      </c>
      <c r="O80" s="260" t="s">
        <v>237</v>
      </c>
      <c r="P80" s="260" t="s">
        <v>237</v>
      </c>
      <c r="Q80" s="260" t="s">
        <v>237</v>
      </c>
      <c r="R80" s="260" t="s">
        <v>237</v>
      </c>
      <c r="S80" s="260" t="s">
        <v>237</v>
      </c>
      <c r="T80" s="260" t="s">
        <v>237</v>
      </c>
      <c r="U80" s="260" t="s">
        <v>237</v>
      </c>
      <c r="V80" s="260" t="s">
        <v>237</v>
      </c>
      <c r="W80" s="260" t="s">
        <v>237</v>
      </c>
      <c r="X80" s="260" t="s">
        <v>237</v>
      </c>
      <c r="Y80" s="260" t="s">
        <v>237</v>
      </c>
      <c r="Z80" s="260" t="s">
        <v>237</v>
      </c>
      <c r="AA80" s="260" t="s">
        <v>237</v>
      </c>
      <c r="AB80" s="260" t="s">
        <v>237</v>
      </c>
      <c r="AC80" s="260" t="s">
        <v>237</v>
      </c>
      <c r="AD80" s="260" t="s">
        <v>237</v>
      </c>
      <c r="AE80" s="260" t="s">
        <v>237</v>
      </c>
      <c r="AF80" s="260" t="s">
        <v>237</v>
      </c>
      <c r="AG80" s="260" t="s">
        <v>237</v>
      </c>
      <c r="AH80" s="261" t="s">
        <v>237</v>
      </c>
    </row>
    <row r="81" spans="2:34" hidden="1" outlineLevel="1">
      <c r="B81" s="87">
        <v>0</v>
      </c>
      <c r="C81" s="133">
        <v>0</v>
      </c>
      <c r="D81" s="262" t="s">
        <v>237</v>
      </c>
      <c r="E81" s="263" t="s">
        <v>237</v>
      </c>
      <c r="F81" s="263" t="s">
        <v>237</v>
      </c>
      <c r="G81" s="263" t="s">
        <v>237</v>
      </c>
      <c r="H81" s="263" t="s">
        <v>237</v>
      </c>
      <c r="I81" s="263" t="s">
        <v>237</v>
      </c>
      <c r="J81" s="263" t="s">
        <v>237</v>
      </c>
      <c r="K81" s="263" t="s">
        <v>237</v>
      </c>
      <c r="L81" s="263" t="s">
        <v>237</v>
      </c>
      <c r="M81" s="263" t="s">
        <v>237</v>
      </c>
      <c r="N81" s="263" t="s">
        <v>237</v>
      </c>
      <c r="O81" s="263" t="s">
        <v>237</v>
      </c>
      <c r="P81" s="263" t="s">
        <v>237</v>
      </c>
      <c r="Q81" s="263" t="s">
        <v>237</v>
      </c>
      <c r="R81" s="263" t="s">
        <v>237</v>
      </c>
      <c r="S81" s="263" t="s">
        <v>237</v>
      </c>
      <c r="T81" s="263" t="s">
        <v>237</v>
      </c>
      <c r="U81" s="263" t="s">
        <v>237</v>
      </c>
      <c r="V81" s="263" t="s">
        <v>237</v>
      </c>
      <c r="W81" s="263" t="s">
        <v>237</v>
      </c>
      <c r="X81" s="263" t="s">
        <v>237</v>
      </c>
      <c r="Y81" s="263" t="s">
        <v>237</v>
      </c>
      <c r="Z81" s="263" t="s">
        <v>237</v>
      </c>
      <c r="AA81" s="263" t="s">
        <v>237</v>
      </c>
      <c r="AB81" s="263" t="s">
        <v>237</v>
      </c>
      <c r="AC81" s="263" t="s">
        <v>237</v>
      </c>
      <c r="AD81" s="263" t="s">
        <v>237</v>
      </c>
      <c r="AE81" s="263" t="s">
        <v>237</v>
      </c>
      <c r="AF81" s="263" t="s">
        <v>237</v>
      </c>
      <c r="AG81" s="263" t="s">
        <v>237</v>
      </c>
      <c r="AH81" s="264" t="s">
        <v>237</v>
      </c>
    </row>
    <row r="82" spans="2:34" hidden="1" outlineLevel="1">
      <c r="B82" s="196">
        <v>0</v>
      </c>
      <c r="C82" s="197">
        <v>0</v>
      </c>
      <c r="D82" s="259" t="s">
        <v>237</v>
      </c>
      <c r="E82" s="260" t="s">
        <v>237</v>
      </c>
      <c r="F82" s="260" t="s">
        <v>237</v>
      </c>
      <c r="G82" s="260" t="s">
        <v>237</v>
      </c>
      <c r="H82" s="260" t="s">
        <v>237</v>
      </c>
      <c r="I82" s="260" t="s">
        <v>237</v>
      </c>
      <c r="J82" s="260" t="s">
        <v>237</v>
      </c>
      <c r="K82" s="260" t="s">
        <v>237</v>
      </c>
      <c r="L82" s="260" t="s">
        <v>237</v>
      </c>
      <c r="M82" s="260" t="s">
        <v>237</v>
      </c>
      <c r="N82" s="260" t="s">
        <v>237</v>
      </c>
      <c r="O82" s="260" t="s">
        <v>237</v>
      </c>
      <c r="P82" s="260" t="s">
        <v>237</v>
      </c>
      <c r="Q82" s="260" t="s">
        <v>237</v>
      </c>
      <c r="R82" s="260" t="s">
        <v>237</v>
      </c>
      <c r="S82" s="260" t="s">
        <v>237</v>
      </c>
      <c r="T82" s="260" t="s">
        <v>237</v>
      </c>
      <c r="U82" s="260" t="s">
        <v>237</v>
      </c>
      <c r="V82" s="260" t="s">
        <v>237</v>
      </c>
      <c r="W82" s="260" t="s">
        <v>237</v>
      </c>
      <c r="X82" s="260" t="s">
        <v>237</v>
      </c>
      <c r="Y82" s="260" t="s">
        <v>237</v>
      </c>
      <c r="Z82" s="260" t="s">
        <v>237</v>
      </c>
      <c r="AA82" s="260" t="s">
        <v>237</v>
      </c>
      <c r="AB82" s="260" t="s">
        <v>237</v>
      </c>
      <c r="AC82" s="260" t="s">
        <v>237</v>
      </c>
      <c r="AD82" s="260" t="s">
        <v>237</v>
      </c>
      <c r="AE82" s="260" t="s">
        <v>237</v>
      </c>
      <c r="AF82" s="260" t="s">
        <v>237</v>
      </c>
      <c r="AG82" s="260" t="s">
        <v>237</v>
      </c>
      <c r="AH82" s="261" t="s">
        <v>237</v>
      </c>
    </row>
    <row r="83" spans="2:34" hidden="1" outlineLevel="1">
      <c r="B83" s="87">
        <v>0</v>
      </c>
      <c r="C83" s="133">
        <v>0</v>
      </c>
      <c r="D83" s="262" t="s">
        <v>237</v>
      </c>
      <c r="E83" s="263" t="s">
        <v>237</v>
      </c>
      <c r="F83" s="263" t="s">
        <v>237</v>
      </c>
      <c r="G83" s="263" t="s">
        <v>237</v>
      </c>
      <c r="H83" s="263" t="s">
        <v>237</v>
      </c>
      <c r="I83" s="263" t="s">
        <v>237</v>
      </c>
      <c r="J83" s="263" t="s">
        <v>237</v>
      </c>
      <c r="K83" s="263" t="s">
        <v>237</v>
      </c>
      <c r="L83" s="263" t="s">
        <v>237</v>
      </c>
      <c r="M83" s="263" t="s">
        <v>237</v>
      </c>
      <c r="N83" s="263" t="s">
        <v>237</v>
      </c>
      <c r="O83" s="263" t="s">
        <v>237</v>
      </c>
      <c r="P83" s="263" t="s">
        <v>237</v>
      </c>
      <c r="Q83" s="263" t="s">
        <v>237</v>
      </c>
      <c r="R83" s="263" t="s">
        <v>237</v>
      </c>
      <c r="S83" s="263" t="s">
        <v>237</v>
      </c>
      <c r="T83" s="263" t="s">
        <v>237</v>
      </c>
      <c r="U83" s="263" t="s">
        <v>237</v>
      </c>
      <c r="V83" s="263" t="s">
        <v>237</v>
      </c>
      <c r="W83" s="263" t="s">
        <v>237</v>
      </c>
      <c r="X83" s="263" t="s">
        <v>237</v>
      </c>
      <c r="Y83" s="263" t="s">
        <v>237</v>
      </c>
      <c r="Z83" s="263" t="s">
        <v>237</v>
      </c>
      <c r="AA83" s="263" t="s">
        <v>237</v>
      </c>
      <c r="AB83" s="263" t="s">
        <v>237</v>
      </c>
      <c r="AC83" s="263" t="s">
        <v>237</v>
      </c>
      <c r="AD83" s="263" t="s">
        <v>237</v>
      </c>
      <c r="AE83" s="263" t="s">
        <v>237</v>
      </c>
      <c r="AF83" s="263" t="s">
        <v>237</v>
      </c>
      <c r="AG83" s="263" t="s">
        <v>237</v>
      </c>
      <c r="AH83" s="264" t="s">
        <v>237</v>
      </c>
    </row>
    <row r="84" spans="2:34" hidden="1" outlineLevel="1">
      <c r="B84" s="196">
        <v>0</v>
      </c>
      <c r="C84" s="197">
        <v>0</v>
      </c>
      <c r="D84" s="259" t="s">
        <v>237</v>
      </c>
      <c r="E84" s="260" t="s">
        <v>237</v>
      </c>
      <c r="F84" s="260" t="s">
        <v>237</v>
      </c>
      <c r="G84" s="260" t="s">
        <v>237</v>
      </c>
      <c r="H84" s="260" t="s">
        <v>237</v>
      </c>
      <c r="I84" s="260" t="s">
        <v>237</v>
      </c>
      <c r="J84" s="260" t="s">
        <v>237</v>
      </c>
      <c r="K84" s="260" t="s">
        <v>237</v>
      </c>
      <c r="L84" s="260" t="s">
        <v>237</v>
      </c>
      <c r="M84" s="260" t="s">
        <v>237</v>
      </c>
      <c r="N84" s="260" t="s">
        <v>237</v>
      </c>
      <c r="O84" s="260" t="s">
        <v>237</v>
      </c>
      <c r="P84" s="260" t="s">
        <v>237</v>
      </c>
      <c r="Q84" s="260" t="s">
        <v>237</v>
      </c>
      <c r="R84" s="260" t="s">
        <v>237</v>
      </c>
      <c r="S84" s="260" t="s">
        <v>237</v>
      </c>
      <c r="T84" s="260" t="s">
        <v>237</v>
      </c>
      <c r="U84" s="260" t="s">
        <v>237</v>
      </c>
      <c r="V84" s="260" t="s">
        <v>237</v>
      </c>
      <c r="W84" s="260" t="s">
        <v>237</v>
      </c>
      <c r="X84" s="260" t="s">
        <v>237</v>
      </c>
      <c r="Y84" s="260" t="s">
        <v>237</v>
      </c>
      <c r="Z84" s="260" t="s">
        <v>237</v>
      </c>
      <c r="AA84" s="260" t="s">
        <v>237</v>
      </c>
      <c r="AB84" s="260" t="s">
        <v>237</v>
      </c>
      <c r="AC84" s="260" t="s">
        <v>237</v>
      </c>
      <c r="AD84" s="260" t="s">
        <v>237</v>
      </c>
      <c r="AE84" s="260" t="s">
        <v>237</v>
      </c>
      <c r="AF84" s="260" t="s">
        <v>237</v>
      </c>
      <c r="AG84" s="260" t="s">
        <v>237</v>
      </c>
      <c r="AH84" s="261" t="s">
        <v>237</v>
      </c>
    </row>
    <row r="85" spans="2:34" hidden="1" outlineLevel="1">
      <c r="B85" s="87">
        <v>0</v>
      </c>
      <c r="C85" s="133">
        <v>0</v>
      </c>
      <c r="D85" s="262" t="s">
        <v>237</v>
      </c>
      <c r="E85" s="263" t="s">
        <v>237</v>
      </c>
      <c r="F85" s="263" t="s">
        <v>237</v>
      </c>
      <c r="G85" s="263" t="s">
        <v>237</v>
      </c>
      <c r="H85" s="263" t="s">
        <v>237</v>
      </c>
      <c r="I85" s="263" t="s">
        <v>237</v>
      </c>
      <c r="J85" s="263" t="s">
        <v>237</v>
      </c>
      <c r="K85" s="263" t="s">
        <v>237</v>
      </c>
      <c r="L85" s="263" t="s">
        <v>237</v>
      </c>
      <c r="M85" s="263" t="s">
        <v>237</v>
      </c>
      <c r="N85" s="263" t="s">
        <v>237</v>
      </c>
      <c r="O85" s="263" t="s">
        <v>237</v>
      </c>
      <c r="P85" s="263" t="s">
        <v>237</v>
      </c>
      <c r="Q85" s="263" t="s">
        <v>237</v>
      </c>
      <c r="R85" s="263" t="s">
        <v>237</v>
      </c>
      <c r="S85" s="263" t="s">
        <v>237</v>
      </c>
      <c r="T85" s="263" t="s">
        <v>237</v>
      </c>
      <c r="U85" s="263" t="s">
        <v>237</v>
      </c>
      <c r="V85" s="263" t="s">
        <v>237</v>
      </c>
      <c r="W85" s="263" t="s">
        <v>237</v>
      </c>
      <c r="X85" s="263" t="s">
        <v>237</v>
      </c>
      <c r="Y85" s="263" t="s">
        <v>237</v>
      </c>
      <c r="Z85" s="263" t="s">
        <v>237</v>
      </c>
      <c r="AA85" s="263" t="s">
        <v>237</v>
      </c>
      <c r="AB85" s="263" t="s">
        <v>237</v>
      </c>
      <c r="AC85" s="263" t="s">
        <v>237</v>
      </c>
      <c r="AD85" s="263" t="s">
        <v>237</v>
      </c>
      <c r="AE85" s="263" t="s">
        <v>237</v>
      </c>
      <c r="AF85" s="263" t="s">
        <v>237</v>
      </c>
      <c r="AG85" s="263" t="s">
        <v>237</v>
      </c>
      <c r="AH85" s="264" t="s">
        <v>237</v>
      </c>
    </row>
    <row r="86" spans="2:34" hidden="1" outlineLevel="1">
      <c r="B86" s="196">
        <v>0</v>
      </c>
      <c r="C86" s="197">
        <v>0</v>
      </c>
      <c r="D86" s="259" t="s">
        <v>237</v>
      </c>
      <c r="E86" s="260" t="s">
        <v>237</v>
      </c>
      <c r="F86" s="260" t="s">
        <v>237</v>
      </c>
      <c r="G86" s="260" t="s">
        <v>237</v>
      </c>
      <c r="H86" s="260" t="s">
        <v>237</v>
      </c>
      <c r="I86" s="260" t="s">
        <v>237</v>
      </c>
      <c r="J86" s="260" t="s">
        <v>237</v>
      </c>
      <c r="K86" s="260" t="s">
        <v>237</v>
      </c>
      <c r="L86" s="260" t="s">
        <v>237</v>
      </c>
      <c r="M86" s="260" t="s">
        <v>237</v>
      </c>
      <c r="N86" s="260" t="s">
        <v>237</v>
      </c>
      <c r="O86" s="260" t="s">
        <v>237</v>
      </c>
      <c r="P86" s="260" t="s">
        <v>237</v>
      </c>
      <c r="Q86" s="260" t="s">
        <v>237</v>
      </c>
      <c r="R86" s="260" t="s">
        <v>237</v>
      </c>
      <c r="S86" s="260" t="s">
        <v>237</v>
      </c>
      <c r="T86" s="260" t="s">
        <v>237</v>
      </c>
      <c r="U86" s="260" t="s">
        <v>237</v>
      </c>
      <c r="V86" s="260" t="s">
        <v>237</v>
      </c>
      <c r="W86" s="260" t="s">
        <v>237</v>
      </c>
      <c r="X86" s="260" t="s">
        <v>237</v>
      </c>
      <c r="Y86" s="260" t="s">
        <v>237</v>
      </c>
      <c r="Z86" s="260" t="s">
        <v>237</v>
      </c>
      <c r="AA86" s="260" t="s">
        <v>237</v>
      </c>
      <c r="AB86" s="260" t="s">
        <v>237</v>
      </c>
      <c r="AC86" s="260" t="s">
        <v>237</v>
      </c>
      <c r="AD86" s="260" t="s">
        <v>237</v>
      </c>
      <c r="AE86" s="260" t="s">
        <v>237</v>
      </c>
      <c r="AF86" s="260" t="s">
        <v>237</v>
      </c>
      <c r="AG86" s="260" t="s">
        <v>237</v>
      </c>
      <c r="AH86" s="261" t="s">
        <v>237</v>
      </c>
    </row>
    <row r="87" spans="2:34" hidden="1" outlineLevel="1">
      <c r="B87" s="87">
        <v>0</v>
      </c>
      <c r="C87" s="133">
        <v>0</v>
      </c>
      <c r="D87" s="262" t="s">
        <v>237</v>
      </c>
      <c r="E87" s="263" t="s">
        <v>237</v>
      </c>
      <c r="F87" s="263" t="s">
        <v>237</v>
      </c>
      <c r="G87" s="263" t="s">
        <v>237</v>
      </c>
      <c r="H87" s="263" t="s">
        <v>237</v>
      </c>
      <c r="I87" s="263" t="s">
        <v>237</v>
      </c>
      <c r="J87" s="263" t="s">
        <v>237</v>
      </c>
      <c r="K87" s="263" t="s">
        <v>237</v>
      </c>
      <c r="L87" s="263" t="s">
        <v>237</v>
      </c>
      <c r="M87" s="263" t="s">
        <v>237</v>
      </c>
      <c r="N87" s="263" t="s">
        <v>237</v>
      </c>
      <c r="O87" s="263" t="s">
        <v>237</v>
      </c>
      <c r="P87" s="263" t="s">
        <v>237</v>
      </c>
      <c r="Q87" s="263" t="s">
        <v>237</v>
      </c>
      <c r="R87" s="263" t="s">
        <v>237</v>
      </c>
      <c r="S87" s="263" t="s">
        <v>237</v>
      </c>
      <c r="T87" s="263" t="s">
        <v>237</v>
      </c>
      <c r="U87" s="263" t="s">
        <v>237</v>
      </c>
      <c r="V87" s="263" t="s">
        <v>237</v>
      </c>
      <c r="W87" s="263" t="s">
        <v>237</v>
      </c>
      <c r="X87" s="263" t="s">
        <v>237</v>
      </c>
      <c r="Y87" s="263" t="s">
        <v>237</v>
      </c>
      <c r="Z87" s="263" t="s">
        <v>237</v>
      </c>
      <c r="AA87" s="263" t="s">
        <v>237</v>
      </c>
      <c r="AB87" s="263" t="s">
        <v>237</v>
      </c>
      <c r="AC87" s="263" t="s">
        <v>237</v>
      </c>
      <c r="AD87" s="263" t="s">
        <v>237</v>
      </c>
      <c r="AE87" s="263" t="s">
        <v>237</v>
      </c>
      <c r="AF87" s="263" t="s">
        <v>237</v>
      </c>
      <c r="AG87" s="263" t="s">
        <v>237</v>
      </c>
      <c r="AH87" s="264" t="s">
        <v>237</v>
      </c>
    </row>
    <row r="88" spans="2:34" hidden="1" outlineLevel="1">
      <c r="B88" s="196">
        <v>0</v>
      </c>
      <c r="C88" s="197">
        <v>0</v>
      </c>
      <c r="D88" s="259" t="s">
        <v>237</v>
      </c>
      <c r="E88" s="260" t="s">
        <v>237</v>
      </c>
      <c r="F88" s="260" t="s">
        <v>237</v>
      </c>
      <c r="G88" s="260" t="s">
        <v>237</v>
      </c>
      <c r="H88" s="260" t="s">
        <v>237</v>
      </c>
      <c r="I88" s="260" t="s">
        <v>237</v>
      </c>
      <c r="J88" s="260" t="s">
        <v>237</v>
      </c>
      <c r="K88" s="260" t="s">
        <v>237</v>
      </c>
      <c r="L88" s="260" t="s">
        <v>237</v>
      </c>
      <c r="M88" s="260" t="s">
        <v>237</v>
      </c>
      <c r="N88" s="260" t="s">
        <v>237</v>
      </c>
      <c r="O88" s="260" t="s">
        <v>237</v>
      </c>
      <c r="P88" s="260" t="s">
        <v>237</v>
      </c>
      <c r="Q88" s="260" t="s">
        <v>237</v>
      </c>
      <c r="R88" s="260" t="s">
        <v>237</v>
      </c>
      <c r="S88" s="260" t="s">
        <v>237</v>
      </c>
      <c r="T88" s="260" t="s">
        <v>237</v>
      </c>
      <c r="U88" s="260" t="s">
        <v>237</v>
      </c>
      <c r="V88" s="260" t="s">
        <v>237</v>
      </c>
      <c r="W88" s="260" t="s">
        <v>237</v>
      </c>
      <c r="X88" s="260" t="s">
        <v>237</v>
      </c>
      <c r="Y88" s="260" t="s">
        <v>237</v>
      </c>
      <c r="Z88" s="260" t="s">
        <v>237</v>
      </c>
      <c r="AA88" s="260" t="s">
        <v>237</v>
      </c>
      <c r="AB88" s="260" t="s">
        <v>237</v>
      </c>
      <c r="AC88" s="260" t="s">
        <v>237</v>
      </c>
      <c r="AD88" s="260" t="s">
        <v>237</v>
      </c>
      <c r="AE88" s="260" t="s">
        <v>237</v>
      </c>
      <c r="AF88" s="260" t="s">
        <v>237</v>
      </c>
      <c r="AG88" s="260" t="s">
        <v>237</v>
      </c>
      <c r="AH88" s="261" t="s">
        <v>237</v>
      </c>
    </row>
    <row r="89" spans="2:34" hidden="1" outlineLevel="1">
      <c r="B89" s="87">
        <v>0</v>
      </c>
      <c r="C89" s="133">
        <v>0</v>
      </c>
      <c r="D89" s="262" t="s">
        <v>237</v>
      </c>
      <c r="E89" s="263" t="s">
        <v>237</v>
      </c>
      <c r="F89" s="263" t="s">
        <v>237</v>
      </c>
      <c r="G89" s="263" t="s">
        <v>237</v>
      </c>
      <c r="H89" s="263" t="s">
        <v>237</v>
      </c>
      <c r="I89" s="263" t="s">
        <v>237</v>
      </c>
      <c r="J89" s="263" t="s">
        <v>237</v>
      </c>
      <c r="K89" s="263" t="s">
        <v>237</v>
      </c>
      <c r="L89" s="263" t="s">
        <v>237</v>
      </c>
      <c r="M89" s="263" t="s">
        <v>237</v>
      </c>
      <c r="N89" s="263" t="s">
        <v>237</v>
      </c>
      <c r="O89" s="263" t="s">
        <v>237</v>
      </c>
      <c r="P89" s="263" t="s">
        <v>237</v>
      </c>
      <c r="Q89" s="263" t="s">
        <v>237</v>
      </c>
      <c r="R89" s="263" t="s">
        <v>237</v>
      </c>
      <c r="S89" s="263" t="s">
        <v>237</v>
      </c>
      <c r="T89" s="263" t="s">
        <v>237</v>
      </c>
      <c r="U89" s="263" t="s">
        <v>237</v>
      </c>
      <c r="V89" s="263" t="s">
        <v>237</v>
      </c>
      <c r="W89" s="263" t="s">
        <v>237</v>
      </c>
      <c r="X89" s="263" t="s">
        <v>237</v>
      </c>
      <c r="Y89" s="263" t="s">
        <v>237</v>
      </c>
      <c r="Z89" s="263" t="s">
        <v>237</v>
      </c>
      <c r="AA89" s="263" t="s">
        <v>237</v>
      </c>
      <c r="AB89" s="263" t="s">
        <v>237</v>
      </c>
      <c r="AC89" s="263" t="s">
        <v>237</v>
      </c>
      <c r="AD89" s="263" t="s">
        <v>237</v>
      </c>
      <c r="AE89" s="263" t="s">
        <v>237</v>
      </c>
      <c r="AF89" s="263" t="s">
        <v>237</v>
      </c>
      <c r="AG89" s="263" t="s">
        <v>237</v>
      </c>
      <c r="AH89" s="264" t="s">
        <v>237</v>
      </c>
    </row>
    <row r="90" spans="2:34" hidden="1" outlineLevel="1">
      <c r="B90" s="196">
        <v>0</v>
      </c>
      <c r="C90" s="197">
        <v>0</v>
      </c>
      <c r="D90" s="259" t="s">
        <v>237</v>
      </c>
      <c r="E90" s="260" t="s">
        <v>237</v>
      </c>
      <c r="F90" s="260" t="s">
        <v>237</v>
      </c>
      <c r="G90" s="260" t="s">
        <v>237</v>
      </c>
      <c r="H90" s="260" t="s">
        <v>237</v>
      </c>
      <c r="I90" s="260" t="s">
        <v>237</v>
      </c>
      <c r="J90" s="260" t="s">
        <v>237</v>
      </c>
      <c r="K90" s="260" t="s">
        <v>237</v>
      </c>
      <c r="L90" s="260" t="s">
        <v>237</v>
      </c>
      <c r="M90" s="260" t="s">
        <v>237</v>
      </c>
      <c r="N90" s="260" t="s">
        <v>237</v>
      </c>
      <c r="O90" s="260" t="s">
        <v>237</v>
      </c>
      <c r="P90" s="260" t="s">
        <v>237</v>
      </c>
      <c r="Q90" s="260" t="s">
        <v>237</v>
      </c>
      <c r="R90" s="260" t="s">
        <v>237</v>
      </c>
      <c r="S90" s="260" t="s">
        <v>237</v>
      </c>
      <c r="T90" s="260" t="s">
        <v>237</v>
      </c>
      <c r="U90" s="260" t="s">
        <v>237</v>
      </c>
      <c r="V90" s="260" t="s">
        <v>237</v>
      </c>
      <c r="W90" s="260" t="s">
        <v>237</v>
      </c>
      <c r="X90" s="260" t="s">
        <v>237</v>
      </c>
      <c r="Y90" s="260" t="s">
        <v>237</v>
      </c>
      <c r="Z90" s="260" t="s">
        <v>237</v>
      </c>
      <c r="AA90" s="260" t="s">
        <v>237</v>
      </c>
      <c r="AB90" s="260" t="s">
        <v>237</v>
      </c>
      <c r="AC90" s="260" t="s">
        <v>237</v>
      </c>
      <c r="AD90" s="260" t="s">
        <v>237</v>
      </c>
      <c r="AE90" s="260" t="s">
        <v>237</v>
      </c>
      <c r="AF90" s="260" t="s">
        <v>237</v>
      </c>
      <c r="AG90" s="260" t="s">
        <v>237</v>
      </c>
      <c r="AH90" s="261" t="s">
        <v>237</v>
      </c>
    </row>
    <row r="91" spans="2:34" hidden="1" outlineLevel="1">
      <c r="B91" s="87">
        <v>0</v>
      </c>
      <c r="C91" s="133">
        <v>0</v>
      </c>
      <c r="D91" s="262" t="s">
        <v>237</v>
      </c>
      <c r="E91" s="263" t="s">
        <v>237</v>
      </c>
      <c r="F91" s="263" t="s">
        <v>237</v>
      </c>
      <c r="G91" s="263" t="s">
        <v>237</v>
      </c>
      <c r="H91" s="263" t="s">
        <v>237</v>
      </c>
      <c r="I91" s="263" t="s">
        <v>237</v>
      </c>
      <c r="J91" s="263" t="s">
        <v>237</v>
      </c>
      <c r="K91" s="263" t="s">
        <v>237</v>
      </c>
      <c r="L91" s="263" t="s">
        <v>237</v>
      </c>
      <c r="M91" s="263" t="s">
        <v>237</v>
      </c>
      <c r="N91" s="263" t="s">
        <v>237</v>
      </c>
      <c r="O91" s="263" t="s">
        <v>237</v>
      </c>
      <c r="P91" s="263" t="s">
        <v>237</v>
      </c>
      <c r="Q91" s="263" t="s">
        <v>237</v>
      </c>
      <c r="R91" s="263" t="s">
        <v>237</v>
      </c>
      <c r="S91" s="263" t="s">
        <v>237</v>
      </c>
      <c r="T91" s="263" t="s">
        <v>237</v>
      </c>
      <c r="U91" s="263" t="s">
        <v>237</v>
      </c>
      <c r="V91" s="263" t="s">
        <v>237</v>
      </c>
      <c r="W91" s="263" t="s">
        <v>237</v>
      </c>
      <c r="X91" s="263" t="s">
        <v>237</v>
      </c>
      <c r="Y91" s="263" t="s">
        <v>237</v>
      </c>
      <c r="Z91" s="263" t="s">
        <v>237</v>
      </c>
      <c r="AA91" s="263" t="s">
        <v>237</v>
      </c>
      <c r="AB91" s="263" t="s">
        <v>237</v>
      </c>
      <c r="AC91" s="263" t="s">
        <v>237</v>
      </c>
      <c r="AD91" s="263" t="s">
        <v>237</v>
      </c>
      <c r="AE91" s="263" t="s">
        <v>237</v>
      </c>
      <c r="AF91" s="263" t="s">
        <v>237</v>
      </c>
      <c r="AG91" s="263" t="s">
        <v>237</v>
      </c>
      <c r="AH91" s="264" t="s">
        <v>237</v>
      </c>
    </row>
    <row r="92" spans="2:34" hidden="1" outlineLevel="1">
      <c r="B92" s="196">
        <v>0</v>
      </c>
      <c r="C92" s="197">
        <v>0</v>
      </c>
      <c r="D92" s="259" t="s">
        <v>237</v>
      </c>
      <c r="E92" s="260" t="s">
        <v>237</v>
      </c>
      <c r="F92" s="260" t="s">
        <v>237</v>
      </c>
      <c r="G92" s="260" t="s">
        <v>237</v>
      </c>
      <c r="H92" s="260" t="s">
        <v>237</v>
      </c>
      <c r="I92" s="260" t="s">
        <v>237</v>
      </c>
      <c r="J92" s="260" t="s">
        <v>237</v>
      </c>
      <c r="K92" s="260" t="s">
        <v>237</v>
      </c>
      <c r="L92" s="260" t="s">
        <v>237</v>
      </c>
      <c r="M92" s="260" t="s">
        <v>237</v>
      </c>
      <c r="N92" s="260" t="s">
        <v>237</v>
      </c>
      <c r="O92" s="260" t="s">
        <v>237</v>
      </c>
      <c r="P92" s="260" t="s">
        <v>237</v>
      </c>
      <c r="Q92" s="260" t="s">
        <v>237</v>
      </c>
      <c r="R92" s="260" t="s">
        <v>237</v>
      </c>
      <c r="S92" s="260" t="s">
        <v>237</v>
      </c>
      <c r="T92" s="260" t="s">
        <v>237</v>
      </c>
      <c r="U92" s="260" t="s">
        <v>237</v>
      </c>
      <c r="V92" s="260" t="s">
        <v>237</v>
      </c>
      <c r="W92" s="260" t="s">
        <v>237</v>
      </c>
      <c r="X92" s="260" t="s">
        <v>237</v>
      </c>
      <c r="Y92" s="260" t="s">
        <v>237</v>
      </c>
      <c r="Z92" s="260" t="s">
        <v>237</v>
      </c>
      <c r="AA92" s="260" t="s">
        <v>237</v>
      </c>
      <c r="AB92" s="260" t="s">
        <v>237</v>
      </c>
      <c r="AC92" s="260" t="s">
        <v>237</v>
      </c>
      <c r="AD92" s="260" t="s">
        <v>237</v>
      </c>
      <c r="AE92" s="260" t="s">
        <v>237</v>
      </c>
      <c r="AF92" s="260" t="s">
        <v>237</v>
      </c>
      <c r="AG92" s="260" t="s">
        <v>237</v>
      </c>
      <c r="AH92" s="261" t="s">
        <v>237</v>
      </c>
    </row>
    <row r="93" spans="2:34" hidden="1" outlineLevel="1">
      <c r="B93" s="87">
        <v>0</v>
      </c>
      <c r="C93" s="133">
        <v>0</v>
      </c>
      <c r="D93" s="262" t="s">
        <v>237</v>
      </c>
      <c r="E93" s="263" t="s">
        <v>237</v>
      </c>
      <c r="F93" s="263" t="s">
        <v>237</v>
      </c>
      <c r="G93" s="263" t="s">
        <v>237</v>
      </c>
      <c r="H93" s="263" t="s">
        <v>237</v>
      </c>
      <c r="I93" s="263" t="s">
        <v>237</v>
      </c>
      <c r="J93" s="263" t="s">
        <v>237</v>
      </c>
      <c r="K93" s="263" t="s">
        <v>237</v>
      </c>
      <c r="L93" s="263" t="s">
        <v>237</v>
      </c>
      <c r="M93" s="263" t="s">
        <v>237</v>
      </c>
      <c r="N93" s="263" t="s">
        <v>237</v>
      </c>
      <c r="O93" s="263" t="s">
        <v>237</v>
      </c>
      <c r="P93" s="263" t="s">
        <v>237</v>
      </c>
      <c r="Q93" s="263" t="s">
        <v>237</v>
      </c>
      <c r="R93" s="263" t="s">
        <v>237</v>
      </c>
      <c r="S93" s="263" t="s">
        <v>237</v>
      </c>
      <c r="T93" s="263" t="s">
        <v>237</v>
      </c>
      <c r="U93" s="263" t="s">
        <v>237</v>
      </c>
      <c r="V93" s="263" t="s">
        <v>237</v>
      </c>
      <c r="W93" s="263" t="s">
        <v>237</v>
      </c>
      <c r="X93" s="263" t="s">
        <v>237</v>
      </c>
      <c r="Y93" s="263" t="s">
        <v>237</v>
      </c>
      <c r="Z93" s="263" t="s">
        <v>237</v>
      </c>
      <c r="AA93" s="263" t="s">
        <v>237</v>
      </c>
      <c r="AB93" s="263" t="s">
        <v>237</v>
      </c>
      <c r="AC93" s="263" t="s">
        <v>237</v>
      </c>
      <c r="AD93" s="263" t="s">
        <v>237</v>
      </c>
      <c r="AE93" s="263" t="s">
        <v>237</v>
      </c>
      <c r="AF93" s="263" t="s">
        <v>237</v>
      </c>
      <c r="AG93" s="263" t="s">
        <v>237</v>
      </c>
      <c r="AH93" s="264" t="s">
        <v>237</v>
      </c>
    </row>
    <row r="94" spans="2:34" hidden="1" outlineLevel="1">
      <c r="B94" s="196">
        <v>0</v>
      </c>
      <c r="C94" s="197">
        <v>0</v>
      </c>
      <c r="D94" s="259" t="s">
        <v>237</v>
      </c>
      <c r="E94" s="260" t="s">
        <v>237</v>
      </c>
      <c r="F94" s="260" t="s">
        <v>237</v>
      </c>
      <c r="G94" s="260" t="s">
        <v>237</v>
      </c>
      <c r="H94" s="260" t="s">
        <v>237</v>
      </c>
      <c r="I94" s="260" t="s">
        <v>237</v>
      </c>
      <c r="J94" s="260" t="s">
        <v>237</v>
      </c>
      <c r="K94" s="260" t="s">
        <v>237</v>
      </c>
      <c r="L94" s="260" t="s">
        <v>237</v>
      </c>
      <c r="M94" s="260" t="s">
        <v>237</v>
      </c>
      <c r="N94" s="260" t="s">
        <v>237</v>
      </c>
      <c r="O94" s="260" t="s">
        <v>237</v>
      </c>
      <c r="P94" s="260" t="s">
        <v>237</v>
      </c>
      <c r="Q94" s="260" t="s">
        <v>237</v>
      </c>
      <c r="R94" s="260" t="s">
        <v>237</v>
      </c>
      <c r="S94" s="260" t="s">
        <v>237</v>
      </c>
      <c r="T94" s="260" t="s">
        <v>237</v>
      </c>
      <c r="U94" s="260" t="s">
        <v>237</v>
      </c>
      <c r="V94" s="260" t="s">
        <v>237</v>
      </c>
      <c r="W94" s="260" t="s">
        <v>237</v>
      </c>
      <c r="X94" s="260" t="s">
        <v>237</v>
      </c>
      <c r="Y94" s="260" t="s">
        <v>237</v>
      </c>
      <c r="Z94" s="260" t="s">
        <v>237</v>
      </c>
      <c r="AA94" s="260" t="s">
        <v>237</v>
      </c>
      <c r="AB94" s="260" t="s">
        <v>237</v>
      </c>
      <c r="AC94" s="260" t="s">
        <v>237</v>
      </c>
      <c r="AD94" s="260" t="s">
        <v>237</v>
      </c>
      <c r="AE94" s="260" t="s">
        <v>237</v>
      </c>
      <c r="AF94" s="260" t="s">
        <v>237</v>
      </c>
      <c r="AG94" s="260" t="s">
        <v>237</v>
      </c>
      <c r="AH94" s="261" t="s">
        <v>237</v>
      </c>
    </row>
    <row r="95" spans="2:34" hidden="1" outlineLevel="1">
      <c r="B95" s="87">
        <v>0</v>
      </c>
      <c r="C95" s="133">
        <v>0</v>
      </c>
      <c r="D95" s="262" t="s">
        <v>237</v>
      </c>
      <c r="E95" s="263" t="s">
        <v>237</v>
      </c>
      <c r="F95" s="263" t="s">
        <v>237</v>
      </c>
      <c r="G95" s="263" t="s">
        <v>237</v>
      </c>
      <c r="H95" s="263" t="s">
        <v>237</v>
      </c>
      <c r="I95" s="263" t="s">
        <v>237</v>
      </c>
      <c r="J95" s="263" t="s">
        <v>237</v>
      </c>
      <c r="K95" s="263" t="s">
        <v>237</v>
      </c>
      <c r="L95" s="263" t="s">
        <v>237</v>
      </c>
      <c r="M95" s="263" t="s">
        <v>237</v>
      </c>
      <c r="N95" s="263" t="s">
        <v>237</v>
      </c>
      <c r="O95" s="263" t="s">
        <v>237</v>
      </c>
      <c r="P95" s="263" t="s">
        <v>237</v>
      </c>
      <c r="Q95" s="263" t="s">
        <v>237</v>
      </c>
      <c r="R95" s="263" t="s">
        <v>237</v>
      </c>
      <c r="S95" s="263" t="s">
        <v>237</v>
      </c>
      <c r="T95" s="263" t="s">
        <v>237</v>
      </c>
      <c r="U95" s="263" t="s">
        <v>237</v>
      </c>
      <c r="V95" s="263" t="s">
        <v>237</v>
      </c>
      <c r="W95" s="263" t="s">
        <v>237</v>
      </c>
      <c r="X95" s="263" t="s">
        <v>237</v>
      </c>
      <c r="Y95" s="263" t="s">
        <v>237</v>
      </c>
      <c r="Z95" s="263" t="s">
        <v>237</v>
      </c>
      <c r="AA95" s="263" t="s">
        <v>237</v>
      </c>
      <c r="AB95" s="263" t="s">
        <v>237</v>
      </c>
      <c r="AC95" s="263" t="s">
        <v>237</v>
      </c>
      <c r="AD95" s="263" t="s">
        <v>237</v>
      </c>
      <c r="AE95" s="263" t="s">
        <v>237</v>
      </c>
      <c r="AF95" s="263" t="s">
        <v>237</v>
      </c>
      <c r="AG95" s="263" t="s">
        <v>237</v>
      </c>
      <c r="AH95" s="264" t="s">
        <v>237</v>
      </c>
    </row>
    <row r="96" spans="2:34" hidden="1" outlineLevel="1">
      <c r="B96" s="196">
        <v>0</v>
      </c>
      <c r="C96" s="197">
        <v>0</v>
      </c>
      <c r="D96" s="259" t="s">
        <v>237</v>
      </c>
      <c r="E96" s="260" t="s">
        <v>237</v>
      </c>
      <c r="F96" s="260" t="s">
        <v>237</v>
      </c>
      <c r="G96" s="260" t="s">
        <v>237</v>
      </c>
      <c r="H96" s="260" t="s">
        <v>237</v>
      </c>
      <c r="I96" s="260" t="s">
        <v>237</v>
      </c>
      <c r="J96" s="260" t="s">
        <v>237</v>
      </c>
      <c r="K96" s="260" t="s">
        <v>237</v>
      </c>
      <c r="L96" s="260" t="s">
        <v>237</v>
      </c>
      <c r="M96" s="260" t="s">
        <v>237</v>
      </c>
      <c r="N96" s="260" t="s">
        <v>237</v>
      </c>
      <c r="O96" s="260" t="s">
        <v>237</v>
      </c>
      <c r="P96" s="260" t="s">
        <v>237</v>
      </c>
      <c r="Q96" s="260" t="s">
        <v>237</v>
      </c>
      <c r="R96" s="260" t="s">
        <v>237</v>
      </c>
      <c r="S96" s="260" t="s">
        <v>237</v>
      </c>
      <c r="T96" s="260" t="s">
        <v>237</v>
      </c>
      <c r="U96" s="260" t="s">
        <v>237</v>
      </c>
      <c r="V96" s="260" t="s">
        <v>237</v>
      </c>
      <c r="W96" s="260" t="s">
        <v>237</v>
      </c>
      <c r="X96" s="260" t="s">
        <v>237</v>
      </c>
      <c r="Y96" s="260" t="s">
        <v>237</v>
      </c>
      <c r="Z96" s="260" t="s">
        <v>237</v>
      </c>
      <c r="AA96" s="260" t="s">
        <v>237</v>
      </c>
      <c r="AB96" s="260" t="s">
        <v>237</v>
      </c>
      <c r="AC96" s="260" t="s">
        <v>237</v>
      </c>
      <c r="AD96" s="260" t="s">
        <v>237</v>
      </c>
      <c r="AE96" s="260" t="s">
        <v>237</v>
      </c>
      <c r="AF96" s="260" t="s">
        <v>237</v>
      </c>
      <c r="AG96" s="260" t="s">
        <v>237</v>
      </c>
      <c r="AH96" s="261" t="s">
        <v>237</v>
      </c>
    </row>
    <row r="97" spans="2:34" hidden="1" outlineLevel="1">
      <c r="B97" s="87">
        <v>0</v>
      </c>
      <c r="C97" s="133">
        <v>0</v>
      </c>
      <c r="D97" s="262" t="s">
        <v>237</v>
      </c>
      <c r="E97" s="263" t="s">
        <v>237</v>
      </c>
      <c r="F97" s="263" t="s">
        <v>237</v>
      </c>
      <c r="G97" s="263" t="s">
        <v>237</v>
      </c>
      <c r="H97" s="263" t="s">
        <v>237</v>
      </c>
      <c r="I97" s="263" t="s">
        <v>237</v>
      </c>
      <c r="J97" s="263" t="s">
        <v>237</v>
      </c>
      <c r="K97" s="263" t="s">
        <v>237</v>
      </c>
      <c r="L97" s="263" t="s">
        <v>237</v>
      </c>
      <c r="M97" s="263" t="s">
        <v>237</v>
      </c>
      <c r="N97" s="263" t="s">
        <v>237</v>
      </c>
      <c r="O97" s="263" t="s">
        <v>237</v>
      </c>
      <c r="P97" s="263" t="s">
        <v>237</v>
      </c>
      <c r="Q97" s="263" t="s">
        <v>237</v>
      </c>
      <c r="R97" s="263" t="s">
        <v>237</v>
      </c>
      <c r="S97" s="263" t="s">
        <v>237</v>
      </c>
      <c r="T97" s="263" t="s">
        <v>237</v>
      </c>
      <c r="U97" s="263" t="s">
        <v>237</v>
      </c>
      <c r="V97" s="263" t="s">
        <v>237</v>
      </c>
      <c r="W97" s="263" t="s">
        <v>237</v>
      </c>
      <c r="X97" s="263" t="s">
        <v>237</v>
      </c>
      <c r="Y97" s="263" t="s">
        <v>237</v>
      </c>
      <c r="Z97" s="263" t="s">
        <v>237</v>
      </c>
      <c r="AA97" s="263" t="s">
        <v>237</v>
      </c>
      <c r="AB97" s="263" t="s">
        <v>237</v>
      </c>
      <c r="AC97" s="263" t="s">
        <v>237</v>
      </c>
      <c r="AD97" s="263" t="s">
        <v>237</v>
      </c>
      <c r="AE97" s="263" t="s">
        <v>237</v>
      </c>
      <c r="AF97" s="263" t="s">
        <v>237</v>
      </c>
      <c r="AG97" s="263" t="s">
        <v>237</v>
      </c>
      <c r="AH97" s="264" t="s">
        <v>237</v>
      </c>
    </row>
    <row r="98" spans="2:34" hidden="1" outlineLevel="1">
      <c r="B98" s="196">
        <v>0</v>
      </c>
      <c r="C98" s="197">
        <v>0</v>
      </c>
      <c r="D98" s="259" t="s">
        <v>237</v>
      </c>
      <c r="E98" s="260" t="s">
        <v>237</v>
      </c>
      <c r="F98" s="260" t="s">
        <v>237</v>
      </c>
      <c r="G98" s="260" t="s">
        <v>237</v>
      </c>
      <c r="H98" s="260" t="s">
        <v>237</v>
      </c>
      <c r="I98" s="260" t="s">
        <v>237</v>
      </c>
      <c r="J98" s="260" t="s">
        <v>237</v>
      </c>
      <c r="K98" s="260" t="s">
        <v>237</v>
      </c>
      <c r="L98" s="260" t="s">
        <v>237</v>
      </c>
      <c r="M98" s="260" t="s">
        <v>237</v>
      </c>
      <c r="N98" s="260" t="s">
        <v>237</v>
      </c>
      <c r="O98" s="260" t="s">
        <v>237</v>
      </c>
      <c r="P98" s="260" t="s">
        <v>237</v>
      </c>
      <c r="Q98" s="260" t="s">
        <v>237</v>
      </c>
      <c r="R98" s="260" t="s">
        <v>237</v>
      </c>
      <c r="S98" s="260" t="s">
        <v>237</v>
      </c>
      <c r="T98" s="260" t="s">
        <v>237</v>
      </c>
      <c r="U98" s="260" t="s">
        <v>237</v>
      </c>
      <c r="V98" s="260" t="s">
        <v>237</v>
      </c>
      <c r="W98" s="260" t="s">
        <v>237</v>
      </c>
      <c r="X98" s="260" t="s">
        <v>237</v>
      </c>
      <c r="Y98" s="260" t="s">
        <v>237</v>
      </c>
      <c r="Z98" s="260" t="s">
        <v>237</v>
      </c>
      <c r="AA98" s="260" t="s">
        <v>237</v>
      </c>
      <c r="AB98" s="260" t="s">
        <v>237</v>
      </c>
      <c r="AC98" s="260" t="s">
        <v>237</v>
      </c>
      <c r="AD98" s="260" t="s">
        <v>237</v>
      </c>
      <c r="AE98" s="260" t="s">
        <v>237</v>
      </c>
      <c r="AF98" s="260" t="s">
        <v>237</v>
      </c>
      <c r="AG98" s="260" t="s">
        <v>237</v>
      </c>
      <c r="AH98" s="261" t="s">
        <v>237</v>
      </c>
    </row>
    <row r="99" spans="2:34" ht="15" hidden="1" outlineLevel="1" thickBot="1">
      <c r="B99" s="91">
        <v>0</v>
      </c>
      <c r="C99" s="134">
        <v>0</v>
      </c>
      <c r="D99" s="265" t="s">
        <v>237</v>
      </c>
      <c r="E99" s="266" t="s">
        <v>237</v>
      </c>
      <c r="F99" s="266" t="s">
        <v>237</v>
      </c>
      <c r="G99" s="266" t="s">
        <v>237</v>
      </c>
      <c r="H99" s="266" t="s">
        <v>237</v>
      </c>
      <c r="I99" s="266" t="s">
        <v>237</v>
      </c>
      <c r="J99" s="266" t="s">
        <v>237</v>
      </c>
      <c r="K99" s="266" t="s">
        <v>237</v>
      </c>
      <c r="L99" s="266" t="s">
        <v>237</v>
      </c>
      <c r="M99" s="266" t="s">
        <v>237</v>
      </c>
      <c r="N99" s="266" t="s">
        <v>237</v>
      </c>
      <c r="O99" s="266" t="s">
        <v>237</v>
      </c>
      <c r="P99" s="266" t="s">
        <v>237</v>
      </c>
      <c r="Q99" s="266" t="s">
        <v>237</v>
      </c>
      <c r="R99" s="266" t="s">
        <v>237</v>
      </c>
      <c r="S99" s="266" t="s">
        <v>237</v>
      </c>
      <c r="T99" s="266" t="s">
        <v>237</v>
      </c>
      <c r="U99" s="266" t="s">
        <v>237</v>
      </c>
      <c r="V99" s="266" t="s">
        <v>237</v>
      </c>
      <c r="W99" s="266" t="s">
        <v>237</v>
      </c>
      <c r="X99" s="266" t="s">
        <v>237</v>
      </c>
      <c r="Y99" s="266" t="s">
        <v>237</v>
      </c>
      <c r="Z99" s="266" t="s">
        <v>237</v>
      </c>
      <c r="AA99" s="266" t="s">
        <v>237</v>
      </c>
      <c r="AB99" s="266" t="s">
        <v>237</v>
      </c>
      <c r="AC99" s="266" t="s">
        <v>237</v>
      </c>
      <c r="AD99" s="266" t="s">
        <v>237</v>
      </c>
      <c r="AE99" s="266" t="s">
        <v>237</v>
      </c>
      <c r="AF99" s="266" t="s">
        <v>237</v>
      </c>
      <c r="AG99" s="266" t="s">
        <v>237</v>
      </c>
      <c r="AH99" s="267" t="s">
        <v>237</v>
      </c>
    </row>
    <row r="100" spans="2:34" hidden="1" outlineLevel="1">
      <c r="B100" s="143">
        <v>0</v>
      </c>
      <c r="C100" s="144">
        <v>0</v>
      </c>
      <c r="D100" s="49" t="s">
        <v>237</v>
      </c>
      <c r="E100" s="130" t="s">
        <v>237</v>
      </c>
      <c r="F100" s="130" t="s">
        <v>237</v>
      </c>
      <c r="G100" s="130" t="s">
        <v>237</v>
      </c>
      <c r="H100" s="130" t="s">
        <v>237</v>
      </c>
      <c r="I100" s="130" t="s">
        <v>237</v>
      </c>
      <c r="J100" s="130" t="s">
        <v>237</v>
      </c>
      <c r="K100" s="130" t="s">
        <v>237</v>
      </c>
      <c r="L100" s="130" t="s">
        <v>237</v>
      </c>
      <c r="M100" s="130" t="s">
        <v>237</v>
      </c>
      <c r="N100" s="130" t="s">
        <v>237</v>
      </c>
      <c r="O100" s="130" t="s">
        <v>237</v>
      </c>
      <c r="P100" s="130" t="s">
        <v>237</v>
      </c>
      <c r="Q100" s="130" t="s">
        <v>237</v>
      </c>
      <c r="R100" s="130" t="s">
        <v>237</v>
      </c>
      <c r="S100" s="130" t="s">
        <v>237</v>
      </c>
      <c r="T100" s="130" t="s">
        <v>237</v>
      </c>
      <c r="U100" s="130" t="s">
        <v>237</v>
      </c>
      <c r="V100" s="130" t="s">
        <v>237</v>
      </c>
      <c r="W100" s="130" t="s">
        <v>237</v>
      </c>
      <c r="X100" s="130" t="s">
        <v>237</v>
      </c>
      <c r="Y100" s="130" t="s">
        <v>237</v>
      </c>
      <c r="Z100" s="130" t="s">
        <v>237</v>
      </c>
      <c r="AA100" s="130" t="s">
        <v>237</v>
      </c>
      <c r="AB100" s="130" t="s">
        <v>237</v>
      </c>
      <c r="AC100" s="130" t="s">
        <v>237</v>
      </c>
      <c r="AD100" s="130" t="s">
        <v>237</v>
      </c>
      <c r="AE100" s="130" t="s">
        <v>237</v>
      </c>
      <c r="AF100" s="130" t="s">
        <v>237</v>
      </c>
      <c r="AG100" s="130" t="s">
        <v>237</v>
      </c>
      <c r="AH100" s="130" t="s">
        <v>237</v>
      </c>
    </row>
    <row r="101" spans="2:34" hidden="1" outlineLevel="1">
      <c r="B101" s="87">
        <v>0</v>
      </c>
      <c r="C101" s="133">
        <v>0</v>
      </c>
      <c r="D101" s="51" t="s">
        <v>237</v>
      </c>
      <c r="E101" s="131" t="s">
        <v>237</v>
      </c>
      <c r="F101" s="131" t="s">
        <v>237</v>
      </c>
      <c r="G101" s="131" t="s">
        <v>237</v>
      </c>
      <c r="H101" s="131" t="s">
        <v>237</v>
      </c>
      <c r="I101" s="131" t="s">
        <v>237</v>
      </c>
      <c r="J101" s="131" t="s">
        <v>237</v>
      </c>
      <c r="K101" s="131" t="s">
        <v>237</v>
      </c>
      <c r="L101" s="131" t="s">
        <v>237</v>
      </c>
      <c r="M101" s="131" t="s">
        <v>237</v>
      </c>
      <c r="N101" s="131" t="s">
        <v>237</v>
      </c>
      <c r="O101" s="131" t="s">
        <v>237</v>
      </c>
      <c r="P101" s="131" t="s">
        <v>237</v>
      </c>
      <c r="Q101" s="131" t="s">
        <v>237</v>
      </c>
      <c r="R101" s="131" t="s">
        <v>237</v>
      </c>
      <c r="S101" s="131" t="s">
        <v>237</v>
      </c>
      <c r="T101" s="131" t="s">
        <v>237</v>
      </c>
      <c r="U101" s="131" t="s">
        <v>237</v>
      </c>
      <c r="V101" s="131" t="s">
        <v>237</v>
      </c>
      <c r="W101" s="131" t="s">
        <v>237</v>
      </c>
      <c r="X101" s="131" t="s">
        <v>237</v>
      </c>
      <c r="Y101" s="131" t="s">
        <v>237</v>
      </c>
      <c r="Z101" s="131" t="s">
        <v>237</v>
      </c>
      <c r="AA101" s="131" t="s">
        <v>237</v>
      </c>
      <c r="AB101" s="131" t="s">
        <v>237</v>
      </c>
      <c r="AC101" s="131" t="s">
        <v>237</v>
      </c>
      <c r="AD101" s="131" t="s">
        <v>237</v>
      </c>
      <c r="AE101" s="131" t="s">
        <v>237</v>
      </c>
      <c r="AF101" s="131" t="s">
        <v>237</v>
      </c>
      <c r="AG101" s="131" t="s">
        <v>237</v>
      </c>
      <c r="AH101" s="131" t="s">
        <v>237</v>
      </c>
    </row>
    <row r="102" spans="2:34" hidden="1" outlineLevel="1">
      <c r="B102" s="87">
        <v>0</v>
      </c>
      <c r="C102" s="133">
        <v>0</v>
      </c>
      <c r="D102" s="51" t="s">
        <v>237</v>
      </c>
      <c r="E102" s="131" t="s">
        <v>237</v>
      </c>
      <c r="F102" s="131" t="s">
        <v>237</v>
      </c>
      <c r="G102" s="131" t="s">
        <v>237</v>
      </c>
      <c r="H102" s="131" t="s">
        <v>237</v>
      </c>
      <c r="I102" s="131" t="s">
        <v>237</v>
      </c>
      <c r="J102" s="131" t="s">
        <v>237</v>
      </c>
      <c r="K102" s="131" t="s">
        <v>237</v>
      </c>
      <c r="L102" s="131" t="s">
        <v>237</v>
      </c>
      <c r="M102" s="131" t="s">
        <v>237</v>
      </c>
      <c r="N102" s="131" t="s">
        <v>237</v>
      </c>
      <c r="O102" s="131" t="s">
        <v>237</v>
      </c>
      <c r="P102" s="131" t="s">
        <v>237</v>
      </c>
      <c r="Q102" s="131" t="s">
        <v>237</v>
      </c>
      <c r="R102" s="131" t="s">
        <v>237</v>
      </c>
      <c r="S102" s="131" t="s">
        <v>237</v>
      </c>
      <c r="T102" s="131" t="s">
        <v>237</v>
      </c>
      <c r="U102" s="131" t="s">
        <v>237</v>
      </c>
      <c r="V102" s="131" t="s">
        <v>237</v>
      </c>
      <c r="W102" s="131" t="s">
        <v>237</v>
      </c>
      <c r="X102" s="131" t="s">
        <v>237</v>
      </c>
      <c r="Y102" s="131" t="s">
        <v>237</v>
      </c>
      <c r="Z102" s="131" t="s">
        <v>237</v>
      </c>
      <c r="AA102" s="131" t="s">
        <v>237</v>
      </c>
      <c r="AB102" s="131" t="s">
        <v>237</v>
      </c>
      <c r="AC102" s="131" t="s">
        <v>237</v>
      </c>
      <c r="AD102" s="131" t="s">
        <v>237</v>
      </c>
      <c r="AE102" s="131" t="s">
        <v>237</v>
      </c>
      <c r="AF102" s="131" t="s">
        <v>237</v>
      </c>
      <c r="AG102" s="131" t="s">
        <v>237</v>
      </c>
      <c r="AH102" s="131" t="s">
        <v>237</v>
      </c>
    </row>
    <row r="103" spans="2:34" hidden="1" outlineLevel="1">
      <c r="B103" s="87">
        <v>0</v>
      </c>
      <c r="C103" s="133">
        <v>0</v>
      </c>
      <c r="D103" s="51" t="s">
        <v>237</v>
      </c>
      <c r="E103" s="131" t="s">
        <v>237</v>
      </c>
      <c r="F103" s="131" t="s">
        <v>237</v>
      </c>
      <c r="G103" s="131" t="s">
        <v>237</v>
      </c>
      <c r="H103" s="131" t="s">
        <v>237</v>
      </c>
      <c r="I103" s="131" t="s">
        <v>237</v>
      </c>
      <c r="J103" s="131" t="s">
        <v>237</v>
      </c>
      <c r="K103" s="131" t="s">
        <v>237</v>
      </c>
      <c r="L103" s="131" t="s">
        <v>237</v>
      </c>
      <c r="M103" s="131" t="s">
        <v>237</v>
      </c>
      <c r="N103" s="131" t="s">
        <v>237</v>
      </c>
      <c r="O103" s="131" t="s">
        <v>237</v>
      </c>
      <c r="P103" s="131" t="s">
        <v>237</v>
      </c>
      <c r="Q103" s="131" t="s">
        <v>237</v>
      </c>
      <c r="R103" s="131" t="s">
        <v>237</v>
      </c>
      <c r="S103" s="131" t="s">
        <v>237</v>
      </c>
      <c r="T103" s="131" t="s">
        <v>237</v>
      </c>
      <c r="U103" s="131" t="s">
        <v>237</v>
      </c>
      <c r="V103" s="131" t="s">
        <v>237</v>
      </c>
      <c r="W103" s="131" t="s">
        <v>237</v>
      </c>
      <c r="X103" s="131" t="s">
        <v>237</v>
      </c>
      <c r="Y103" s="131" t="s">
        <v>237</v>
      </c>
      <c r="Z103" s="131" t="s">
        <v>237</v>
      </c>
      <c r="AA103" s="131" t="s">
        <v>237</v>
      </c>
      <c r="AB103" s="131" t="s">
        <v>237</v>
      </c>
      <c r="AC103" s="131" t="s">
        <v>237</v>
      </c>
      <c r="AD103" s="131" t="s">
        <v>237</v>
      </c>
      <c r="AE103" s="131" t="s">
        <v>237</v>
      </c>
      <c r="AF103" s="131" t="s">
        <v>237</v>
      </c>
      <c r="AG103" s="131" t="s">
        <v>237</v>
      </c>
      <c r="AH103" s="131" t="s">
        <v>237</v>
      </c>
    </row>
    <row r="104" spans="2:34" hidden="1" outlineLevel="1">
      <c r="B104" s="87">
        <v>0</v>
      </c>
      <c r="C104" s="133">
        <v>0</v>
      </c>
      <c r="D104" s="51" t="s">
        <v>237</v>
      </c>
      <c r="E104" s="131" t="s">
        <v>237</v>
      </c>
      <c r="F104" s="131" t="s">
        <v>237</v>
      </c>
      <c r="G104" s="131" t="s">
        <v>237</v>
      </c>
      <c r="H104" s="131" t="s">
        <v>237</v>
      </c>
      <c r="I104" s="131" t="s">
        <v>237</v>
      </c>
      <c r="J104" s="131" t="s">
        <v>237</v>
      </c>
      <c r="K104" s="131" t="s">
        <v>237</v>
      </c>
      <c r="L104" s="131" t="s">
        <v>237</v>
      </c>
      <c r="M104" s="131" t="s">
        <v>237</v>
      </c>
      <c r="N104" s="131" t="s">
        <v>237</v>
      </c>
      <c r="O104" s="131" t="s">
        <v>237</v>
      </c>
      <c r="P104" s="131" t="s">
        <v>237</v>
      </c>
      <c r="Q104" s="131" t="s">
        <v>237</v>
      </c>
      <c r="R104" s="131" t="s">
        <v>237</v>
      </c>
      <c r="S104" s="131" t="s">
        <v>237</v>
      </c>
      <c r="T104" s="131" t="s">
        <v>237</v>
      </c>
      <c r="U104" s="131" t="s">
        <v>237</v>
      </c>
      <c r="V104" s="131" t="s">
        <v>237</v>
      </c>
      <c r="W104" s="131" t="s">
        <v>237</v>
      </c>
      <c r="X104" s="131" t="s">
        <v>237</v>
      </c>
      <c r="Y104" s="131" t="s">
        <v>237</v>
      </c>
      <c r="Z104" s="131" t="s">
        <v>237</v>
      </c>
      <c r="AA104" s="131" t="s">
        <v>237</v>
      </c>
      <c r="AB104" s="131" t="s">
        <v>237</v>
      </c>
      <c r="AC104" s="131" t="s">
        <v>237</v>
      </c>
      <c r="AD104" s="131" t="s">
        <v>237</v>
      </c>
      <c r="AE104" s="131" t="s">
        <v>237</v>
      </c>
      <c r="AF104" s="131" t="s">
        <v>237</v>
      </c>
      <c r="AG104" s="131" t="s">
        <v>237</v>
      </c>
      <c r="AH104" s="131" t="s">
        <v>237</v>
      </c>
    </row>
    <row r="105" spans="2:34" hidden="1" outlineLevel="1">
      <c r="B105" s="87">
        <v>0</v>
      </c>
      <c r="C105" s="133">
        <v>0</v>
      </c>
      <c r="D105" s="51" t="s">
        <v>237</v>
      </c>
      <c r="E105" s="131" t="s">
        <v>237</v>
      </c>
      <c r="F105" s="131" t="s">
        <v>237</v>
      </c>
      <c r="G105" s="131" t="s">
        <v>237</v>
      </c>
      <c r="H105" s="131" t="s">
        <v>237</v>
      </c>
      <c r="I105" s="131" t="s">
        <v>237</v>
      </c>
      <c r="J105" s="131" t="s">
        <v>237</v>
      </c>
      <c r="K105" s="131" t="s">
        <v>237</v>
      </c>
      <c r="L105" s="131" t="s">
        <v>237</v>
      </c>
      <c r="M105" s="131" t="s">
        <v>237</v>
      </c>
      <c r="N105" s="131" t="s">
        <v>237</v>
      </c>
      <c r="O105" s="131" t="s">
        <v>237</v>
      </c>
      <c r="P105" s="131" t="s">
        <v>237</v>
      </c>
      <c r="Q105" s="131" t="s">
        <v>237</v>
      </c>
      <c r="R105" s="131" t="s">
        <v>237</v>
      </c>
      <c r="S105" s="131" t="s">
        <v>237</v>
      </c>
      <c r="T105" s="131" t="s">
        <v>237</v>
      </c>
      <c r="U105" s="131" t="s">
        <v>237</v>
      </c>
      <c r="V105" s="131" t="s">
        <v>237</v>
      </c>
      <c r="W105" s="131" t="s">
        <v>237</v>
      </c>
      <c r="X105" s="131" t="s">
        <v>237</v>
      </c>
      <c r="Y105" s="131" t="s">
        <v>237</v>
      </c>
      <c r="Z105" s="131" t="s">
        <v>237</v>
      </c>
      <c r="AA105" s="131" t="s">
        <v>237</v>
      </c>
      <c r="AB105" s="131" t="s">
        <v>237</v>
      </c>
      <c r="AC105" s="131" t="s">
        <v>237</v>
      </c>
      <c r="AD105" s="131" t="s">
        <v>237</v>
      </c>
      <c r="AE105" s="131" t="s">
        <v>237</v>
      </c>
      <c r="AF105" s="131" t="s">
        <v>237</v>
      </c>
      <c r="AG105" s="131" t="s">
        <v>237</v>
      </c>
      <c r="AH105" s="131" t="s">
        <v>237</v>
      </c>
    </row>
    <row r="106" spans="2:34" hidden="1" outlineLevel="1">
      <c r="B106" s="87">
        <v>0</v>
      </c>
      <c r="C106" s="133">
        <v>0</v>
      </c>
      <c r="D106" s="51" t="s">
        <v>237</v>
      </c>
      <c r="E106" s="131" t="s">
        <v>237</v>
      </c>
      <c r="F106" s="131" t="s">
        <v>237</v>
      </c>
      <c r="G106" s="131" t="s">
        <v>237</v>
      </c>
      <c r="H106" s="131" t="s">
        <v>237</v>
      </c>
      <c r="I106" s="131" t="s">
        <v>237</v>
      </c>
      <c r="J106" s="131" t="s">
        <v>237</v>
      </c>
      <c r="K106" s="131" t="s">
        <v>237</v>
      </c>
      <c r="L106" s="131" t="s">
        <v>237</v>
      </c>
      <c r="M106" s="131" t="s">
        <v>237</v>
      </c>
      <c r="N106" s="131" t="s">
        <v>237</v>
      </c>
      <c r="O106" s="131" t="s">
        <v>237</v>
      </c>
      <c r="P106" s="131" t="s">
        <v>237</v>
      </c>
      <c r="Q106" s="131" t="s">
        <v>237</v>
      </c>
      <c r="R106" s="131" t="s">
        <v>237</v>
      </c>
      <c r="S106" s="131" t="s">
        <v>237</v>
      </c>
      <c r="T106" s="131" t="s">
        <v>237</v>
      </c>
      <c r="U106" s="131" t="s">
        <v>237</v>
      </c>
      <c r="V106" s="131" t="s">
        <v>237</v>
      </c>
      <c r="W106" s="131" t="s">
        <v>237</v>
      </c>
      <c r="X106" s="131" t="s">
        <v>237</v>
      </c>
      <c r="Y106" s="131" t="s">
        <v>237</v>
      </c>
      <c r="Z106" s="131" t="s">
        <v>237</v>
      </c>
      <c r="AA106" s="131" t="s">
        <v>237</v>
      </c>
      <c r="AB106" s="131" t="s">
        <v>237</v>
      </c>
      <c r="AC106" s="131" t="s">
        <v>237</v>
      </c>
      <c r="AD106" s="131" t="s">
        <v>237</v>
      </c>
      <c r="AE106" s="131" t="s">
        <v>237</v>
      </c>
      <c r="AF106" s="131" t="s">
        <v>237</v>
      </c>
      <c r="AG106" s="131" t="s">
        <v>237</v>
      </c>
      <c r="AH106" s="131" t="s">
        <v>237</v>
      </c>
    </row>
    <row r="107" spans="2:34" hidden="1" outlineLevel="1">
      <c r="B107" s="3"/>
    </row>
    <row r="108" spans="2:34" ht="43.8" hidden="1" outlineLevel="1" thickBot="1">
      <c r="B108" s="127" t="str">
        <f t="shared" ref="B108:D108" si="2">B56</f>
        <v>ISO country code</v>
      </c>
      <c r="C108" s="314" t="str">
        <f t="shared" si="2"/>
        <v>Average default rate</v>
      </c>
      <c r="D108" s="135">
        <f t="shared" si="2"/>
        <v>1994</v>
      </c>
      <c r="E108" s="128">
        <f t="shared" ref="E108:AH108" si="3">E56</f>
        <v>1995</v>
      </c>
      <c r="F108" s="128">
        <f t="shared" si="3"/>
        <v>1996</v>
      </c>
      <c r="G108" s="128">
        <f t="shared" si="3"/>
        <v>1997</v>
      </c>
      <c r="H108" s="128">
        <f t="shared" si="3"/>
        <v>1998</v>
      </c>
      <c r="I108" s="128">
        <f t="shared" si="3"/>
        <v>1999</v>
      </c>
      <c r="J108" s="128">
        <f t="shared" si="3"/>
        <v>2000</v>
      </c>
      <c r="K108" s="128">
        <f t="shared" si="3"/>
        <v>2001</v>
      </c>
      <c r="L108" s="128">
        <f t="shared" si="3"/>
        <v>2002</v>
      </c>
      <c r="M108" s="128">
        <f t="shared" si="3"/>
        <v>2003</v>
      </c>
      <c r="N108" s="128">
        <f t="shared" si="3"/>
        <v>2004</v>
      </c>
      <c r="O108" s="128">
        <f t="shared" si="3"/>
        <v>2005</v>
      </c>
      <c r="P108" s="128">
        <f t="shared" si="3"/>
        <v>2006</v>
      </c>
      <c r="Q108" s="128">
        <f t="shared" si="3"/>
        <v>2007</v>
      </c>
      <c r="R108" s="128">
        <f t="shared" si="3"/>
        <v>2008</v>
      </c>
      <c r="S108" s="128">
        <f t="shared" si="3"/>
        <v>2009</v>
      </c>
      <c r="T108" s="128">
        <f t="shared" si="3"/>
        <v>2010</v>
      </c>
      <c r="U108" s="128">
        <f t="shared" si="3"/>
        <v>2011</v>
      </c>
      <c r="V108" s="128">
        <f t="shared" si="3"/>
        <v>2012</v>
      </c>
      <c r="W108" s="128">
        <f t="shared" si="3"/>
        <v>2013</v>
      </c>
      <c r="X108" s="128">
        <f t="shared" si="3"/>
        <v>2014</v>
      </c>
      <c r="Y108" s="128">
        <f t="shared" si="3"/>
        <v>2015</v>
      </c>
      <c r="Z108" s="128">
        <f t="shared" si="3"/>
        <v>2016</v>
      </c>
      <c r="AA108" s="128">
        <f t="shared" si="3"/>
        <v>2017</v>
      </c>
      <c r="AB108" s="128">
        <f t="shared" si="3"/>
        <v>2018</v>
      </c>
      <c r="AC108" s="128">
        <f t="shared" si="3"/>
        <v>2019</v>
      </c>
      <c r="AD108" s="128">
        <f t="shared" si="3"/>
        <v>2020</v>
      </c>
      <c r="AE108" s="128">
        <f t="shared" si="3"/>
        <v>2021</v>
      </c>
      <c r="AF108" s="128">
        <f t="shared" si="3"/>
        <v>2022</v>
      </c>
      <c r="AG108" s="128">
        <f t="shared" si="3"/>
        <v>2023</v>
      </c>
      <c r="AH108" s="129">
        <f t="shared" si="3"/>
        <v>2024</v>
      </c>
    </row>
    <row r="109" spans="2:34" hidden="1" outlineLevel="1">
      <c r="B109" s="87">
        <v>0</v>
      </c>
      <c r="C109" s="133">
        <v>0</v>
      </c>
      <c r="D109" s="51" t="s">
        <v>237</v>
      </c>
      <c r="E109" s="131" t="s">
        <v>237</v>
      </c>
      <c r="F109" s="131" t="s">
        <v>237</v>
      </c>
      <c r="G109" s="131" t="s">
        <v>237</v>
      </c>
      <c r="H109" s="131" t="s">
        <v>237</v>
      </c>
      <c r="I109" s="131" t="s">
        <v>237</v>
      </c>
      <c r="J109" s="131" t="s">
        <v>237</v>
      </c>
      <c r="K109" s="131" t="s">
        <v>237</v>
      </c>
      <c r="L109" s="131" t="s">
        <v>237</v>
      </c>
      <c r="M109" s="131" t="s">
        <v>237</v>
      </c>
      <c r="N109" s="131" t="s">
        <v>237</v>
      </c>
      <c r="O109" s="131" t="s">
        <v>237</v>
      </c>
      <c r="P109" s="131" t="s">
        <v>237</v>
      </c>
      <c r="Q109" s="131" t="s">
        <v>237</v>
      </c>
      <c r="R109" s="131" t="s">
        <v>237</v>
      </c>
      <c r="S109" s="131" t="s">
        <v>237</v>
      </c>
      <c r="T109" s="131" t="s">
        <v>237</v>
      </c>
      <c r="U109" s="131" t="s">
        <v>237</v>
      </c>
      <c r="V109" s="131" t="s">
        <v>237</v>
      </c>
      <c r="W109" s="131" t="s">
        <v>237</v>
      </c>
      <c r="X109" s="131" t="s">
        <v>237</v>
      </c>
      <c r="Y109" s="131" t="s">
        <v>237</v>
      </c>
      <c r="Z109" s="131" t="s">
        <v>237</v>
      </c>
      <c r="AA109" s="131" t="s">
        <v>237</v>
      </c>
      <c r="AB109" s="131" t="s">
        <v>237</v>
      </c>
      <c r="AC109" s="131" t="s">
        <v>237</v>
      </c>
      <c r="AD109" s="131" t="s">
        <v>237</v>
      </c>
      <c r="AE109" s="131" t="s">
        <v>237</v>
      </c>
      <c r="AF109" s="131" t="s">
        <v>237</v>
      </c>
      <c r="AG109" s="131" t="s">
        <v>237</v>
      </c>
      <c r="AH109" s="131" t="s">
        <v>237</v>
      </c>
    </row>
    <row r="110" spans="2:34" hidden="1" outlineLevel="1">
      <c r="B110" s="87">
        <v>0</v>
      </c>
      <c r="C110" s="133">
        <v>0</v>
      </c>
      <c r="D110" s="51" t="s">
        <v>237</v>
      </c>
      <c r="E110" s="131" t="s">
        <v>237</v>
      </c>
      <c r="F110" s="131" t="s">
        <v>237</v>
      </c>
      <c r="G110" s="131" t="s">
        <v>237</v>
      </c>
      <c r="H110" s="131" t="s">
        <v>237</v>
      </c>
      <c r="I110" s="131" t="s">
        <v>237</v>
      </c>
      <c r="J110" s="131" t="s">
        <v>237</v>
      </c>
      <c r="K110" s="131" t="s">
        <v>237</v>
      </c>
      <c r="L110" s="131" t="s">
        <v>237</v>
      </c>
      <c r="M110" s="131" t="s">
        <v>237</v>
      </c>
      <c r="N110" s="131" t="s">
        <v>237</v>
      </c>
      <c r="O110" s="131" t="s">
        <v>237</v>
      </c>
      <c r="P110" s="131" t="s">
        <v>237</v>
      </c>
      <c r="Q110" s="131" t="s">
        <v>237</v>
      </c>
      <c r="R110" s="131" t="s">
        <v>237</v>
      </c>
      <c r="S110" s="131" t="s">
        <v>237</v>
      </c>
      <c r="T110" s="131" t="s">
        <v>237</v>
      </c>
      <c r="U110" s="131" t="s">
        <v>237</v>
      </c>
      <c r="V110" s="131" t="s">
        <v>237</v>
      </c>
      <c r="W110" s="131" t="s">
        <v>237</v>
      </c>
      <c r="X110" s="131" t="s">
        <v>237</v>
      </c>
      <c r="Y110" s="131" t="s">
        <v>237</v>
      </c>
      <c r="Z110" s="131" t="s">
        <v>237</v>
      </c>
      <c r="AA110" s="131" t="s">
        <v>237</v>
      </c>
      <c r="AB110" s="131" t="s">
        <v>237</v>
      </c>
      <c r="AC110" s="131" t="s">
        <v>237</v>
      </c>
      <c r="AD110" s="131" t="s">
        <v>237</v>
      </c>
      <c r="AE110" s="131" t="s">
        <v>237</v>
      </c>
      <c r="AF110" s="131" t="s">
        <v>237</v>
      </c>
      <c r="AG110" s="131" t="s">
        <v>237</v>
      </c>
      <c r="AH110" s="131" t="s">
        <v>237</v>
      </c>
    </row>
    <row r="111" spans="2:34" hidden="1" outlineLevel="1">
      <c r="B111" s="87">
        <v>0</v>
      </c>
      <c r="C111" s="133">
        <v>0</v>
      </c>
      <c r="D111" s="51" t="s">
        <v>237</v>
      </c>
      <c r="E111" s="131" t="s">
        <v>237</v>
      </c>
      <c r="F111" s="131" t="s">
        <v>237</v>
      </c>
      <c r="G111" s="131" t="s">
        <v>237</v>
      </c>
      <c r="H111" s="131" t="s">
        <v>237</v>
      </c>
      <c r="I111" s="131" t="s">
        <v>237</v>
      </c>
      <c r="J111" s="131" t="s">
        <v>237</v>
      </c>
      <c r="K111" s="131" t="s">
        <v>237</v>
      </c>
      <c r="L111" s="131" t="s">
        <v>237</v>
      </c>
      <c r="M111" s="131" t="s">
        <v>237</v>
      </c>
      <c r="N111" s="131" t="s">
        <v>237</v>
      </c>
      <c r="O111" s="131" t="s">
        <v>237</v>
      </c>
      <c r="P111" s="131" t="s">
        <v>237</v>
      </c>
      <c r="Q111" s="131" t="s">
        <v>237</v>
      </c>
      <c r="R111" s="131" t="s">
        <v>237</v>
      </c>
      <c r="S111" s="131" t="s">
        <v>237</v>
      </c>
      <c r="T111" s="131" t="s">
        <v>237</v>
      </c>
      <c r="U111" s="131" t="s">
        <v>237</v>
      </c>
      <c r="V111" s="131" t="s">
        <v>237</v>
      </c>
      <c r="W111" s="131" t="s">
        <v>237</v>
      </c>
      <c r="X111" s="131" t="s">
        <v>237</v>
      </c>
      <c r="Y111" s="131" t="s">
        <v>237</v>
      </c>
      <c r="Z111" s="131" t="s">
        <v>237</v>
      </c>
      <c r="AA111" s="131" t="s">
        <v>237</v>
      </c>
      <c r="AB111" s="131" t="s">
        <v>237</v>
      </c>
      <c r="AC111" s="131" t="s">
        <v>237</v>
      </c>
      <c r="AD111" s="131" t="s">
        <v>237</v>
      </c>
      <c r="AE111" s="131" t="s">
        <v>237</v>
      </c>
      <c r="AF111" s="131" t="s">
        <v>237</v>
      </c>
      <c r="AG111" s="131" t="s">
        <v>237</v>
      </c>
      <c r="AH111" s="131" t="s">
        <v>237</v>
      </c>
    </row>
    <row r="112" spans="2:34" hidden="1" outlineLevel="1">
      <c r="B112" s="87">
        <v>0</v>
      </c>
      <c r="C112" s="133">
        <v>0</v>
      </c>
      <c r="D112" s="51" t="s">
        <v>237</v>
      </c>
      <c r="E112" s="131" t="s">
        <v>237</v>
      </c>
      <c r="F112" s="131" t="s">
        <v>237</v>
      </c>
      <c r="G112" s="131" t="s">
        <v>237</v>
      </c>
      <c r="H112" s="131" t="s">
        <v>237</v>
      </c>
      <c r="I112" s="131" t="s">
        <v>237</v>
      </c>
      <c r="J112" s="131" t="s">
        <v>237</v>
      </c>
      <c r="K112" s="131" t="s">
        <v>237</v>
      </c>
      <c r="L112" s="131" t="s">
        <v>237</v>
      </c>
      <c r="M112" s="131" t="s">
        <v>237</v>
      </c>
      <c r="N112" s="131" t="s">
        <v>237</v>
      </c>
      <c r="O112" s="131" t="s">
        <v>237</v>
      </c>
      <c r="P112" s="131" t="s">
        <v>237</v>
      </c>
      <c r="Q112" s="131" t="s">
        <v>237</v>
      </c>
      <c r="R112" s="131" t="s">
        <v>237</v>
      </c>
      <c r="S112" s="131" t="s">
        <v>237</v>
      </c>
      <c r="T112" s="131" t="s">
        <v>237</v>
      </c>
      <c r="U112" s="131" t="s">
        <v>237</v>
      </c>
      <c r="V112" s="131" t="s">
        <v>237</v>
      </c>
      <c r="W112" s="131" t="s">
        <v>237</v>
      </c>
      <c r="X112" s="131" t="s">
        <v>237</v>
      </c>
      <c r="Y112" s="131" t="s">
        <v>237</v>
      </c>
      <c r="Z112" s="131" t="s">
        <v>237</v>
      </c>
      <c r="AA112" s="131" t="s">
        <v>237</v>
      </c>
      <c r="AB112" s="131" t="s">
        <v>237</v>
      </c>
      <c r="AC112" s="131" t="s">
        <v>237</v>
      </c>
      <c r="AD112" s="131" t="s">
        <v>237</v>
      </c>
      <c r="AE112" s="131" t="s">
        <v>237</v>
      </c>
      <c r="AF112" s="131" t="s">
        <v>237</v>
      </c>
      <c r="AG112" s="131" t="s">
        <v>237</v>
      </c>
      <c r="AH112" s="131" t="s">
        <v>237</v>
      </c>
    </row>
    <row r="113" spans="2:34" hidden="1" outlineLevel="1">
      <c r="B113" s="87">
        <v>0</v>
      </c>
      <c r="C113" s="133">
        <v>0</v>
      </c>
      <c r="D113" s="51" t="s">
        <v>237</v>
      </c>
      <c r="E113" s="131" t="s">
        <v>237</v>
      </c>
      <c r="F113" s="131" t="s">
        <v>237</v>
      </c>
      <c r="G113" s="131" t="s">
        <v>237</v>
      </c>
      <c r="H113" s="131" t="s">
        <v>237</v>
      </c>
      <c r="I113" s="131" t="s">
        <v>237</v>
      </c>
      <c r="J113" s="131" t="s">
        <v>237</v>
      </c>
      <c r="K113" s="131" t="s">
        <v>237</v>
      </c>
      <c r="L113" s="131" t="s">
        <v>237</v>
      </c>
      <c r="M113" s="131" t="s">
        <v>237</v>
      </c>
      <c r="N113" s="131" t="s">
        <v>237</v>
      </c>
      <c r="O113" s="131" t="s">
        <v>237</v>
      </c>
      <c r="P113" s="131" t="s">
        <v>237</v>
      </c>
      <c r="Q113" s="131" t="s">
        <v>237</v>
      </c>
      <c r="R113" s="131" t="s">
        <v>237</v>
      </c>
      <c r="S113" s="131" t="s">
        <v>237</v>
      </c>
      <c r="T113" s="131" t="s">
        <v>237</v>
      </c>
      <c r="U113" s="131" t="s">
        <v>237</v>
      </c>
      <c r="V113" s="131" t="s">
        <v>237</v>
      </c>
      <c r="W113" s="131" t="s">
        <v>237</v>
      </c>
      <c r="X113" s="131" t="s">
        <v>237</v>
      </c>
      <c r="Y113" s="131" t="s">
        <v>237</v>
      </c>
      <c r="Z113" s="131" t="s">
        <v>237</v>
      </c>
      <c r="AA113" s="131" t="s">
        <v>237</v>
      </c>
      <c r="AB113" s="131" t="s">
        <v>237</v>
      </c>
      <c r="AC113" s="131" t="s">
        <v>237</v>
      </c>
      <c r="AD113" s="131" t="s">
        <v>237</v>
      </c>
      <c r="AE113" s="131" t="s">
        <v>237</v>
      </c>
      <c r="AF113" s="131" t="s">
        <v>237</v>
      </c>
      <c r="AG113" s="131" t="s">
        <v>237</v>
      </c>
      <c r="AH113" s="131" t="s">
        <v>237</v>
      </c>
    </row>
    <row r="114" spans="2:34" hidden="1" outlineLevel="1">
      <c r="B114" s="87">
        <v>0</v>
      </c>
      <c r="C114" s="133">
        <v>0</v>
      </c>
      <c r="D114" s="51" t="s">
        <v>237</v>
      </c>
      <c r="E114" s="131" t="s">
        <v>237</v>
      </c>
      <c r="F114" s="131" t="s">
        <v>237</v>
      </c>
      <c r="G114" s="131" t="s">
        <v>237</v>
      </c>
      <c r="H114" s="131" t="s">
        <v>237</v>
      </c>
      <c r="I114" s="131" t="s">
        <v>237</v>
      </c>
      <c r="J114" s="131" t="s">
        <v>237</v>
      </c>
      <c r="K114" s="131" t="s">
        <v>237</v>
      </c>
      <c r="L114" s="131" t="s">
        <v>237</v>
      </c>
      <c r="M114" s="131" t="s">
        <v>237</v>
      </c>
      <c r="N114" s="131" t="s">
        <v>237</v>
      </c>
      <c r="O114" s="131" t="s">
        <v>237</v>
      </c>
      <c r="P114" s="131" t="s">
        <v>237</v>
      </c>
      <c r="Q114" s="131" t="s">
        <v>237</v>
      </c>
      <c r="R114" s="131" t="s">
        <v>237</v>
      </c>
      <c r="S114" s="131" t="s">
        <v>237</v>
      </c>
      <c r="T114" s="131" t="s">
        <v>237</v>
      </c>
      <c r="U114" s="131" t="s">
        <v>237</v>
      </c>
      <c r="V114" s="131" t="s">
        <v>237</v>
      </c>
      <c r="W114" s="131" t="s">
        <v>237</v>
      </c>
      <c r="X114" s="131" t="s">
        <v>237</v>
      </c>
      <c r="Y114" s="131" t="s">
        <v>237</v>
      </c>
      <c r="Z114" s="131" t="s">
        <v>237</v>
      </c>
      <c r="AA114" s="131" t="s">
        <v>237</v>
      </c>
      <c r="AB114" s="131" t="s">
        <v>237</v>
      </c>
      <c r="AC114" s="131" t="s">
        <v>237</v>
      </c>
      <c r="AD114" s="131" t="s">
        <v>237</v>
      </c>
      <c r="AE114" s="131" t="s">
        <v>237</v>
      </c>
      <c r="AF114" s="131" t="s">
        <v>237</v>
      </c>
      <c r="AG114" s="131" t="s">
        <v>237</v>
      </c>
      <c r="AH114" s="131" t="s">
        <v>237</v>
      </c>
    </row>
    <row r="115" spans="2:34" hidden="1" outlineLevel="1">
      <c r="B115" s="87">
        <v>0</v>
      </c>
      <c r="C115" s="133">
        <v>0</v>
      </c>
      <c r="D115" s="51" t="s">
        <v>237</v>
      </c>
      <c r="E115" s="131" t="s">
        <v>237</v>
      </c>
      <c r="F115" s="131" t="s">
        <v>237</v>
      </c>
      <c r="G115" s="131" t="s">
        <v>237</v>
      </c>
      <c r="H115" s="131" t="s">
        <v>237</v>
      </c>
      <c r="I115" s="131" t="s">
        <v>237</v>
      </c>
      <c r="J115" s="131" t="s">
        <v>237</v>
      </c>
      <c r="K115" s="131" t="s">
        <v>237</v>
      </c>
      <c r="L115" s="131" t="s">
        <v>237</v>
      </c>
      <c r="M115" s="131" t="s">
        <v>237</v>
      </c>
      <c r="N115" s="131" t="s">
        <v>237</v>
      </c>
      <c r="O115" s="131" t="s">
        <v>237</v>
      </c>
      <c r="P115" s="131" t="s">
        <v>237</v>
      </c>
      <c r="Q115" s="131" t="s">
        <v>237</v>
      </c>
      <c r="R115" s="131" t="s">
        <v>237</v>
      </c>
      <c r="S115" s="131" t="s">
        <v>237</v>
      </c>
      <c r="T115" s="131" t="s">
        <v>237</v>
      </c>
      <c r="U115" s="131" t="s">
        <v>237</v>
      </c>
      <c r="V115" s="131" t="s">
        <v>237</v>
      </c>
      <c r="W115" s="131" t="s">
        <v>237</v>
      </c>
      <c r="X115" s="131" t="s">
        <v>237</v>
      </c>
      <c r="Y115" s="131" t="s">
        <v>237</v>
      </c>
      <c r="Z115" s="131" t="s">
        <v>237</v>
      </c>
      <c r="AA115" s="131" t="s">
        <v>237</v>
      </c>
      <c r="AB115" s="131" t="s">
        <v>237</v>
      </c>
      <c r="AC115" s="131" t="s">
        <v>237</v>
      </c>
      <c r="AD115" s="131" t="s">
        <v>237</v>
      </c>
      <c r="AE115" s="131" t="s">
        <v>237</v>
      </c>
      <c r="AF115" s="131" t="s">
        <v>237</v>
      </c>
      <c r="AG115" s="131" t="s">
        <v>237</v>
      </c>
      <c r="AH115" s="131" t="s">
        <v>237</v>
      </c>
    </row>
    <row r="116" spans="2:34" hidden="1" outlineLevel="1">
      <c r="B116" s="87">
        <v>0</v>
      </c>
      <c r="C116" s="133">
        <v>0</v>
      </c>
      <c r="D116" s="51" t="s">
        <v>237</v>
      </c>
      <c r="E116" s="131" t="s">
        <v>237</v>
      </c>
      <c r="F116" s="131" t="s">
        <v>237</v>
      </c>
      <c r="G116" s="131" t="s">
        <v>237</v>
      </c>
      <c r="H116" s="131" t="s">
        <v>237</v>
      </c>
      <c r="I116" s="131" t="s">
        <v>237</v>
      </c>
      <c r="J116" s="131" t="s">
        <v>237</v>
      </c>
      <c r="K116" s="131" t="s">
        <v>237</v>
      </c>
      <c r="L116" s="131" t="s">
        <v>237</v>
      </c>
      <c r="M116" s="131" t="s">
        <v>237</v>
      </c>
      <c r="N116" s="131" t="s">
        <v>237</v>
      </c>
      <c r="O116" s="131" t="s">
        <v>237</v>
      </c>
      <c r="P116" s="131" t="s">
        <v>237</v>
      </c>
      <c r="Q116" s="131" t="s">
        <v>237</v>
      </c>
      <c r="R116" s="131" t="s">
        <v>237</v>
      </c>
      <c r="S116" s="131" t="s">
        <v>237</v>
      </c>
      <c r="T116" s="131" t="s">
        <v>237</v>
      </c>
      <c r="U116" s="131" t="s">
        <v>237</v>
      </c>
      <c r="V116" s="131" t="s">
        <v>237</v>
      </c>
      <c r="W116" s="131" t="s">
        <v>237</v>
      </c>
      <c r="X116" s="131" t="s">
        <v>237</v>
      </c>
      <c r="Y116" s="131" t="s">
        <v>237</v>
      </c>
      <c r="Z116" s="131" t="s">
        <v>237</v>
      </c>
      <c r="AA116" s="131" t="s">
        <v>237</v>
      </c>
      <c r="AB116" s="131" t="s">
        <v>237</v>
      </c>
      <c r="AC116" s="131" t="s">
        <v>237</v>
      </c>
      <c r="AD116" s="131" t="s">
        <v>237</v>
      </c>
      <c r="AE116" s="131" t="s">
        <v>237</v>
      </c>
      <c r="AF116" s="131" t="s">
        <v>237</v>
      </c>
      <c r="AG116" s="131" t="s">
        <v>237</v>
      </c>
      <c r="AH116" s="131" t="s">
        <v>237</v>
      </c>
    </row>
    <row r="117" spans="2:34" hidden="1" outlineLevel="1">
      <c r="B117" s="87">
        <v>0</v>
      </c>
      <c r="C117" s="133">
        <v>0</v>
      </c>
      <c r="D117" s="51" t="s">
        <v>237</v>
      </c>
      <c r="E117" s="131" t="s">
        <v>237</v>
      </c>
      <c r="F117" s="131" t="s">
        <v>237</v>
      </c>
      <c r="G117" s="131" t="s">
        <v>237</v>
      </c>
      <c r="H117" s="131" t="s">
        <v>237</v>
      </c>
      <c r="I117" s="131" t="s">
        <v>237</v>
      </c>
      <c r="J117" s="131" t="s">
        <v>237</v>
      </c>
      <c r="K117" s="131" t="s">
        <v>237</v>
      </c>
      <c r="L117" s="131" t="s">
        <v>237</v>
      </c>
      <c r="M117" s="131" t="s">
        <v>237</v>
      </c>
      <c r="N117" s="131" t="s">
        <v>237</v>
      </c>
      <c r="O117" s="131" t="s">
        <v>237</v>
      </c>
      <c r="P117" s="131" t="s">
        <v>237</v>
      </c>
      <c r="Q117" s="131" t="s">
        <v>237</v>
      </c>
      <c r="R117" s="131" t="s">
        <v>237</v>
      </c>
      <c r="S117" s="131" t="s">
        <v>237</v>
      </c>
      <c r="T117" s="131" t="s">
        <v>237</v>
      </c>
      <c r="U117" s="131" t="s">
        <v>237</v>
      </c>
      <c r="V117" s="131" t="s">
        <v>237</v>
      </c>
      <c r="W117" s="131" t="s">
        <v>237</v>
      </c>
      <c r="X117" s="131" t="s">
        <v>237</v>
      </c>
      <c r="Y117" s="131" t="s">
        <v>237</v>
      </c>
      <c r="Z117" s="131" t="s">
        <v>237</v>
      </c>
      <c r="AA117" s="131" t="s">
        <v>237</v>
      </c>
      <c r="AB117" s="131" t="s">
        <v>237</v>
      </c>
      <c r="AC117" s="131" t="s">
        <v>237</v>
      </c>
      <c r="AD117" s="131" t="s">
        <v>237</v>
      </c>
      <c r="AE117" s="131" t="s">
        <v>237</v>
      </c>
      <c r="AF117" s="131" t="s">
        <v>237</v>
      </c>
      <c r="AG117" s="131" t="s">
        <v>237</v>
      </c>
      <c r="AH117" s="131" t="s">
        <v>237</v>
      </c>
    </row>
    <row r="118" spans="2:34" hidden="1" outlineLevel="1">
      <c r="B118" s="87">
        <v>0</v>
      </c>
      <c r="C118" s="133">
        <v>0</v>
      </c>
      <c r="D118" s="51" t="s">
        <v>237</v>
      </c>
      <c r="E118" s="131" t="s">
        <v>237</v>
      </c>
      <c r="F118" s="131" t="s">
        <v>237</v>
      </c>
      <c r="G118" s="131" t="s">
        <v>237</v>
      </c>
      <c r="H118" s="131" t="s">
        <v>237</v>
      </c>
      <c r="I118" s="131" t="s">
        <v>237</v>
      </c>
      <c r="J118" s="131" t="s">
        <v>237</v>
      </c>
      <c r="K118" s="131" t="s">
        <v>237</v>
      </c>
      <c r="L118" s="131" t="s">
        <v>237</v>
      </c>
      <c r="M118" s="131" t="s">
        <v>237</v>
      </c>
      <c r="N118" s="131" t="s">
        <v>237</v>
      </c>
      <c r="O118" s="131" t="s">
        <v>237</v>
      </c>
      <c r="P118" s="131" t="s">
        <v>237</v>
      </c>
      <c r="Q118" s="131" t="s">
        <v>237</v>
      </c>
      <c r="R118" s="131" t="s">
        <v>237</v>
      </c>
      <c r="S118" s="131" t="s">
        <v>237</v>
      </c>
      <c r="T118" s="131" t="s">
        <v>237</v>
      </c>
      <c r="U118" s="131" t="s">
        <v>237</v>
      </c>
      <c r="V118" s="131" t="s">
        <v>237</v>
      </c>
      <c r="W118" s="131" t="s">
        <v>237</v>
      </c>
      <c r="X118" s="131" t="s">
        <v>237</v>
      </c>
      <c r="Y118" s="131" t="s">
        <v>237</v>
      </c>
      <c r="Z118" s="131" t="s">
        <v>237</v>
      </c>
      <c r="AA118" s="131" t="s">
        <v>237</v>
      </c>
      <c r="AB118" s="131" t="s">
        <v>237</v>
      </c>
      <c r="AC118" s="131" t="s">
        <v>237</v>
      </c>
      <c r="AD118" s="131" t="s">
        <v>237</v>
      </c>
      <c r="AE118" s="131" t="s">
        <v>237</v>
      </c>
      <c r="AF118" s="131" t="s">
        <v>237</v>
      </c>
      <c r="AG118" s="131" t="s">
        <v>237</v>
      </c>
      <c r="AH118" s="131" t="s">
        <v>237</v>
      </c>
    </row>
    <row r="119" spans="2:34" hidden="1" outlineLevel="1">
      <c r="B119" s="87">
        <v>0</v>
      </c>
      <c r="C119" s="133">
        <v>0</v>
      </c>
      <c r="D119" s="51" t="s">
        <v>237</v>
      </c>
      <c r="E119" s="131" t="s">
        <v>237</v>
      </c>
      <c r="F119" s="131" t="s">
        <v>237</v>
      </c>
      <c r="G119" s="131" t="s">
        <v>237</v>
      </c>
      <c r="H119" s="131" t="s">
        <v>237</v>
      </c>
      <c r="I119" s="131" t="s">
        <v>237</v>
      </c>
      <c r="J119" s="131" t="s">
        <v>237</v>
      </c>
      <c r="K119" s="131" t="s">
        <v>237</v>
      </c>
      <c r="L119" s="131" t="s">
        <v>237</v>
      </c>
      <c r="M119" s="131" t="s">
        <v>237</v>
      </c>
      <c r="N119" s="131" t="s">
        <v>237</v>
      </c>
      <c r="O119" s="131" t="s">
        <v>237</v>
      </c>
      <c r="P119" s="131" t="s">
        <v>237</v>
      </c>
      <c r="Q119" s="131" t="s">
        <v>237</v>
      </c>
      <c r="R119" s="131" t="s">
        <v>237</v>
      </c>
      <c r="S119" s="131" t="s">
        <v>237</v>
      </c>
      <c r="T119" s="131" t="s">
        <v>237</v>
      </c>
      <c r="U119" s="131" t="s">
        <v>237</v>
      </c>
      <c r="V119" s="131" t="s">
        <v>237</v>
      </c>
      <c r="W119" s="131" t="s">
        <v>237</v>
      </c>
      <c r="X119" s="131" t="s">
        <v>237</v>
      </c>
      <c r="Y119" s="131" t="s">
        <v>237</v>
      </c>
      <c r="Z119" s="131" t="s">
        <v>237</v>
      </c>
      <c r="AA119" s="131" t="s">
        <v>237</v>
      </c>
      <c r="AB119" s="131" t="s">
        <v>237</v>
      </c>
      <c r="AC119" s="131" t="s">
        <v>237</v>
      </c>
      <c r="AD119" s="131" t="s">
        <v>237</v>
      </c>
      <c r="AE119" s="131" t="s">
        <v>237</v>
      </c>
      <c r="AF119" s="131" t="s">
        <v>237</v>
      </c>
      <c r="AG119" s="131" t="s">
        <v>237</v>
      </c>
      <c r="AH119" s="131" t="s">
        <v>237</v>
      </c>
    </row>
    <row r="120" spans="2:34" collapsed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8BD07-BB5A-4634-AA7E-0B1F0A14992C}">
  <dimension ref="A1:Q94"/>
  <sheetViews>
    <sheetView workbookViewId="0"/>
  </sheetViews>
  <sheetFormatPr defaultColWidth="9.296875" defaultRowHeight="14.4" outlineLevelRow="1"/>
  <cols>
    <col min="1" max="1" width="9" style="3" customWidth="1"/>
    <col min="2" max="2" width="2.296875" style="3" customWidth="1"/>
    <col min="3" max="3" width="30" style="4" bestFit="1" customWidth="1"/>
    <col min="4" max="4" width="12" style="5" customWidth="1"/>
    <col min="5" max="5" width="12.296875" style="8" customWidth="1"/>
    <col min="6" max="6" width="11" style="8" customWidth="1"/>
    <col min="7" max="7" width="11.09765625" style="8" customWidth="1"/>
    <col min="8" max="8" width="10.09765625" style="8" customWidth="1"/>
    <col min="9" max="11" width="11" style="8" customWidth="1"/>
    <col min="12" max="12" width="11.59765625" style="8" customWidth="1"/>
    <col min="13" max="16" width="11" style="3" customWidth="1"/>
    <col min="17" max="17" width="8.69921875" style="3" customWidth="1"/>
    <col min="18" max="16384" width="9.296875" style="3"/>
  </cols>
  <sheetData>
    <row r="1" spans="1:17">
      <c r="D1" s="7"/>
      <c r="M1" s="8"/>
      <c r="N1" s="8"/>
      <c r="O1" s="8"/>
      <c r="P1" s="8"/>
      <c r="Q1" s="8"/>
    </row>
    <row r="2" spans="1:17" ht="15.6">
      <c r="C2" s="583" t="s">
        <v>414</v>
      </c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>
      <c r="D3" s="7"/>
      <c r="M3" s="8"/>
      <c r="N3" s="8"/>
      <c r="O3" s="8"/>
      <c r="P3" s="8"/>
      <c r="Q3" s="8"/>
    </row>
    <row r="4" spans="1:17" ht="45.75" customHeight="1">
      <c r="C4" s="414" t="s">
        <v>125</v>
      </c>
      <c r="D4" s="476" t="s">
        <v>55</v>
      </c>
      <c r="E4" s="476" t="s">
        <v>56</v>
      </c>
      <c r="F4" s="476" t="s">
        <v>57</v>
      </c>
      <c r="G4" s="476" t="s">
        <v>58</v>
      </c>
      <c r="H4" s="476" t="s">
        <v>59</v>
      </c>
      <c r="I4" s="476" t="s">
        <v>60</v>
      </c>
      <c r="J4" s="476" t="s">
        <v>61</v>
      </c>
      <c r="K4" s="476" t="s">
        <v>62</v>
      </c>
      <c r="L4" s="476" t="s">
        <v>63</v>
      </c>
      <c r="M4" s="476" t="s">
        <v>64</v>
      </c>
      <c r="N4" s="476" t="s">
        <v>65</v>
      </c>
      <c r="O4" s="476" t="s">
        <v>66</v>
      </c>
      <c r="P4" s="476" t="s">
        <v>82</v>
      </c>
    </row>
    <row r="5" spans="1:17" s="17" customFormat="1" ht="19.2" customHeight="1">
      <c r="A5" s="3"/>
      <c r="B5" s="3"/>
      <c r="C5" s="324" t="s">
        <v>434</v>
      </c>
      <c r="D5" s="318" t="s">
        <v>237</v>
      </c>
      <c r="E5" s="318" t="s">
        <v>237</v>
      </c>
      <c r="F5" s="318" t="s">
        <v>237</v>
      </c>
      <c r="G5" s="318">
        <v>0.74279757514370914</v>
      </c>
      <c r="H5" s="318" t="s">
        <v>237</v>
      </c>
      <c r="I5" s="318" t="s">
        <v>237</v>
      </c>
      <c r="J5" s="318" t="s">
        <v>237</v>
      </c>
      <c r="K5" s="318" t="s">
        <v>237</v>
      </c>
      <c r="L5" s="318" t="s">
        <v>237</v>
      </c>
      <c r="M5" s="318" t="s">
        <v>237</v>
      </c>
      <c r="N5" s="318" t="s">
        <v>237</v>
      </c>
      <c r="O5" s="318">
        <v>0.89779312791859855</v>
      </c>
      <c r="P5" s="318" t="s">
        <v>237</v>
      </c>
    </row>
    <row r="6" spans="1:17" s="17" customFormat="1" ht="19.2" customHeight="1">
      <c r="A6" s="3"/>
      <c r="B6" s="3"/>
      <c r="C6" s="325" t="s">
        <v>435</v>
      </c>
      <c r="D6" s="316" t="s">
        <v>237</v>
      </c>
      <c r="E6" s="316" t="s">
        <v>237</v>
      </c>
      <c r="F6" s="316" t="s">
        <v>237</v>
      </c>
      <c r="G6" s="316" t="s">
        <v>237</v>
      </c>
      <c r="H6" s="316" t="s">
        <v>237</v>
      </c>
      <c r="I6" s="316">
        <v>0.7010581135248064</v>
      </c>
      <c r="J6" s="316" t="s">
        <v>237</v>
      </c>
      <c r="K6" s="316" t="s">
        <v>237</v>
      </c>
      <c r="L6" s="316" t="s">
        <v>237</v>
      </c>
      <c r="M6" s="316" t="s">
        <v>237</v>
      </c>
      <c r="N6" s="316" t="s">
        <v>237</v>
      </c>
      <c r="O6" s="316" t="s">
        <v>237</v>
      </c>
      <c r="P6" s="316" t="s">
        <v>237</v>
      </c>
    </row>
    <row r="7" spans="1:17" s="17" customFormat="1" ht="19.2" customHeight="1">
      <c r="A7" s="3"/>
      <c r="B7" s="3"/>
      <c r="C7" s="324" t="s">
        <v>438</v>
      </c>
      <c r="D7" s="318" t="s">
        <v>237</v>
      </c>
      <c r="E7" s="318" t="s">
        <v>237</v>
      </c>
      <c r="F7" s="318" t="s">
        <v>237</v>
      </c>
      <c r="G7" s="318" t="s">
        <v>237</v>
      </c>
      <c r="H7" s="318" t="s">
        <v>237</v>
      </c>
      <c r="I7" s="318">
        <v>0.98773484065005468</v>
      </c>
      <c r="J7" s="318" t="s">
        <v>237</v>
      </c>
      <c r="K7" s="318" t="s">
        <v>237</v>
      </c>
      <c r="L7" s="318" t="s">
        <v>237</v>
      </c>
      <c r="M7" s="318" t="s">
        <v>237</v>
      </c>
      <c r="N7" s="318" t="s">
        <v>237</v>
      </c>
      <c r="O7" s="318" t="s">
        <v>237</v>
      </c>
      <c r="P7" s="318" t="s">
        <v>237</v>
      </c>
    </row>
    <row r="8" spans="1:17" s="17" customFormat="1" ht="19.2" customHeight="1">
      <c r="A8" s="3"/>
      <c r="B8" s="3"/>
      <c r="C8" s="325" t="s">
        <v>521</v>
      </c>
      <c r="D8" s="316" t="s">
        <v>237</v>
      </c>
      <c r="E8" s="316" t="s">
        <v>237</v>
      </c>
      <c r="F8" s="316" t="s">
        <v>237</v>
      </c>
      <c r="G8" s="316">
        <v>0.89953107503494045</v>
      </c>
      <c r="H8" s="316" t="s">
        <v>237</v>
      </c>
      <c r="I8" s="316">
        <v>0.97101250731906963</v>
      </c>
      <c r="J8" s="316" t="s">
        <v>237</v>
      </c>
      <c r="K8" s="316" t="s">
        <v>237</v>
      </c>
      <c r="L8" s="316" t="s">
        <v>237</v>
      </c>
      <c r="M8" s="316" t="s">
        <v>237</v>
      </c>
      <c r="N8" s="316" t="s">
        <v>237</v>
      </c>
      <c r="O8" s="316" t="s">
        <v>237</v>
      </c>
      <c r="P8" s="316" t="s">
        <v>237</v>
      </c>
    </row>
    <row r="9" spans="1:17" s="17" customFormat="1" ht="19.2" customHeight="1">
      <c r="A9" s="3"/>
      <c r="B9" s="3"/>
      <c r="C9" s="324" t="s">
        <v>445</v>
      </c>
      <c r="D9" s="318" t="s">
        <v>237</v>
      </c>
      <c r="E9" s="318" t="s">
        <v>237</v>
      </c>
      <c r="F9" s="318" t="s">
        <v>237</v>
      </c>
      <c r="G9" s="318" t="s">
        <v>237</v>
      </c>
      <c r="H9" s="318" t="s">
        <v>237</v>
      </c>
      <c r="I9" s="318" t="s">
        <v>237</v>
      </c>
      <c r="J9" s="318" t="s">
        <v>237</v>
      </c>
      <c r="K9" s="318" t="s">
        <v>237</v>
      </c>
      <c r="L9" s="318" t="s">
        <v>237</v>
      </c>
      <c r="M9" s="318" t="s">
        <v>237</v>
      </c>
      <c r="N9" s="318" t="s">
        <v>237</v>
      </c>
      <c r="O9" s="318">
        <v>0.44638474771326941</v>
      </c>
      <c r="P9" s="318" t="s">
        <v>237</v>
      </c>
    </row>
    <row r="10" spans="1:17" s="17" customFormat="1" ht="19.2" customHeight="1">
      <c r="A10" s="3"/>
      <c r="B10" s="3"/>
      <c r="C10" s="325" t="s">
        <v>447</v>
      </c>
      <c r="D10" s="316" t="s">
        <v>237</v>
      </c>
      <c r="E10" s="316" t="s">
        <v>237</v>
      </c>
      <c r="F10" s="316" t="s">
        <v>237</v>
      </c>
      <c r="G10" s="316" t="s">
        <v>237</v>
      </c>
      <c r="H10" s="316" t="s">
        <v>237</v>
      </c>
      <c r="I10" s="316" t="s">
        <v>237</v>
      </c>
      <c r="J10" s="316" t="s">
        <v>237</v>
      </c>
      <c r="K10" s="316" t="s">
        <v>237</v>
      </c>
      <c r="L10" s="316" t="s">
        <v>237</v>
      </c>
      <c r="M10" s="316">
        <v>0.67850991263326987</v>
      </c>
      <c r="N10" s="316" t="s">
        <v>237</v>
      </c>
      <c r="O10" s="316" t="s">
        <v>237</v>
      </c>
      <c r="P10" s="316" t="s">
        <v>237</v>
      </c>
    </row>
    <row r="11" spans="1:17" s="17" customFormat="1" ht="19.2" customHeight="1">
      <c r="A11" s="3"/>
      <c r="B11" s="3"/>
      <c r="C11" s="324" t="s">
        <v>455</v>
      </c>
      <c r="D11" s="318" t="s">
        <v>237</v>
      </c>
      <c r="E11" s="318" t="s">
        <v>237</v>
      </c>
      <c r="F11" s="318" t="s">
        <v>237</v>
      </c>
      <c r="G11" s="318">
        <v>0.93220243514299939</v>
      </c>
      <c r="H11" s="318" t="s">
        <v>237</v>
      </c>
      <c r="I11" s="318" t="s">
        <v>237</v>
      </c>
      <c r="J11" s="318" t="s">
        <v>237</v>
      </c>
      <c r="K11" s="318" t="s">
        <v>237</v>
      </c>
      <c r="L11" s="318" t="s">
        <v>237</v>
      </c>
      <c r="M11" s="318" t="s">
        <v>237</v>
      </c>
      <c r="N11" s="318" t="s">
        <v>237</v>
      </c>
      <c r="O11" s="318" t="s">
        <v>237</v>
      </c>
      <c r="P11" s="318" t="s">
        <v>237</v>
      </c>
    </row>
    <row r="12" spans="1:17" s="17" customFormat="1" ht="19.2" customHeight="1">
      <c r="A12" s="3"/>
      <c r="B12" s="3"/>
      <c r="C12" s="325" t="s">
        <v>464</v>
      </c>
      <c r="D12" s="316" t="s">
        <v>237</v>
      </c>
      <c r="E12" s="316" t="s">
        <v>237</v>
      </c>
      <c r="F12" s="316" t="s">
        <v>237</v>
      </c>
      <c r="G12" s="316" t="s">
        <v>237</v>
      </c>
      <c r="H12" s="316" t="s">
        <v>237</v>
      </c>
      <c r="I12" s="316" t="s">
        <v>237</v>
      </c>
      <c r="J12" s="316" t="s">
        <v>237</v>
      </c>
      <c r="K12" s="316" t="s">
        <v>237</v>
      </c>
      <c r="L12" s="316" t="s">
        <v>237</v>
      </c>
      <c r="M12" s="316" t="s">
        <v>237</v>
      </c>
      <c r="N12" s="316" t="s">
        <v>237</v>
      </c>
      <c r="O12" s="316">
        <v>0.58492778321309047</v>
      </c>
      <c r="P12" s="316" t="s">
        <v>237</v>
      </c>
    </row>
    <row r="13" spans="1:17" s="17" customFormat="1" ht="19.2" customHeight="1">
      <c r="A13" s="3"/>
      <c r="B13" s="3"/>
      <c r="C13" s="324" t="s">
        <v>471</v>
      </c>
      <c r="D13" s="318" t="s">
        <v>237</v>
      </c>
      <c r="E13" s="318" t="s">
        <v>237</v>
      </c>
      <c r="F13" s="318" t="s">
        <v>237</v>
      </c>
      <c r="G13" s="318" t="s">
        <v>237</v>
      </c>
      <c r="H13" s="318" t="s">
        <v>237</v>
      </c>
      <c r="I13" s="318">
        <v>0.65933738723200019</v>
      </c>
      <c r="J13" s="318" t="s">
        <v>237</v>
      </c>
      <c r="K13" s="318" t="s">
        <v>237</v>
      </c>
      <c r="L13" s="318" t="s">
        <v>237</v>
      </c>
      <c r="M13" s="318" t="s">
        <v>237</v>
      </c>
      <c r="N13" s="318" t="s">
        <v>237</v>
      </c>
      <c r="O13" s="318" t="s">
        <v>237</v>
      </c>
      <c r="P13" s="318" t="s">
        <v>237</v>
      </c>
    </row>
    <row r="14" spans="1:17" s="17" customFormat="1" ht="19.2" customHeight="1">
      <c r="A14" s="3"/>
      <c r="B14" s="3"/>
      <c r="C14" s="325" t="s">
        <v>472</v>
      </c>
      <c r="D14" s="316" t="s">
        <v>237</v>
      </c>
      <c r="E14" s="316" t="s">
        <v>237</v>
      </c>
      <c r="F14" s="316" t="s">
        <v>237</v>
      </c>
      <c r="G14" s="316" t="s">
        <v>237</v>
      </c>
      <c r="H14" s="316" t="s">
        <v>237</v>
      </c>
      <c r="I14" s="316">
        <v>0.97652752166663737</v>
      </c>
      <c r="J14" s="316" t="s">
        <v>237</v>
      </c>
      <c r="K14" s="316" t="s">
        <v>237</v>
      </c>
      <c r="L14" s="316" t="s">
        <v>237</v>
      </c>
      <c r="M14" s="316" t="s">
        <v>237</v>
      </c>
      <c r="N14" s="316" t="s">
        <v>237</v>
      </c>
      <c r="O14" s="316" t="s">
        <v>237</v>
      </c>
      <c r="P14" s="316" t="s">
        <v>237</v>
      </c>
    </row>
    <row r="15" spans="1:17" s="17" customFormat="1" ht="19.2" customHeight="1">
      <c r="A15" s="3"/>
      <c r="B15" s="3"/>
      <c r="C15" s="324" t="s">
        <v>479</v>
      </c>
      <c r="D15" s="318" t="s">
        <v>237</v>
      </c>
      <c r="E15" s="318" t="s">
        <v>237</v>
      </c>
      <c r="F15" s="318" t="s">
        <v>237</v>
      </c>
      <c r="G15" s="318" t="s">
        <v>237</v>
      </c>
      <c r="H15" s="318" t="s">
        <v>237</v>
      </c>
      <c r="I15" s="318">
        <v>0.92802788404882819</v>
      </c>
      <c r="J15" s="318" t="s">
        <v>237</v>
      </c>
      <c r="K15" s="318" t="s">
        <v>237</v>
      </c>
      <c r="L15" s="318" t="s">
        <v>237</v>
      </c>
      <c r="M15" s="318" t="s">
        <v>237</v>
      </c>
      <c r="N15" s="318" t="s">
        <v>237</v>
      </c>
      <c r="O15" s="318" t="s">
        <v>237</v>
      </c>
      <c r="P15" s="318" t="s">
        <v>237</v>
      </c>
    </row>
    <row r="16" spans="1:17" s="17" customFormat="1" ht="19.2" customHeight="1">
      <c r="A16" s="3"/>
      <c r="B16" s="3"/>
      <c r="C16" s="325" t="s">
        <v>484</v>
      </c>
      <c r="D16" s="316" t="s">
        <v>237</v>
      </c>
      <c r="E16" s="316" t="s">
        <v>237</v>
      </c>
      <c r="F16" s="316" t="s">
        <v>237</v>
      </c>
      <c r="G16" s="316" t="s">
        <v>237</v>
      </c>
      <c r="H16" s="316" t="s">
        <v>237</v>
      </c>
      <c r="I16" s="316">
        <v>0.53857776798701329</v>
      </c>
      <c r="J16" s="316" t="s">
        <v>237</v>
      </c>
      <c r="K16" s="316" t="s">
        <v>237</v>
      </c>
      <c r="L16" s="316" t="s">
        <v>237</v>
      </c>
      <c r="M16" s="316" t="s">
        <v>237</v>
      </c>
      <c r="N16" s="316" t="s">
        <v>237</v>
      </c>
      <c r="O16" s="316" t="s">
        <v>237</v>
      </c>
      <c r="P16" s="316" t="s">
        <v>237</v>
      </c>
    </row>
    <row r="17" spans="1:16" s="17" customFormat="1" ht="19.2" hidden="1" customHeight="1">
      <c r="A17" s="3"/>
      <c r="B17" s="3"/>
      <c r="C17" s="324" t="s">
        <v>485</v>
      </c>
      <c r="D17" s="318" t="s">
        <v>237</v>
      </c>
      <c r="E17" s="318" t="s">
        <v>237</v>
      </c>
      <c r="F17" s="318" t="s">
        <v>237</v>
      </c>
      <c r="G17" s="318" t="s">
        <v>237</v>
      </c>
      <c r="H17" s="318" t="s">
        <v>237</v>
      </c>
      <c r="I17" s="318" t="s">
        <v>237</v>
      </c>
      <c r="J17" s="318" t="s">
        <v>237</v>
      </c>
      <c r="K17" s="318" t="s">
        <v>237</v>
      </c>
      <c r="L17" s="318" t="s">
        <v>237</v>
      </c>
      <c r="M17" s="318">
        <v>0.70133222223043212</v>
      </c>
      <c r="N17" s="318" t="s">
        <v>237</v>
      </c>
      <c r="O17" s="318" t="s">
        <v>237</v>
      </c>
      <c r="P17" s="318" t="s">
        <v>237</v>
      </c>
    </row>
    <row r="18" spans="1:16" s="17" customFormat="1" ht="19.2" hidden="1" customHeight="1">
      <c r="A18" s="3"/>
      <c r="B18" s="3"/>
      <c r="C18" s="324" t="s">
        <v>523</v>
      </c>
      <c r="D18" s="318" t="s">
        <v>237</v>
      </c>
      <c r="E18" s="318" t="s">
        <v>237</v>
      </c>
      <c r="F18" s="318" t="s">
        <v>237</v>
      </c>
      <c r="G18" s="318" t="s">
        <v>237</v>
      </c>
      <c r="H18" s="318" t="s">
        <v>237</v>
      </c>
      <c r="I18" s="318">
        <v>0.97233054434574462</v>
      </c>
      <c r="J18" s="318" t="s">
        <v>237</v>
      </c>
      <c r="K18" s="318" t="s">
        <v>237</v>
      </c>
      <c r="L18" s="318" t="s">
        <v>237</v>
      </c>
      <c r="M18" s="318" t="s">
        <v>237</v>
      </c>
      <c r="N18" s="318" t="s">
        <v>237</v>
      </c>
      <c r="O18" s="318" t="s">
        <v>237</v>
      </c>
      <c r="P18" s="318" t="s">
        <v>237</v>
      </c>
    </row>
    <row r="19" spans="1:16" s="17" customFormat="1" ht="19.2" hidden="1" customHeight="1" thickBot="1">
      <c r="A19" s="3"/>
      <c r="B19" s="3"/>
      <c r="C19" s="324" t="s">
        <v>493</v>
      </c>
      <c r="D19" s="318" t="s">
        <v>237</v>
      </c>
      <c r="E19" s="318" t="s">
        <v>237</v>
      </c>
      <c r="F19" s="318" t="s">
        <v>237</v>
      </c>
      <c r="G19" s="318" t="s">
        <v>237</v>
      </c>
      <c r="H19" s="318" t="s">
        <v>237</v>
      </c>
      <c r="I19" s="318">
        <v>0.82296471658972892</v>
      </c>
      <c r="J19" s="318" t="s">
        <v>237</v>
      </c>
      <c r="K19" s="318" t="s">
        <v>237</v>
      </c>
      <c r="L19" s="318" t="s">
        <v>237</v>
      </c>
      <c r="M19" s="318" t="s">
        <v>237</v>
      </c>
      <c r="N19" s="318" t="s">
        <v>237</v>
      </c>
      <c r="O19" s="318" t="s">
        <v>237</v>
      </c>
      <c r="P19" s="318" t="s">
        <v>237</v>
      </c>
    </row>
    <row r="20" spans="1:16" s="17" customFormat="1" ht="19.2" customHeight="1">
      <c r="A20" s="3"/>
      <c r="B20" s="3"/>
      <c r="C20" s="324" t="s">
        <v>496</v>
      </c>
      <c r="D20" s="318" t="s">
        <v>237</v>
      </c>
      <c r="E20" s="318" t="s">
        <v>237</v>
      </c>
      <c r="F20" s="318" t="s">
        <v>237</v>
      </c>
      <c r="G20" s="318" t="s">
        <v>237</v>
      </c>
      <c r="H20" s="318" t="s">
        <v>237</v>
      </c>
      <c r="I20" s="318">
        <v>0.47475084256037231</v>
      </c>
      <c r="J20" s="318" t="s">
        <v>237</v>
      </c>
      <c r="K20" s="318" t="s">
        <v>237</v>
      </c>
      <c r="L20" s="318" t="s">
        <v>237</v>
      </c>
      <c r="M20" s="318" t="s">
        <v>237</v>
      </c>
      <c r="N20" s="318" t="s">
        <v>237</v>
      </c>
      <c r="O20" s="318" t="s">
        <v>237</v>
      </c>
      <c r="P20" s="318" t="s">
        <v>237</v>
      </c>
    </row>
    <row r="21" spans="1:16" s="17" customFormat="1" ht="19.2" customHeight="1">
      <c r="A21" s="3"/>
      <c r="B21" s="3"/>
      <c r="C21" s="325" t="s">
        <v>128</v>
      </c>
      <c r="D21" s="316" t="s">
        <v>237</v>
      </c>
      <c r="E21" s="316" t="s">
        <v>237</v>
      </c>
      <c r="F21" s="316" t="s">
        <v>237</v>
      </c>
      <c r="G21" s="316" t="s">
        <v>237</v>
      </c>
      <c r="H21" s="316" t="s">
        <v>237</v>
      </c>
      <c r="I21" s="316">
        <v>0.73127033317621992</v>
      </c>
      <c r="J21" s="316" t="s">
        <v>237</v>
      </c>
      <c r="K21" s="316">
        <v>0.78411171002188673</v>
      </c>
      <c r="L21" s="316" t="s">
        <v>237</v>
      </c>
      <c r="M21" s="316" t="s">
        <v>237</v>
      </c>
      <c r="N21" s="316" t="s">
        <v>237</v>
      </c>
      <c r="O21" s="316" t="s">
        <v>237</v>
      </c>
      <c r="P21" s="316" t="s">
        <v>237</v>
      </c>
    </row>
    <row r="22" spans="1:16" s="17" customFormat="1" ht="19.2" customHeight="1">
      <c r="A22" s="3"/>
      <c r="B22" s="3"/>
      <c r="C22" s="324" t="s">
        <v>502</v>
      </c>
      <c r="D22" s="318" t="s">
        <v>237</v>
      </c>
      <c r="E22" s="318" t="s">
        <v>237</v>
      </c>
      <c r="F22" s="318" t="s">
        <v>237</v>
      </c>
      <c r="G22" s="318" t="s">
        <v>237</v>
      </c>
      <c r="H22" s="318" t="s">
        <v>237</v>
      </c>
      <c r="I22" s="318">
        <v>0.99459212547217435</v>
      </c>
      <c r="J22" s="318" t="s">
        <v>237</v>
      </c>
      <c r="K22" s="318" t="s">
        <v>237</v>
      </c>
      <c r="L22" s="318" t="s">
        <v>237</v>
      </c>
      <c r="M22" s="318" t="s">
        <v>237</v>
      </c>
      <c r="N22" s="318" t="s">
        <v>237</v>
      </c>
      <c r="O22" s="318">
        <v>0.82827519177463726</v>
      </c>
      <c r="P22" s="318" t="s">
        <v>237</v>
      </c>
    </row>
    <row r="23" spans="1:16" s="17" customFormat="1" ht="19.2" customHeight="1">
      <c r="A23" s="3"/>
      <c r="B23" s="3"/>
      <c r="C23" s="325" t="s">
        <v>507</v>
      </c>
      <c r="D23" s="316" t="s">
        <v>237</v>
      </c>
      <c r="E23" s="316" t="s">
        <v>237</v>
      </c>
      <c r="F23" s="316" t="s">
        <v>237</v>
      </c>
      <c r="G23" s="316">
        <v>0.88257547489739618</v>
      </c>
      <c r="H23" s="316" t="s">
        <v>237</v>
      </c>
      <c r="I23" s="316" t="s">
        <v>237</v>
      </c>
      <c r="J23" s="316" t="s">
        <v>237</v>
      </c>
      <c r="K23" s="316" t="s">
        <v>237</v>
      </c>
      <c r="L23" s="316" t="s">
        <v>237</v>
      </c>
      <c r="M23" s="316" t="s">
        <v>237</v>
      </c>
      <c r="N23" s="316" t="s">
        <v>237</v>
      </c>
      <c r="O23" s="316" t="s">
        <v>237</v>
      </c>
      <c r="P23" s="316" t="s">
        <v>237</v>
      </c>
    </row>
    <row r="24" spans="1:16" s="17" customFormat="1" ht="19.2" customHeight="1">
      <c r="A24" s="3"/>
      <c r="B24" s="3"/>
      <c r="C24" s="324" t="s">
        <v>509</v>
      </c>
      <c r="D24" s="318" t="s">
        <v>237</v>
      </c>
      <c r="E24" s="318" t="s">
        <v>237</v>
      </c>
      <c r="F24" s="318" t="s">
        <v>237</v>
      </c>
      <c r="G24" s="318" t="s">
        <v>237</v>
      </c>
      <c r="H24" s="318" t="s">
        <v>237</v>
      </c>
      <c r="I24" s="318" t="s">
        <v>237</v>
      </c>
      <c r="J24" s="318" t="s">
        <v>237</v>
      </c>
      <c r="K24" s="318" t="s">
        <v>237</v>
      </c>
      <c r="L24" s="318" t="s">
        <v>237</v>
      </c>
      <c r="M24" s="318" t="s">
        <v>237</v>
      </c>
      <c r="N24" s="318" t="s">
        <v>237</v>
      </c>
      <c r="O24" s="318" t="s">
        <v>237</v>
      </c>
      <c r="P24" s="318">
        <v>0.86245645022601214</v>
      </c>
    </row>
    <row r="25" spans="1:16" s="17" customFormat="1" ht="19.2" customHeight="1">
      <c r="A25" s="3"/>
      <c r="B25" s="3"/>
      <c r="C25" s="325" t="s">
        <v>511</v>
      </c>
      <c r="D25" s="316" t="s">
        <v>237</v>
      </c>
      <c r="E25" s="316" t="s">
        <v>237</v>
      </c>
      <c r="F25" s="316" t="s">
        <v>237</v>
      </c>
      <c r="G25" s="316">
        <v>0.64911565909912816</v>
      </c>
      <c r="H25" s="316" t="s">
        <v>237</v>
      </c>
      <c r="I25" s="316">
        <v>0.85787810922028795</v>
      </c>
      <c r="J25" s="316" t="s">
        <v>237</v>
      </c>
      <c r="K25" s="316">
        <v>0.60284403181565294</v>
      </c>
      <c r="L25" s="316" t="s">
        <v>237</v>
      </c>
      <c r="M25" s="316">
        <v>0.63431030668660893</v>
      </c>
      <c r="N25" s="316" t="s">
        <v>237</v>
      </c>
      <c r="O25" s="316">
        <v>0.62706667746510181</v>
      </c>
      <c r="P25" s="316" t="s">
        <v>237</v>
      </c>
    </row>
    <row r="26" spans="1:16" s="17" customFormat="1" ht="19.2" customHeight="1">
      <c r="A26" s="3"/>
      <c r="B26" s="3"/>
      <c r="C26" s="324" t="s">
        <v>518</v>
      </c>
      <c r="D26" s="318" t="s">
        <v>237</v>
      </c>
      <c r="E26" s="318" t="s">
        <v>237</v>
      </c>
      <c r="F26" s="318" t="s">
        <v>237</v>
      </c>
      <c r="G26" s="318" t="s">
        <v>237</v>
      </c>
      <c r="H26" s="318" t="s">
        <v>237</v>
      </c>
      <c r="I26" s="318" t="s">
        <v>237</v>
      </c>
      <c r="J26" s="318" t="s">
        <v>237</v>
      </c>
      <c r="K26" s="318" t="s">
        <v>237</v>
      </c>
      <c r="L26" s="318" t="s">
        <v>237</v>
      </c>
      <c r="M26" s="318" t="s">
        <v>237</v>
      </c>
      <c r="N26" s="318" t="s">
        <v>237</v>
      </c>
      <c r="O26" s="318" t="s">
        <v>237</v>
      </c>
      <c r="P26" s="318">
        <v>0.70508662610000294</v>
      </c>
    </row>
    <row r="27" spans="1:16" s="17" customFormat="1" ht="19.2" hidden="1" customHeight="1" outlineLevel="1">
      <c r="A27" s="3"/>
      <c r="B27" s="3"/>
      <c r="C27" s="322" t="s">
        <v>520</v>
      </c>
      <c r="D27" s="320" t="s">
        <v>237</v>
      </c>
      <c r="E27" s="316" t="s">
        <v>237</v>
      </c>
      <c r="F27" s="316" t="s">
        <v>237</v>
      </c>
      <c r="G27" s="316" t="s">
        <v>237</v>
      </c>
      <c r="H27" s="316" t="s">
        <v>237</v>
      </c>
      <c r="I27" s="316" t="s">
        <v>237</v>
      </c>
      <c r="J27" s="316" t="s">
        <v>237</v>
      </c>
      <c r="K27" s="316" t="s">
        <v>237</v>
      </c>
      <c r="L27" s="316" t="s">
        <v>237</v>
      </c>
      <c r="M27" s="316" t="s">
        <v>237</v>
      </c>
      <c r="N27" s="316" t="s">
        <v>237</v>
      </c>
      <c r="O27" s="329" t="s">
        <v>237</v>
      </c>
      <c r="P27" s="317" t="s">
        <v>237</v>
      </c>
    </row>
    <row r="28" spans="1:16" s="17" customFormat="1" ht="19.2" hidden="1" customHeight="1" outlineLevel="1">
      <c r="A28" s="3"/>
      <c r="B28" s="3"/>
      <c r="C28" s="323" t="s">
        <v>525</v>
      </c>
      <c r="D28" s="321" t="s">
        <v>237</v>
      </c>
      <c r="E28" s="318" t="s">
        <v>237</v>
      </c>
      <c r="F28" s="318" t="s">
        <v>237</v>
      </c>
      <c r="G28" s="318" t="s">
        <v>237</v>
      </c>
      <c r="H28" s="318" t="s">
        <v>237</v>
      </c>
      <c r="I28" s="318" t="s">
        <v>237</v>
      </c>
      <c r="J28" s="318" t="s">
        <v>237</v>
      </c>
      <c r="K28" s="318" t="s">
        <v>237</v>
      </c>
      <c r="L28" s="318" t="s">
        <v>237</v>
      </c>
      <c r="M28" s="318" t="s">
        <v>237</v>
      </c>
      <c r="N28" s="318" t="s">
        <v>237</v>
      </c>
      <c r="O28" s="328" t="s">
        <v>237</v>
      </c>
      <c r="P28" s="319" t="s">
        <v>237</v>
      </c>
    </row>
    <row r="29" spans="1:16" s="17" customFormat="1" ht="18.75" hidden="1" customHeight="1" outlineLevel="1">
      <c r="A29" s="3"/>
      <c r="B29" s="3"/>
      <c r="C29" s="322" t="s">
        <v>525</v>
      </c>
      <c r="D29" s="320" t="s">
        <v>237</v>
      </c>
      <c r="E29" s="316" t="s">
        <v>237</v>
      </c>
      <c r="F29" s="316" t="s">
        <v>237</v>
      </c>
      <c r="G29" s="316" t="s">
        <v>237</v>
      </c>
      <c r="H29" s="316" t="s">
        <v>237</v>
      </c>
      <c r="I29" s="316" t="s">
        <v>237</v>
      </c>
      <c r="J29" s="316" t="s">
        <v>237</v>
      </c>
      <c r="K29" s="316" t="s">
        <v>237</v>
      </c>
      <c r="L29" s="316" t="s">
        <v>237</v>
      </c>
      <c r="M29" s="316" t="s">
        <v>237</v>
      </c>
      <c r="N29" s="316" t="s">
        <v>237</v>
      </c>
      <c r="O29" s="329" t="s">
        <v>237</v>
      </c>
      <c r="P29" s="317" t="s">
        <v>237</v>
      </c>
    </row>
    <row r="30" spans="1:16" s="17" customFormat="1" ht="19.2" hidden="1" customHeight="1" outlineLevel="1">
      <c r="A30" s="3"/>
      <c r="B30" s="3"/>
      <c r="C30" s="323" t="s">
        <v>525</v>
      </c>
      <c r="D30" s="321" t="s">
        <v>237</v>
      </c>
      <c r="E30" s="318" t="s">
        <v>237</v>
      </c>
      <c r="F30" s="318" t="s">
        <v>237</v>
      </c>
      <c r="G30" s="318" t="s">
        <v>237</v>
      </c>
      <c r="H30" s="318" t="s">
        <v>237</v>
      </c>
      <c r="I30" s="318" t="s">
        <v>237</v>
      </c>
      <c r="J30" s="318" t="s">
        <v>237</v>
      </c>
      <c r="K30" s="318" t="s">
        <v>237</v>
      </c>
      <c r="L30" s="318" t="s">
        <v>237</v>
      </c>
      <c r="M30" s="318" t="s">
        <v>237</v>
      </c>
      <c r="N30" s="318" t="s">
        <v>237</v>
      </c>
      <c r="O30" s="328" t="s">
        <v>237</v>
      </c>
      <c r="P30" s="319" t="s">
        <v>237</v>
      </c>
    </row>
    <row r="31" spans="1:16" s="17" customFormat="1" ht="19.2" hidden="1" customHeight="1" outlineLevel="1">
      <c r="A31" s="3"/>
      <c r="B31" s="3"/>
      <c r="C31" s="322" t="s">
        <v>525</v>
      </c>
      <c r="D31" s="320" t="s">
        <v>237</v>
      </c>
      <c r="E31" s="316" t="s">
        <v>237</v>
      </c>
      <c r="F31" s="316" t="s">
        <v>237</v>
      </c>
      <c r="G31" s="316" t="s">
        <v>237</v>
      </c>
      <c r="H31" s="316" t="s">
        <v>237</v>
      </c>
      <c r="I31" s="316" t="s">
        <v>237</v>
      </c>
      <c r="J31" s="316" t="s">
        <v>237</v>
      </c>
      <c r="K31" s="316" t="s">
        <v>237</v>
      </c>
      <c r="L31" s="316" t="s">
        <v>237</v>
      </c>
      <c r="M31" s="316" t="s">
        <v>237</v>
      </c>
      <c r="N31" s="316" t="s">
        <v>237</v>
      </c>
      <c r="O31" s="329" t="s">
        <v>237</v>
      </c>
      <c r="P31" s="317" t="s">
        <v>237</v>
      </c>
    </row>
    <row r="32" spans="1:16" s="17" customFormat="1" ht="19.2" hidden="1" customHeight="1" outlineLevel="1">
      <c r="A32" s="3"/>
      <c r="B32" s="3"/>
      <c r="C32" s="323" t="s">
        <v>525</v>
      </c>
      <c r="D32" s="321" t="s">
        <v>237</v>
      </c>
      <c r="E32" s="318" t="s">
        <v>237</v>
      </c>
      <c r="F32" s="318" t="s">
        <v>237</v>
      </c>
      <c r="G32" s="318" t="s">
        <v>237</v>
      </c>
      <c r="H32" s="318" t="s">
        <v>237</v>
      </c>
      <c r="I32" s="318" t="s">
        <v>237</v>
      </c>
      <c r="J32" s="318" t="s">
        <v>237</v>
      </c>
      <c r="K32" s="318" t="s">
        <v>237</v>
      </c>
      <c r="L32" s="318" t="s">
        <v>237</v>
      </c>
      <c r="M32" s="318" t="s">
        <v>237</v>
      </c>
      <c r="N32" s="318" t="s">
        <v>237</v>
      </c>
      <c r="O32" s="328" t="s">
        <v>237</v>
      </c>
      <c r="P32" s="319" t="s">
        <v>237</v>
      </c>
    </row>
    <row r="33" spans="1:17" s="17" customFormat="1" ht="19.2" hidden="1" customHeight="1" outlineLevel="1">
      <c r="A33" s="3"/>
      <c r="B33" s="3"/>
      <c r="C33" s="322" t="s">
        <v>525</v>
      </c>
      <c r="D33" s="320" t="s">
        <v>237</v>
      </c>
      <c r="E33" s="316" t="s">
        <v>237</v>
      </c>
      <c r="F33" s="316" t="s">
        <v>237</v>
      </c>
      <c r="G33" s="316" t="s">
        <v>237</v>
      </c>
      <c r="H33" s="316" t="s">
        <v>237</v>
      </c>
      <c r="I33" s="316" t="s">
        <v>237</v>
      </c>
      <c r="J33" s="316" t="s">
        <v>237</v>
      </c>
      <c r="K33" s="316" t="s">
        <v>237</v>
      </c>
      <c r="L33" s="316" t="s">
        <v>237</v>
      </c>
      <c r="M33" s="316" t="s">
        <v>237</v>
      </c>
      <c r="N33" s="316" t="s">
        <v>237</v>
      </c>
      <c r="O33" s="329" t="s">
        <v>237</v>
      </c>
      <c r="P33" s="317" t="s">
        <v>237</v>
      </c>
    </row>
    <row r="34" spans="1:17" s="17" customFormat="1" ht="19.2" hidden="1" customHeight="1" outlineLevel="1">
      <c r="A34" s="3"/>
      <c r="B34" s="3"/>
      <c r="C34" s="323" t="s">
        <v>525</v>
      </c>
      <c r="D34" s="321" t="s">
        <v>237</v>
      </c>
      <c r="E34" s="318" t="s">
        <v>237</v>
      </c>
      <c r="F34" s="318" t="s">
        <v>237</v>
      </c>
      <c r="G34" s="318" t="s">
        <v>237</v>
      </c>
      <c r="H34" s="318" t="s">
        <v>237</v>
      </c>
      <c r="I34" s="318" t="s">
        <v>237</v>
      </c>
      <c r="J34" s="318" t="s">
        <v>237</v>
      </c>
      <c r="K34" s="318" t="s">
        <v>237</v>
      </c>
      <c r="L34" s="318" t="s">
        <v>237</v>
      </c>
      <c r="M34" s="318" t="s">
        <v>237</v>
      </c>
      <c r="N34" s="318" t="s">
        <v>237</v>
      </c>
      <c r="O34" s="328" t="s">
        <v>237</v>
      </c>
      <c r="P34" s="319" t="s">
        <v>237</v>
      </c>
    </row>
    <row r="35" spans="1:17" s="17" customFormat="1" ht="19.2" hidden="1" customHeight="1" outlineLevel="1">
      <c r="A35" s="3"/>
      <c r="B35" s="3"/>
      <c r="C35" s="322" t="s">
        <v>525</v>
      </c>
      <c r="D35" s="320" t="s">
        <v>237</v>
      </c>
      <c r="E35" s="316" t="s">
        <v>237</v>
      </c>
      <c r="F35" s="316" t="s">
        <v>237</v>
      </c>
      <c r="G35" s="316" t="s">
        <v>237</v>
      </c>
      <c r="H35" s="316" t="s">
        <v>237</v>
      </c>
      <c r="I35" s="316" t="s">
        <v>237</v>
      </c>
      <c r="J35" s="316" t="s">
        <v>237</v>
      </c>
      <c r="K35" s="316" t="s">
        <v>237</v>
      </c>
      <c r="L35" s="316" t="s">
        <v>237</v>
      </c>
      <c r="M35" s="316" t="s">
        <v>237</v>
      </c>
      <c r="N35" s="316" t="s">
        <v>237</v>
      </c>
      <c r="O35" s="329" t="s">
        <v>237</v>
      </c>
      <c r="P35" s="317" t="s">
        <v>237</v>
      </c>
    </row>
    <row r="36" spans="1:17" s="17" customFormat="1" ht="19.2" hidden="1" customHeight="1" outlineLevel="1">
      <c r="A36" s="3"/>
      <c r="B36" s="3"/>
      <c r="C36" s="323" t="s">
        <v>525</v>
      </c>
      <c r="D36" s="321" t="s">
        <v>237</v>
      </c>
      <c r="E36" s="318" t="s">
        <v>237</v>
      </c>
      <c r="F36" s="318" t="s">
        <v>237</v>
      </c>
      <c r="G36" s="318" t="s">
        <v>237</v>
      </c>
      <c r="H36" s="318" t="s">
        <v>237</v>
      </c>
      <c r="I36" s="318" t="s">
        <v>237</v>
      </c>
      <c r="J36" s="318" t="s">
        <v>237</v>
      </c>
      <c r="K36" s="318" t="s">
        <v>237</v>
      </c>
      <c r="L36" s="318" t="s">
        <v>237</v>
      </c>
      <c r="M36" s="318" t="s">
        <v>237</v>
      </c>
      <c r="N36" s="318" t="s">
        <v>237</v>
      </c>
      <c r="O36" s="328" t="s">
        <v>237</v>
      </c>
      <c r="P36" s="319" t="s">
        <v>237</v>
      </c>
    </row>
    <row r="37" spans="1:17" s="17" customFormat="1" ht="19.2" hidden="1" customHeight="1" outlineLevel="1">
      <c r="A37" s="3"/>
      <c r="B37" s="3"/>
      <c r="C37" s="322" t="s">
        <v>525</v>
      </c>
      <c r="D37" s="320" t="s">
        <v>237</v>
      </c>
      <c r="E37" s="316" t="s">
        <v>237</v>
      </c>
      <c r="F37" s="316" t="s">
        <v>237</v>
      </c>
      <c r="G37" s="316" t="s">
        <v>237</v>
      </c>
      <c r="H37" s="316" t="s">
        <v>237</v>
      </c>
      <c r="I37" s="316" t="s">
        <v>237</v>
      </c>
      <c r="J37" s="316" t="s">
        <v>237</v>
      </c>
      <c r="K37" s="316" t="s">
        <v>237</v>
      </c>
      <c r="L37" s="316" t="s">
        <v>237</v>
      </c>
      <c r="M37" s="316" t="s">
        <v>237</v>
      </c>
      <c r="N37" s="316" t="s">
        <v>237</v>
      </c>
      <c r="O37" s="329" t="s">
        <v>237</v>
      </c>
      <c r="P37" s="317" t="s">
        <v>237</v>
      </c>
    </row>
    <row r="38" spans="1:17" s="17" customFormat="1" ht="19.2" hidden="1" customHeight="1" outlineLevel="1">
      <c r="A38" s="3"/>
      <c r="B38" s="3"/>
      <c r="C38" s="323" t="s">
        <v>525</v>
      </c>
      <c r="D38" s="321" t="s">
        <v>237</v>
      </c>
      <c r="E38" s="318" t="s">
        <v>237</v>
      </c>
      <c r="F38" s="318" t="s">
        <v>237</v>
      </c>
      <c r="G38" s="318" t="s">
        <v>237</v>
      </c>
      <c r="H38" s="318" t="s">
        <v>237</v>
      </c>
      <c r="I38" s="318" t="s">
        <v>237</v>
      </c>
      <c r="J38" s="318" t="s">
        <v>237</v>
      </c>
      <c r="K38" s="318" t="s">
        <v>237</v>
      </c>
      <c r="L38" s="318" t="s">
        <v>237</v>
      </c>
      <c r="M38" s="318" t="s">
        <v>237</v>
      </c>
      <c r="N38" s="318" t="s">
        <v>237</v>
      </c>
      <c r="O38" s="328" t="s">
        <v>237</v>
      </c>
      <c r="P38" s="319" t="s">
        <v>237</v>
      </c>
    </row>
    <row r="39" spans="1:17" s="17" customFormat="1" ht="19.2" hidden="1" customHeight="1" outlineLevel="1" thickBot="1">
      <c r="A39" s="3"/>
      <c r="B39" s="3"/>
      <c r="C39" s="200" t="s">
        <v>525</v>
      </c>
      <c r="D39" s="320" t="s">
        <v>237</v>
      </c>
      <c r="E39" s="316" t="s">
        <v>237</v>
      </c>
      <c r="F39" s="316" t="s">
        <v>237</v>
      </c>
      <c r="G39" s="316" t="s">
        <v>237</v>
      </c>
      <c r="H39" s="316" t="s">
        <v>237</v>
      </c>
      <c r="I39" s="316" t="s">
        <v>237</v>
      </c>
      <c r="J39" s="316" t="s">
        <v>237</v>
      </c>
      <c r="K39" s="316" t="s">
        <v>237</v>
      </c>
      <c r="L39" s="316" t="s">
        <v>237</v>
      </c>
      <c r="M39" s="316" t="s">
        <v>237</v>
      </c>
      <c r="N39" s="316" t="s">
        <v>237</v>
      </c>
      <c r="O39" s="329" t="s">
        <v>237</v>
      </c>
      <c r="P39" s="317" t="s">
        <v>237</v>
      </c>
    </row>
    <row r="40" spans="1:17" collapsed="1">
      <c r="C40" s="199"/>
      <c r="D40" s="7"/>
      <c r="M40" s="8"/>
      <c r="N40" s="8"/>
      <c r="O40" s="8"/>
      <c r="P40" s="8"/>
      <c r="Q40" s="8"/>
    </row>
    <row r="41" spans="1:17">
      <c r="C41" s="5"/>
      <c r="D41" s="8"/>
      <c r="G41" s="6"/>
    </row>
    <row r="42" spans="1:17">
      <c r="A42" s="8"/>
      <c r="C42" s="5"/>
      <c r="D42" s="8"/>
      <c r="G42" s="6"/>
      <c r="I42" s="3"/>
    </row>
    <row r="43" spans="1:17" s="8" customFormat="1">
      <c r="B43" s="3"/>
      <c r="C43" s="5"/>
      <c r="G43" s="6"/>
      <c r="M43" s="3"/>
      <c r="N43" s="3"/>
      <c r="O43" s="3"/>
      <c r="P43" s="3"/>
      <c r="Q43" s="3"/>
    </row>
    <row r="44" spans="1:17" s="8" customFormat="1">
      <c r="B44" s="3"/>
      <c r="C44" s="5"/>
      <c r="G44" s="6"/>
      <c r="M44" s="3"/>
      <c r="N44" s="3"/>
      <c r="O44" s="3"/>
      <c r="P44" s="3"/>
      <c r="Q44" s="3"/>
    </row>
    <row r="45" spans="1:17" s="8" customFormat="1">
      <c r="B45" s="3"/>
      <c r="C45" s="5"/>
      <c r="G45" s="6"/>
      <c r="M45" s="3"/>
      <c r="N45" s="3"/>
      <c r="O45" s="3"/>
      <c r="P45" s="3"/>
      <c r="Q45" s="3"/>
    </row>
    <row r="46" spans="1:17" s="8" customFormat="1">
      <c r="B46" s="3"/>
      <c r="C46" s="5"/>
      <c r="G46" s="6"/>
      <c r="M46" s="3"/>
      <c r="N46" s="3"/>
      <c r="O46" s="3"/>
      <c r="P46" s="3"/>
      <c r="Q46" s="3"/>
    </row>
    <row r="47" spans="1:17" s="8" customFormat="1">
      <c r="B47" s="3"/>
      <c r="C47" s="5"/>
      <c r="G47" s="6"/>
      <c r="M47" s="3"/>
      <c r="N47" s="3"/>
      <c r="O47" s="3"/>
      <c r="P47" s="3"/>
      <c r="Q47" s="3"/>
    </row>
    <row r="48" spans="1:17" s="8" customFormat="1">
      <c r="B48" s="3"/>
      <c r="C48" s="5"/>
      <c r="G48" s="6"/>
      <c r="M48" s="3"/>
      <c r="N48" s="3"/>
      <c r="O48" s="3"/>
      <c r="P48" s="3"/>
      <c r="Q48" s="3"/>
    </row>
    <row r="49" spans="2:17" s="8" customFormat="1">
      <c r="B49" s="3"/>
      <c r="C49" s="5"/>
      <c r="G49" s="6"/>
      <c r="M49" s="3"/>
      <c r="N49" s="3"/>
      <c r="O49" s="3"/>
      <c r="P49" s="3"/>
      <c r="Q49" s="3"/>
    </row>
    <row r="50" spans="2:17" s="8" customFormat="1">
      <c r="B50" s="3"/>
      <c r="C50" s="5"/>
      <c r="G50" s="6"/>
      <c r="M50" s="3"/>
      <c r="N50" s="3"/>
      <c r="O50" s="3"/>
      <c r="P50" s="3"/>
      <c r="Q50" s="3"/>
    </row>
    <row r="51" spans="2:17" s="8" customFormat="1">
      <c r="B51" s="3"/>
      <c r="C51" s="5"/>
      <c r="G51" s="6"/>
      <c r="M51" s="3"/>
      <c r="N51" s="3"/>
      <c r="O51" s="3"/>
      <c r="P51" s="3"/>
      <c r="Q51" s="3"/>
    </row>
    <row r="52" spans="2:17" s="8" customFormat="1">
      <c r="B52" s="3"/>
      <c r="C52" s="5"/>
      <c r="G52" s="6"/>
      <c r="M52" s="3"/>
      <c r="N52" s="3"/>
      <c r="O52" s="3"/>
      <c r="P52" s="3"/>
      <c r="Q52" s="3"/>
    </row>
    <row r="53" spans="2:17" s="8" customFormat="1">
      <c r="B53" s="3"/>
      <c r="C53" s="5"/>
      <c r="G53" s="6"/>
      <c r="M53" s="3"/>
      <c r="N53" s="3"/>
      <c r="O53" s="3"/>
      <c r="P53" s="3"/>
      <c r="Q53" s="3"/>
    </row>
    <row r="54" spans="2:17" s="8" customFormat="1">
      <c r="B54" s="3"/>
      <c r="C54" s="5"/>
      <c r="G54" s="6"/>
      <c r="M54" s="3"/>
      <c r="N54" s="3"/>
      <c r="O54" s="3"/>
      <c r="P54" s="3"/>
      <c r="Q54" s="3"/>
    </row>
    <row r="55" spans="2:17" s="8" customFormat="1">
      <c r="B55" s="3"/>
      <c r="C55" s="5"/>
      <c r="G55" s="6"/>
      <c r="M55" s="3"/>
      <c r="N55" s="3"/>
      <c r="O55" s="3"/>
      <c r="P55" s="3"/>
      <c r="Q55" s="3"/>
    </row>
    <row r="56" spans="2:17" s="8" customFormat="1">
      <c r="B56" s="3"/>
      <c r="C56" s="5"/>
      <c r="G56" s="6"/>
      <c r="M56" s="3"/>
      <c r="N56" s="3"/>
      <c r="O56" s="3"/>
      <c r="P56" s="3"/>
      <c r="Q56" s="3"/>
    </row>
    <row r="57" spans="2:17" s="8" customFormat="1">
      <c r="B57" s="3"/>
      <c r="C57" s="5"/>
      <c r="G57" s="6"/>
      <c r="M57" s="3"/>
      <c r="N57" s="3"/>
      <c r="O57" s="3"/>
      <c r="P57" s="3"/>
      <c r="Q57" s="3"/>
    </row>
    <row r="58" spans="2:17" s="8" customFormat="1">
      <c r="B58" s="3"/>
      <c r="C58" s="5"/>
      <c r="G58" s="6"/>
      <c r="M58" s="3"/>
      <c r="N58" s="3"/>
      <c r="O58" s="3"/>
      <c r="P58" s="3"/>
      <c r="Q58" s="3"/>
    </row>
    <row r="59" spans="2:17" s="8" customFormat="1">
      <c r="B59" s="3"/>
      <c r="C59" s="5"/>
      <c r="G59" s="6"/>
      <c r="M59" s="3"/>
      <c r="N59" s="3"/>
      <c r="O59" s="3"/>
      <c r="P59" s="3"/>
      <c r="Q59" s="3"/>
    </row>
    <row r="60" spans="2:17" s="8" customFormat="1">
      <c r="B60" s="3"/>
      <c r="C60" s="5"/>
      <c r="G60" s="6"/>
      <c r="M60" s="3"/>
      <c r="N60" s="3"/>
      <c r="O60" s="3"/>
      <c r="P60" s="3"/>
      <c r="Q60" s="3"/>
    </row>
    <row r="61" spans="2:17" s="8" customFormat="1">
      <c r="B61" s="3"/>
      <c r="C61" s="5"/>
      <c r="G61" s="6"/>
      <c r="M61" s="3"/>
      <c r="N61" s="3"/>
      <c r="O61" s="3"/>
      <c r="P61" s="3"/>
      <c r="Q61" s="3"/>
    </row>
    <row r="62" spans="2:17" s="8" customFormat="1">
      <c r="B62" s="3"/>
      <c r="C62" s="5"/>
      <c r="G62" s="6"/>
      <c r="M62" s="3"/>
      <c r="N62" s="3"/>
      <c r="O62" s="3"/>
      <c r="P62" s="3"/>
      <c r="Q62" s="3"/>
    </row>
    <row r="63" spans="2:17" s="8" customFormat="1">
      <c r="B63" s="3"/>
      <c r="C63" s="5"/>
      <c r="G63" s="6"/>
      <c r="M63" s="3"/>
      <c r="N63" s="3"/>
      <c r="O63" s="3"/>
      <c r="P63" s="3"/>
      <c r="Q63" s="3"/>
    </row>
    <row r="64" spans="2:17" s="8" customFormat="1">
      <c r="B64" s="3"/>
      <c r="C64" s="5"/>
      <c r="G64" s="6"/>
      <c r="M64" s="3"/>
      <c r="N64" s="3"/>
      <c r="O64" s="3"/>
      <c r="P64" s="3"/>
      <c r="Q64" s="3"/>
    </row>
    <row r="65" spans="1:17" s="8" customFormat="1">
      <c r="B65" s="3"/>
      <c r="C65" s="5"/>
      <c r="G65" s="6"/>
      <c r="M65" s="3"/>
      <c r="N65" s="3"/>
      <c r="O65" s="3"/>
      <c r="P65" s="3"/>
      <c r="Q65" s="3"/>
    </row>
    <row r="66" spans="1:17">
      <c r="A66" s="8"/>
      <c r="C66" s="5"/>
      <c r="D66" s="8"/>
      <c r="G66" s="6"/>
      <c r="I66" s="3"/>
    </row>
    <row r="67" spans="1:17">
      <c r="A67" s="8"/>
      <c r="C67" s="5"/>
      <c r="D67" s="8"/>
      <c r="G67" s="6"/>
      <c r="I67" s="3"/>
    </row>
    <row r="68" spans="1:17">
      <c r="A68" s="8"/>
      <c r="C68" s="5"/>
      <c r="D68" s="8"/>
      <c r="G68" s="6"/>
      <c r="I68" s="3"/>
    </row>
    <row r="69" spans="1:17">
      <c r="A69" s="8"/>
      <c r="C69" s="5"/>
      <c r="D69" s="8"/>
      <c r="G69" s="6"/>
      <c r="I69" s="3"/>
    </row>
    <row r="70" spans="1:17">
      <c r="A70" s="8"/>
      <c r="C70" s="5"/>
      <c r="D70" s="8"/>
      <c r="G70" s="6"/>
      <c r="I70" s="3"/>
    </row>
    <row r="71" spans="1:17">
      <c r="A71" s="8"/>
      <c r="C71" s="5"/>
      <c r="D71" s="8"/>
      <c r="G71" s="6"/>
      <c r="I71" s="3"/>
    </row>
    <row r="72" spans="1:17">
      <c r="A72" s="8"/>
      <c r="C72" s="5"/>
      <c r="D72" s="8"/>
      <c r="G72" s="6"/>
      <c r="I72" s="3"/>
    </row>
    <row r="73" spans="1:17">
      <c r="A73" s="8"/>
      <c r="C73" s="5"/>
      <c r="D73" s="8"/>
      <c r="G73" s="6"/>
      <c r="I73" s="3"/>
    </row>
    <row r="74" spans="1:17">
      <c r="A74" s="8"/>
      <c r="C74" s="5"/>
      <c r="D74" s="8"/>
      <c r="G74" s="6"/>
      <c r="I74" s="3"/>
    </row>
    <row r="75" spans="1:17">
      <c r="A75" s="8"/>
      <c r="C75" s="5"/>
      <c r="D75" s="8"/>
      <c r="G75" s="6"/>
      <c r="I75" s="3"/>
    </row>
    <row r="76" spans="1:17">
      <c r="A76" s="8"/>
      <c r="C76" s="5"/>
      <c r="D76" s="8"/>
      <c r="G76" s="6"/>
      <c r="I76" s="3"/>
    </row>
    <row r="77" spans="1:17">
      <c r="A77" s="8"/>
      <c r="C77" s="5"/>
      <c r="D77" s="8"/>
      <c r="G77" s="6"/>
      <c r="I77" s="3"/>
    </row>
    <row r="78" spans="1:17">
      <c r="A78" s="8"/>
      <c r="C78" s="5"/>
      <c r="D78" s="8"/>
      <c r="G78" s="6"/>
      <c r="I78" s="3"/>
    </row>
    <row r="79" spans="1:17">
      <c r="A79" s="8"/>
      <c r="C79" s="5"/>
      <c r="D79" s="8"/>
      <c r="G79" s="6"/>
      <c r="I79" s="3"/>
    </row>
    <row r="80" spans="1:17">
      <c r="A80" s="8"/>
      <c r="C80" s="5"/>
      <c r="D80" s="8"/>
      <c r="G80" s="6"/>
      <c r="I80" s="3"/>
    </row>
    <row r="81" spans="1:9">
      <c r="A81" s="8"/>
      <c r="C81" s="5"/>
      <c r="D81" s="8"/>
      <c r="G81" s="6"/>
      <c r="I81" s="3"/>
    </row>
    <row r="82" spans="1:9">
      <c r="A82" s="8"/>
      <c r="C82" s="5"/>
      <c r="D82" s="8"/>
      <c r="G82" s="6"/>
      <c r="I82" s="3"/>
    </row>
    <row r="83" spans="1:9">
      <c r="A83" s="8"/>
      <c r="C83" s="5"/>
      <c r="D83" s="8"/>
      <c r="G83" s="6"/>
      <c r="I83" s="3"/>
    </row>
    <row r="84" spans="1:9">
      <c r="A84" s="8"/>
      <c r="C84" s="5"/>
      <c r="D84" s="8"/>
      <c r="G84" s="6"/>
      <c r="I84" s="3"/>
    </row>
    <row r="85" spans="1:9">
      <c r="A85" s="8"/>
      <c r="C85" s="5"/>
      <c r="D85" s="8"/>
      <c r="G85" s="6"/>
      <c r="I85" s="3"/>
    </row>
    <row r="86" spans="1:9">
      <c r="A86" s="8"/>
      <c r="C86" s="5"/>
      <c r="D86" s="8"/>
      <c r="G86" s="6"/>
      <c r="I86" s="3"/>
    </row>
    <row r="87" spans="1:9">
      <c r="A87" s="8"/>
      <c r="C87" s="5"/>
      <c r="D87" s="8"/>
      <c r="G87" s="6"/>
      <c r="I87" s="3"/>
    </row>
    <row r="88" spans="1:9">
      <c r="A88" s="8"/>
      <c r="C88" s="5"/>
      <c r="D88" s="8"/>
      <c r="G88" s="6"/>
      <c r="I88" s="3"/>
    </row>
    <row r="89" spans="1:9">
      <c r="A89" s="8"/>
      <c r="C89" s="5"/>
      <c r="D89" s="8"/>
      <c r="G89" s="6"/>
      <c r="I89" s="3"/>
    </row>
    <row r="90" spans="1:9">
      <c r="A90" s="8"/>
      <c r="C90" s="5"/>
      <c r="D90" s="8"/>
      <c r="G90" s="6"/>
      <c r="I90" s="3"/>
    </row>
    <row r="91" spans="1:9">
      <c r="A91" s="8"/>
      <c r="C91" s="5"/>
      <c r="D91" s="8"/>
      <c r="G91" s="6"/>
      <c r="I91" s="3"/>
    </row>
    <row r="92" spans="1:9">
      <c r="A92" s="8"/>
      <c r="C92" s="5"/>
      <c r="D92" s="8"/>
      <c r="G92" s="6"/>
      <c r="I92" s="3"/>
    </row>
    <row r="93" spans="1:9">
      <c r="A93" s="8"/>
      <c r="C93" s="5"/>
      <c r="D93" s="8"/>
      <c r="G93" s="6"/>
      <c r="I93" s="3"/>
    </row>
    <row r="94" spans="1:9">
      <c r="A94" s="8"/>
      <c r="C94" s="5"/>
      <c r="D94" s="8"/>
      <c r="G94" s="6"/>
      <c r="I94" s="3"/>
    </row>
  </sheetData>
  <mergeCells count="1">
    <mergeCell ref="C2:Q2"/>
  </mergeCells>
  <conditionalFormatting sqref="C5:P39">
    <cfRule type="expression" dxfId="10" priority="1">
      <formula>ISERROR(C5)=TRUE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A56-538E-4157-A4E0-B603E6CB9AC0}">
  <dimension ref="B2:AH107"/>
  <sheetViews>
    <sheetView workbookViewId="0"/>
  </sheetViews>
  <sheetFormatPr defaultColWidth="9" defaultRowHeight="14.4" outlineLevelRow="1"/>
  <cols>
    <col min="1" max="1" width="9" style="3"/>
    <col min="2" max="2" width="9" style="6"/>
    <col min="3" max="3" width="9" style="3"/>
    <col min="4" max="34" width="6.59765625" style="3" customWidth="1"/>
    <col min="35" max="16384" width="9" style="3"/>
  </cols>
  <sheetData>
    <row r="2" spans="2:34">
      <c r="B2" s="236" t="s">
        <v>415</v>
      </c>
    </row>
    <row r="4" spans="2:34" ht="43.2">
      <c r="B4" s="424" t="s">
        <v>124</v>
      </c>
      <c r="C4" s="424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2:34">
      <c r="B5" s="427" t="s">
        <v>254</v>
      </c>
      <c r="C5" s="477">
        <v>0.7010581135248064</v>
      </c>
      <c r="D5" s="263" t="s">
        <v>237</v>
      </c>
      <c r="E5" s="263" t="s">
        <v>237</v>
      </c>
      <c r="F5" s="263" t="s">
        <v>237</v>
      </c>
      <c r="G5" s="263" t="s">
        <v>237</v>
      </c>
      <c r="H5" s="263" t="s">
        <v>237</v>
      </c>
      <c r="I5" s="263" t="s">
        <v>237</v>
      </c>
      <c r="J5" s="263" t="s">
        <v>237</v>
      </c>
      <c r="K5" s="263" t="s">
        <v>237</v>
      </c>
      <c r="L5" s="263" t="s">
        <v>237</v>
      </c>
      <c r="M5" s="263" t="s">
        <v>237</v>
      </c>
      <c r="N5" s="263" t="s">
        <v>237</v>
      </c>
      <c r="O5" s="263" t="s">
        <v>237</v>
      </c>
      <c r="P5" s="263" t="s">
        <v>237</v>
      </c>
      <c r="Q5" s="263" t="s">
        <v>237</v>
      </c>
      <c r="R5" s="263">
        <v>0.74784010279165758</v>
      </c>
      <c r="S5" s="263">
        <v>0.74855901546722514</v>
      </c>
      <c r="T5" s="263" t="s">
        <v>237</v>
      </c>
      <c r="U5" s="263">
        <v>0.97640305264096816</v>
      </c>
      <c r="V5" s="263" t="s">
        <v>237</v>
      </c>
      <c r="W5" s="263" t="s">
        <v>237</v>
      </c>
      <c r="X5" s="263" t="s">
        <v>237</v>
      </c>
      <c r="Y5" s="263">
        <v>0.95501647009241086</v>
      </c>
      <c r="Z5" s="263">
        <v>0.52055275166366799</v>
      </c>
      <c r="AA5" s="263">
        <v>0.7521927335933849</v>
      </c>
      <c r="AB5" s="263">
        <v>0.8901411654211635</v>
      </c>
      <c r="AC5" s="263">
        <v>0.72211137657008961</v>
      </c>
      <c r="AD5" s="263" t="s">
        <v>237</v>
      </c>
      <c r="AE5" s="263" t="s">
        <v>237</v>
      </c>
      <c r="AF5" s="263" t="s">
        <v>237</v>
      </c>
      <c r="AG5" s="263" t="s">
        <v>237</v>
      </c>
      <c r="AH5" s="263" t="s">
        <v>237</v>
      </c>
    </row>
    <row r="6" spans="2:34">
      <c r="B6" s="429" t="s">
        <v>257</v>
      </c>
      <c r="C6" s="478">
        <v>0.98773484065005468</v>
      </c>
      <c r="D6" s="260" t="s">
        <v>237</v>
      </c>
      <c r="E6" s="260" t="s">
        <v>237</v>
      </c>
      <c r="F6" s="260" t="s">
        <v>237</v>
      </c>
      <c r="G6" s="260" t="s">
        <v>237</v>
      </c>
      <c r="H6" s="260" t="s">
        <v>237</v>
      </c>
      <c r="I6" s="260" t="s">
        <v>237</v>
      </c>
      <c r="J6" s="260">
        <v>0.99717426758787964</v>
      </c>
      <c r="K6" s="260" t="s">
        <v>237</v>
      </c>
      <c r="L6" s="260" t="s">
        <v>237</v>
      </c>
      <c r="M6" s="260" t="s">
        <v>237</v>
      </c>
      <c r="N6" s="260" t="s">
        <v>237</v>
      </c>
      <c r="O6" s="260" t="s">
        <v>237</v>
      </c>
      <c r="P6" s="260" t="s">
        <v>237</v>
      </c>
      <c r="Q6" s="260" t="s">
        <v>237</v>
      </c>
      <c r="R6" s="260" t="s">
        <v>237</v>
      </c>
      <c r="S6" s="260" t="s">
        <v>237</v>
      </c>
      <c r="T6" s="260" t="s">
        <v>237</v>
      </c>
      <c r="U6" s="260">
        <v>0.98859671268713056</v>
      </c>
      <c r="V6" s="260" t="s">
        <v>237</v>
      </c>
      <c r="W6" s="260" t="s">
        <v>237</v>
      </c>
      <c r="X6" s="260" t="s">
        <v>237</v>
      </c>
      <c r="Y6" s="260" t="s">
        <v>237</v>
      </c>
      <c r="Z6" s="260" t="s">
        <v>237</v>
      </c>
      <c r="AA6" s="260" t="s">
        <v>237</v>
      </c>
      <c r="AB6" s="260" t="s">
        <v>237</v>
      </c>
      <c r="AC6" s="260">
        <v>1</v>
      </c>
      <c r="AD6" s="260" t="s">
        <v>237</v>
      </c>
      <c r="AE6" s="260" t="s">
        <v>237</v>
      </c>
      <c r="AF6" s="260" t="s">
        <v>237</v>
      </c>
      <c r="AG6" s="260" t="s">
        <v>237</v>
      </c>
      <c r="AH6" s="260">
        <v>0.98221457474605878</v>
      </c>
    </row>
    <row r="7" spans="2:34">
      <c r="B7" s="427" t="s">
        <v>265</v>
      </c>
      <c r="C7" s="477">
        <v>0.97101250731906963</v>
      </c>
      <c r="D7" s="263" t="s">
        <v>237</v>
      </c>
      <c r="E7" s="263" t="s">
        <v>237</v>
      </c>
      <c r="F7" s="263" t="s">
        <v>237</v>
      </c>
      <c r="G7" s="263" t="s">
        <v>237</v>
      </c>
      <c r="H7" s="263" t="s">
        <v>237</v>
      </c>
      <c r="I7" s="263" t="s">
        <v>237</v>
      </c>
      <c r="J7" s="263" t="s">
        <v>237</v>
      </c>
      <c r="K7" s="263" t="s">
        <v>237</v>
      </c>
      <c r="L7" s="263" t="s">
        <v>237</v>
      </c>
      <c r="M7" s="263" t="s">
        <v>237</v>
      </c>
      <c r="N7" s="263" t="s">
        <v>237</v>
      </c>
      <c r="O7" s="263" t="s">
        <v>237</v>
      </c>
      <c r="P7" s="263" t="s">
        <v>237</v>
      </c>
      <c r="Q7" s="263" t="s">
        <v>237</v>
      </c>
      <c r="R7" s="263" t="s">
        <v>237</v>
      </c>
      <c r="S7" s="263" t="s">
        <v>237</v>
      </c>
      <c r="T7" s="263" t="s">
        <v>237</v>
      </c>
      <c r="U7" s="263" t="s">
        <v>237</v>
      </c>
      <c r="V7" s="263" t="s">
        <v>237</v>
      </c>
      <c r="W7" s="263" t="s">
        <v>237</v>
      </c>
      <c r="X7" s="263" t="s">
        <v>237</v>
      </c>
      <c r="Y7" s="263">
        <v>0.99763985082809159</v>
      </c>
      <c r="Z7" s="263" t="s">
        <v>237</v>
      </c>
      <c r="AA7" s="263">
        <v>0.93143305840546897</v>
      </c>
      <c r="AB7" s="263" t="s">
        <v>237</v>
      </c>
      <c r="AC7" s="263" t="s">
        <v>237</v>
      </c>
      <c r="AD7" s="263">
        <v>0.98226250998713915</v>
      </c>
      <c r="AE7" s="263" t="s">
        <v>237</v>
      </c>
      <c r="AF7" s="263">
        <v>0.99454328228229083</v>
      </c>
      <c r="AG7" s="263" t="s">
        <v>237</v>
      </c>
      <c r="AH7" s="263">
        <v>0.97672213605591052</v>
      </c>
    </row>
    <row r="8" spans="2:34">
      <c r="B8" s="429" t="s">
        <v>292</v>
      </c>
      <c r="C8" s="478">
        <v>0.65933738723200019</v>
      </c>
      <c r="D8" s="260" t="s">
        <v>237</v>
      </c>
      <c r="E8" s="260" t="s">
        <v>237</v>
      </c>
      <c r="F8" s="260" t="s">
        <v>237</v>
      </c>
      <c r="G8" s="260" t="s">
        <v>237</v>
      </c>
      <c r="H8" s="260" t="s">
        <v>237</v>
      </c>
      <c r="I8" s="260" t="s">
        <v>237</v>
      </c>
      <c r="J8" s="260" t="s">
        <v>237</v>
      </c>
      <c r="K8" s="260" t="s">
        <v>237</v>
      </c>
      <c r="L8" s="260">
        <v>1</v>
      </c>
      <c r="M8" s="260" t="s">
        <v>237</v>
      </c>
      <c r="N8" s="260" t="s">
        <v>237</v>
      </c>
      <c r="O8" s="260" t="s">
        <v>237</v>
      </c>
      <c r="P8" s="260" t="s">
        <v>237</v>
      </c>
      <c r="Q8" s="260" t="s">
        <v>237</v>
      </c>
      <c r="R8" s="260" t="s">
        <v>237</v>
      </c>
      <c r="S8" s="260" t="s">
        <v>237</v>
      </c>
      <c r="T8" s="260" t="s">
        <v>237</v>
      </c>
      <c r="U8" s="260" t="s">
        <v>237</v>
      </c>
      <c r="V8" s="260" t="s">
        <v>237</v>
      </c>
      <c r="W8" s="260" t="s">
        <v>237</v>
      </c>
      <c r="X8" s="260" t="s">
        <v>237</v>
      </c>
      <c r="Y8" s="260" t="s">
        <v>237</v>
      </c>
      <c r="Z8" s="260">
        <v>0.58584609500455032</v>
      </c>
      <c r="AA8" s="260" t="s">
        <v>237</v>
      </c>
      <c r="AB8" s="260" t="s">
        <v>237</v>
      </c>
      <c r="AC8" s="260">
        <v>0.7362056613752006</v>
      </c>
      <c r="AD8" s="260">
        <v>0.20484805763017341</v>
      </c>
      <c r="AE8" s="260">
        <v>0.96680713121946782</v>
      </c>
      <c r="AF8" s="260" t="s">
        <v>237</v>
      </c>
      <c r="AG8" s="260" t="s">
        <v>237</v>
      </c>
      <c r="AH8" s="260" t="s">
        <v>237</v>
      </c>
    </row>
    <row r="9" spans="2:34">
      <c r="B9" s="427" t="s">
        <v>293</v>
      </c>
      <c r="C9" s="477">
        <v>0.97652752166663737</v>
      </c>
      <c r="D9" s="263" t="s">
        <v>237</v>
      </c>
      <c r="E9" s="263" t="s">
        <v>237</v>
      </c>
      <c r="F9" s="263" t="s">
        <v>237</v>
      </c>
      <c r="G9" s="263" t="s">
        <v>237</v>
      </c>
      <c r="H9" s="263" t="s">
        <v>237</v>
      </c>
      <c r="I9" s="263" t="s">
        <v>237</v>
      </c>
      <c r="J9" s="263" t="s">
        <v>237</v>
      </c>
      <c r="K9" s="263" t="s">
        <v>237</v>
      </c>
      <c r="L9" s="263" t="s">
        <v>237</v>
      </c>
      <c r="M9" s="263" t="s">
        <v>237</v>
      </c>
      <c r="N9" s="263" t="s">
        <v>237</v>
      </c>
      <c r="O9" s="263" t="s">
        <v>237</v>
      </c>
      <c r="P9" s="263" t="s">
        <v>237</v>
      </c>
      <c r="Q9" s="263" t="s">
        <v>237</v>
      </c>
      <c r="R9" s="263" t="s">
        <v>237</v>
      </c>
      <c r="S9" s="263" t="s">
        <v>237</v>
      </c>
      <c r="T9" s="263" t="s">
        <v>237</v>
      </c>
      <c r="U9" s="263" t="s">
        <v>237</v>
      </c>
      <c r="V9" s="263" t="s">
        <v>237</v>
      </c>
      <c r="W9" s="263" t="s">
        <v>237</v>
      </c>
      <c r="X9" s="263" t="s">
        <v>237</v>
      </c>
      <c r="Y9" s="263" t="s">
        <v>237</v>
      </c>
      <c r="Z9" s="263" t="s">
        <v>237</v>
      </c>
      <c r="AA9" s="263" t="s">
        <v>237</v>
      </c>
      <c r="AB9" s="263" t="s">
        <v>237</v>
      </c>
      <c r="AC9" s="263" t="s">
        <v>237</v>
      </c>
      <c r="AD9" s="263" t="s">
        <v>237</v>
      </c>
      <c r="AE9" s="263">
        <v>0.97075745467827979</v>
      </c>
      <c r="AF9" s="263">
        <v>0.9773518169506884</v>
      </c>
      <c r="AG9" s="263" t="s">
        <v>237</v>
      </c>
      <c r="AH9" s="263" t="s">
        <v>237</v>
      </c>
    </row>
    <row r="10" spans="2:34">
      <c r="B10" s="429" t="s">
        <v>300</v>
      </c>
      <c r="C10" s="478">
        <v>0.92802788404882819</v>
      </c>
      <c r="D10" s="260" t="s">
        <v>237</v>
      </c>
      <c r="E10" s="260" t="s">
        <v>237</v>
      </c>
      <c r="F10" s="260" t="s">
        <v>237</v>
      </c>
      <c r="G10" s="260" t="s">
        <v>237</v>
      </c>
      <c r="H10" s="260">
        <v>0.99151932301884738</v>
      </c>
      <c r="I10" s="260" t="s">
        <v>237</v>
      </c>
      <c r="J10" s="260" t="s">
        <v>237</v>
      </c>
      <c r="K10" s="260">
        <v>0.9994670017080588</v>
      </c>
      <c r="L10" s="260" t="s">
        <v>237</v>
      </c>
      <c r="M10" s="260">
        <v>0.99419900711345488</v>
      </c>
      <c r="N10" s="260" t="s">
        <v>237</v>
      </c>
      <c r="O10" s="260">
        <v>0.26600056516456178</v>
      </c>
      <c r="P10" s="260" t="s">
        <v>237</v>
      </c>
      <c r="Q10" s="260" t="s">
        <v>237</v>
      </c>
      <c r="R10" s="260" t="s">
        <v>237</v>
      </c>
      <c r="S10" s="260" t="s">
        <v>237</v>
      </c>
      <c r="T10" s="260" t="s">
        <v>237</v>
      </c>
      <c r="U10" s="260">
        <v>0.99965910059501861</v>
      </c>
      <c r="V10" s="260" t="s">
        <v>237</v>
      </c>
      <c r="W10" s="260" t="s">
        <v>237</v>
      </c>
      <c r="X10" s="260" t="s">
        <v>237</v>
      </c>
      <c r="Y10" s="260">
        <v>0.99004595488691738</v>
      </c>
      <c r="Z10" s="260">
        <v>0.92198963006565626</v>
      </c>
      <c r="AA10" s="260">
        <v>1</v>
      </c>
      <c r="AB10" s="260" t="s">
        <v>237</v>
      </c>
      <c r="AC10" s="260" t="s">
        <v>237</v>
      </c>
      <c r="AD10" s="260" t="s">
        <v>237</v>
      </c>
      <c r="AE10" s="260" t="s">
        <v>237</v>
      </c>
      <c r="AF10" s="260" t="s">
        <v>237</v>
      </c>
      <c r="AG10" s="260" t="s">
        <v>237</v>
      </c>
      <c r="AH10" s="260">
        <v>0.74685065406960827</v>
      </c>
    </row>
    <row r="11" spans="2:34">
      <c r="B11" s="427" t="s">
        <v>305</v>
      </c>
      <c r="C11" s="477">
        <v>0.53857776798701329</v>
      </c>
      <c r="D11" s="263" t="s">
        <v>237</v>
      </c>
      <c r="E11" s="263" t="s">
        <v>237</v>
      </c>
      <c r="F11" s="263" t="s">
        <v>237</v>
      </c>
      <c r="G11" s="263" t="s">
        <v>237</v>
      </c>
      <c r="H11" s="263" t="s">
        <v>237</v>
      </c>
      <c r="I11" s="263" t="s">
        <v>237</v>
      </c>
      <c r="J11" s="263" t="s">
        <v>237</v>
      </c>
      <c r="K11" s="263" t="s">
        <v>237</v>
      </c>
      <c r="L11" s="263" t="s">
        <v>237</v>
      </c>
      <c r="M11" s="263" t="s">
        <v>237</v>
      </c>
      <c r="N11" s="263" t="s">
        <v>237</v>
      </c>
      <c r="O11" s="263" t="s">
        <v>237</v>
      </c>
      <c r="P11" s="263" t="s">
        <v>237</v>
      </c>
      <c r="Q11" s="263" t="s">
        <v>237</v>
      </c>
      <c r="R11" s="263" t="s">
        <v>237</v>
      </c>
      <c r="S11" s="263">
        <v>0.9379578154164333</v>
      </c>
      <c r="T11" s="263">
        <v>0.8383263111248781</v>
      </c>
      <c r="U11" s="263" t="s">
        <v>237</v>
      </c>
      <c r="V11" s="263" t="s">
        <v>237</v>
      </c>
      <c r="W11" s="263" t="s">
        <v>237</v>
      </c>
      <c r="X11" s="263">
        <v>0.39303998742823337</v>
      </c>
      <c r="Y11" s="263" t="s">
        <v>237</v>
      </c>
      <c r="Z11" s="263" t="s">
        <v>237</v>
      </c>
      <c r="AA11" s="263" t="s">
        <v>237</v>
      </c>
      <c r="AB11" s="263" t="s">
        <v>237</v>
      </c>
      <c r="AC11" s="263">
        <v>0.45405542339792238</v>
      </c>
      <c r="AD11" s="263">
        <v>0.44933409882403569</v>
      </c>
      <c r="AE11" s="263">
        <v>2.7992780510230429E-2</v>
      </c>
      <c r="AF11" s="263">
        <v>0.48092879681194722</v>
      </c>
      <c r="AG11" s="263" t="s">
        <v>237</v>
      </c>
      <c r="AH11" s="263" t="s">
        <v>237</v>
      </c>
    </row>
    <row r="12" spans="2:34">
      <c r="B12" s="429" t="s">
        <v>348</v>
      </c>
      <c r="C12" s="478">
        <v>0.97233054434574462</v>
      </c>
      <c r="D12" s="260" t="s">
        <v>237</v>
      </c>
      <c r="E12" s="260" t="s">
        <v>237</v>
      </c>
      <c r="F12" s="260" t="s">
        <v>237</v>
      </c>
      <c r="G12" s="260" t="s">
        <v>237</v>
      </c>
      <c r="H12" s="260" t="s">
        <v>237</v>
      </c>
      <c r="I12" s="260" t="s">
        <v>237</v>
      </c>
      <c r="J12" s="260" t="s">
        <v>237</v>
      </c>
      <c r="K12" s="260" t="s">
        <v>237</v>
      </c>
      <c r="L12" s="260" t="s">
        <v>237</v>
      </c>
      <c r="M12" s="260" t="s">
        <v>237</v>
      </c>
      <c r="N12" s="260" t="s">
        <v>237</v>
      </c>
      <c r="O12" s="260" t="s">
        <v>237</v>
      </c>
      <c r="P12" s="260" t="s">
        <v>237</v>
      </c>
      <c r="Q12" s="260" t="s">
        <v>237</v>
      </c>
      <c r="R12" s="260" t="s">
        <v>237</v>
      </c>
      <c r="S12" s="260" t="s">
        <v>237</v>
      </c>
      <c r="T12" s="260">
        <v>0.9981978670770506</v>
      </c>
      <c r="U12" s="260" t="s">
        <v>237</v>
      </c>
      <c r="V12" s="260">
        <v>0.99906704861629014</v>
      </c>
      <c r="W12" s="260" t="s">
        <v>237</v>
      </c>
      <c r="X12" s="260" t="s">
        <v>237</v>
      </c>
      <c r="Y12" s="260" t="s">
        <v>237</v>
      </c>
      <c r="Z12" s="260" t="s">
        <v>237</v>
      </c>
      <c r="AA12" s="260">
        <v>0.94915339849382729</v>
      </c>
      <c r="AB12" s="260" t="s">
        <v>237</v>
      </c>
      <c r="AC12" s="260" t="s">
        <v>237</v>
      </c>
      <c r="AD12" s="260" t="s">
        <v>237</v>
      </c>
      <c r="AE12" s="260" t="s">
        <v>237</v>
      </c>
      <c r="AF12" s="260" t="s">
        <v>237</v>
      </c>
      <c r="AG12" s="260" t="s">
        <v>237</v>
      </c>
      <c r="AH12" s="260" t="s">
        <v>237</v>
      </c>
    </row>
    <row r="13" spans="2:34">
      <c r="B13" s="427" t="s">
        <v>314</v>
      </c>
      <c r="C13" s="477">
        <v>0.82296471658972892</v>
      </c>
      <c r="D13" s="263" t="s">
        <v>237</v>
      </c>
      <c r="E13" s="263" t="s">
        <v>237</v>
      </c>
      <c r="F13" s="263" t="s">
        <v>237</v>
      </c>
      <c r="G13" s="263" t="s">
        <v>237</v>
      </c>
      <c r="H13" s="263">
        <v>1</v>
      </c>
      <c r="I13" s="263" t="s">
        <v>237</v>
      </c>
      <c r="J13" s="263" t="s">
        <v>237</v>
      </c>
      <c r="K13" s="263" t="s">
        <v>237</v>
      </c>
      <c r="L13" s="263">
        <v>0.48211841573138442</v>
      </c>
      <c r="M13" s="263" t="s">
        <v>237</v>
      </c>
      <c r="N13" s="263">
        <v>0.94569554542927892</v>
      </c>
      <c r="O13" s="263" t="s">
        <v>237</v>
      </c>
      <c r="P13" s="263">
        <v>3.5443814921964821E-2</v>
      </c>
      <c r="Q13" s="263" t="s">
        <v>237</v>
      </c>
      <c r="R13" s="263">
        <v>0.993531916512989</v>
      </c>
      <c r="S13" s="263">
        <v>1</v>
      </c>
      <c r="T13" s="263" t="s">
        <v>237</v>
      </c>
      <c r="U13" s="263" t="s">
        <v>237</v>
      </c>
      <c r="V13" s="263" t="s">
        <v>237</v>
      </c>
      <c r="W13" s="263" t="s">
        <v>237</v>
      </c>
      <c r="X13" s="263" t="s">
        <v>237</v>
      </c>
      <c r="Y13" s="263" t="s">
        <v>237</v>
      </c>
      <c r="Z13" s="263" t="s">
        <v>237</v>
      </c>
      <c r="AA13" s="263" t="s">
        <v>237</v>
      </c>
      <c r="AB13" s="263" t="s">
        <v>237</v>
      </c>
      <c r="AC13" s="263">
        <v>0.9526572020659887</v>
      </c>
      <c r="AD13" s="263" t="s">
        <v>237</v>
      </c>
      <c r="AE13" s="263" t="s">
        <v>237</v>
      </c>
      <c r="AF13" s="263" t="s">
        <v>237</v>
      </c>
      <c r="AG13" s="263">
        <v>0.87401115265670526</v>
      </c>
      <c r="AH13" s="263" t="s">
        <v>237</v>
      </c>
    </row>
    <row r="14" spans="2:34">
      <c r="B14" s="429" t="s">
        <v>318</v>
      </c>
      <c r="C14" s="478">
        <v>0.47475084256037231</v>
      </c>
      <c r="D14" s="260" t="s">
        <v>237</v>
      </c>
      <c r="E14" s="260" t="s">
        <v>237</v>
      </c>
      <c r="F14" s="260" t="s">
        <v>237</v>
      </c>
      <c r="G14" s="260" t="s">
        <v>237</v>
      </c>
      <c r="H14" s="260" t="s">
        <v>237</v>
      </c>
      <c r="I14" s="260" t="s">
        <v>237</v>
      </c>
      <c r="J14" s="260" t="s">
        <v>237</v>
      </c>
      <c r="K14" s="260" t="s">
        <v>237</v>
      </c>
      <c r="L14" s="260" t="s">
        <v>237</v>
      </c>
      <c r="M14" s="260" t="s">
        <v>237</v>
      </c>
      <c r="N14" s="260">
        <v>0.82174763227605274</v>
      </c>
      <c r="O14" s="260" t="s">
        <v>237</v>
      </c>
      <c r="P14" s="260">
        <v>0.44727812788587118</v>
      </c>
      <c r="Q14" s="260" t="s">
        <v>237</v>
      </c>
      <c r="R14" s="260">
        <v>1</v>
      </c>
      <c r="S14" s="260">
        <v>0.42588124026531859</v>
      </c>
      <c r="T14" s="260" t="s">
        <v>237</v>
      </c>
      <c r="U14" s="260" t="s">
        <v>237</v>
      </c>
      <c r="V14" s="260">
        <v>0.40622782465875901</v>
      </c>
      <c r="W14" s="260">
        <v>0</v>
      </c>
      <c r="X14" s="260">
        <v>0</v>
      </c>
      <c r="Y14" s="260" t="s">
        <v>237</v>
      </c>
      <c r="Z14" s="260">
        <v>1</v>
      </c>
      <c r="AA14" s="260">
        <v>0.63791521254073791</v>
      </c>
      <c r="AB14" s="260">
        <v>0.57628705000607505</v>
      </c>
      <c r="AC14" s="260">
        <v>0.82341067610793595</v>
      </c>
      <c r="AD14" s="260">
        <v>0</v>
      </c>
      <c r="AE14" s="260" t="s">
        <v>237</v>
      </c>
      <c r="AF14" s="260" t="s">
        <v>237</v>
      </c>
      <c r="AG14" s="260" t="s">
        <v>237</v>
      </c>
      <c r="AH14" s="260" t="s">
        <v>237</v>
      </c>
    </row>
    <row r="15" spans="2:34">
      <c r="B15" s="427" t="s">
        <v>321</v>
      </c>
      <c r="C15" s="477">
        <v>0.73127033317621992</v>
      </c>
      <c r="D15" s="263" t="s">
        <v>237</v>
      </c>
      <c r="E15" s="263" t="s">
        <v>237</v>
      </c>
      <c r="F15" s="263" t="s">
        <v>237</v>
      </c>
      <c r="G15" s="263" t="s">
        <v>237</v>
      </c>
      <c r="H15" s="263">
        <v>0.55916911228504385</v>
      </c>
      <c r="I15" s="263">
        <v>0.81381465600346581</v>
      </c>
      <c r="J15" s="263" t="s">
        <v>237</v>
      </c>
      <c r="K15" s="263" t="s">
        <v>237</v>
      </c>
      <c r="L15" s="263" t="s">
        <v>237</v>
      </c>
      <c r="M15" s="263" t="s">
        <v>237</v>
      </c>
      <c r="N15" s="263" t="s">
        <v>237</v>
      </c>
      <c r="O15" s="263" t="s">
        <v>237</v>
      </c>
      <c r="P15" s="263" t="s">
        <v>237</v>
      </c>
      <c r="Q15" s="263" t="s">
        <v>237</v>
      </c>
      <c r="R15" s="263" t="s">
        <v>237</v>
      </c>
      <c r="S15" s="263">
        <v>0.69111182487178935</v>
      </c>
      <c r="T15" s="263">
        <v>0.90398980918588845</v>
      </c>
      <c r="U15" s="263">
        <v>0.94042948529777748</v>
      </c>
      <c r="V15" s="263">
        <v>0.92976244314309842</v>
      </c>
      <c r="W15" s="263" t="s">
        <v>237</v>
      </c>
      <c r="X15" s="263">
        <v>0.57857217918415538</v>
      </c>
      <c r="Y15" s="263">
        <v>0.98783916135215133</v>
      </c>
      <c r="Z15" s="263">
        <v>0.87219816751880075</v>
      </c>
      <c r="AA15" s="263">
        <v>0.54564500547748573</v>
      </c>
      <c r="AB15" s="263" t="s">
        <v>237</v>
      </c>
      <c r="AC15" s="263" t="s">
        <v>237</v>
      </c>
      <c r="AD15" s="263" t="s">
        <v>237</v>
      </c>
      <c r="AE15" s="263" t="s">
        <v>237</v>
      </c>
      <c r="AF15" s="263" t="s">
        <v>237</v>
      </c>
      <c r="AG15" s="263" t="s">
        <v>237</v>
      </c>
      <c r="AH15" s="263" t="s">
        <v>237</v>
      </c>
    </row>
    <row r="16" spans="2:34">
      <c r="B16" s="429" t="s">
        <v>325</v>
      </c>
      <c r="C16" s="478">
        <v>0.99459212547217435</v>
      </c>
      <c r="D16" s="260" t="s">
        <v>237</v>
      </c>
      <c r="E16" s="260" t="s">
        <v>237</v>
      </c>
      <c r="F16" s="260" t="s">
        <v>237</v>
      </c>
      <c r="G16" s="260" t="s">
        <v>237</v>
      </c>
      <c r="H16" s="260">
        <v>0.99620965041651877</v>
      </c>
      <c r="I16" s="260" t="s">
        <v>237</v>
      </c>
      <c r="J16" s="260" t="s">
        <v>237</v>
      </c>
      <c r="K16" s="260" t="s">
        <v>237</v>
      </c>
      <c r="L16" s="260" t="s">
        <v>237</v>
      </c>
      <c r="M16" s="260" t="s">
        <v>237</v>
      </c>
      <c r="N16" s="260" t="s">
        <v>237</v>
      </c>
      <c r="O16" s="260" t="s">
        <v>237</v>
      </c>
      <c r="P16" s="260" t="s">
        <v>237</v>
      </c>
      <c r="Q16" s="260" t="s">
        <v>237</v>
      </c>
      <c r="R16" s="260">
        <v>0.98956463253054372</v>
      </c>
      <c r="S16" s="260" t="s">
        <v>237</v>
      </c>
      <c r="T16" s="260" t="s">
        <v>237</v>
      </c>
      <c r="U16" s="260">
        <v>0.99676243331909831</v>
      </c>
      <c r="V16" s="260" t="s">
        <v>237</v>
      </c>
      <c r="W16" s="260" t="s">
        <v>237</v>
      </c>
      <c r="X16" s="260" t="s">
        <v>237</v>
      </c>
      <c r="Y16" s="260" t="s">
        <v>237</v>
      </c>
      <c r="Z16" s="260" t="s">
        <v>237</v>
      </c>
      <c r="AA16" s="260" t="s">
        <v>237</v>
      </c>
      <c r="AB16" s="260" t="s">
        <v>237</v>
      </c>
      <c r="AC16" s="260" t="s">
        <v>237</v>
      </c>
      <c r="AD16" s="260">
        <v>0.99896104514125783</v>
      </c>
      <c r="AE16" s="260" t="s">
        <v>237</v>
      </c>
      <c r="AF16" s="260" t="s">
        <v>237</v>
      </c>
      <c r="AG16" s="260">
        <v>0.99340059698405714</v>
      </c>
      <c r="AH16" s="260">
        <v>0.99100655850372987</v>
      </c>
    </row>
    <row r="17" spans="2:34">
      <c r="B17" s="427" t="s">
        <v>335</v>
      </c>
      <c r="C17" s="477">
        <v>0.85787810922028795</v>
      </c>
      <c r="D17" s="263" t="s">
        <v>237</v>
      </c>
      <c r="E17" s="263" t="s">
        <v>237</v>
      </c>
      <c r="F17" s="263" t="s">
        <v>237</v>
      </c>
      <c r="G17" s="263" t="s">
        <v>237</v>
      </c>
      <c r="H17" s="263" t="s">
        <v>237</v>
      </c>
      <c r="I17" s="263" t="s">
        <v>237</v>
      </c>
      <c r="J17" s="263" t="s">
        <v>237</v>
      </c>
      <c r="K17" s="263" t="s">
        <v>237</v>
      </c>
      <c r="L17" s="263" t="s">
        <v>237</v>
      </c>
      <c r="M17" s="263" t="s">
        <v>237</v>
      </c>
      <c r="N17" s="263" t="s">
        <v>237</v>
      </c>
      <c r="O17" s="263" t="s">
        <v>237</v>
      </c>
      <c r="P17" s="263" t="s">
        <v>237</v>
      </c>
      <c r="Q17" s="263" t="s">
        <v>237</v>
      </c>
      <c r="R17" s="263">
        <v>0.89821688355917861</v>
      </c>
      <c r="S17" s="263">
        <v>1</v>
      </c>
      <c r="T17" s="263">
        <v>0.83016034415739293</v>
      </c>
      <c r="U17" s="263" t="s">
        <v>237</v>
      </c>
      <c r="V17" s="263" t="s">
        <v>237</v>
      </c>
      <c r="W17" s="263">
        <v>0.45083143336931458</v>
      </c>
      <c r="X17" s="263">
        <v>0.88680926800175786</v>
      </c>
      <c r="Y17" s="263">
        <v>0.91944238983871351</v>
      </c>
      <c r="Z17" s="263">
        <v>0.9619990492518693</v>
      </c>
      <c r="AA17" s="263" t="s">
        <v>237</v>
      </c>
      <c r="AB17" s="263" t="s">
        <v>237</v>
      </c>
      <c r="AC17" s="263">
        <v>0.39382301823471882</v>
      </c>
      <c r="AD17" s="263" t="s">
        <v>237</v>
      </c>
      <c r="AE17" s="263" t="s">
        <v>237</v>
      </c>
      <c r="AF17" s="263" t="s">
        <v>237</v>
      </c>
      <c r="AG17" s="263" t="s">
        <v>237</v>
      </c>
      <c r="AH17" s="263" t="s">
        <v>237</v>
      </c>
    </row>
    <row r="18" spans="2:34" hidden="1" outlineLevel="1">
      <c r="B18" s="201">
        <v>0</v>
      </c>
      <c r="C18" s="202">
        <v>0</v>
      </c>
      <c r="D18" s="306" t="s">
        <v>237</v>
      </c>
      <c r="E18" s="307" t="s">
        <v>237</v>
      </c>
      <c r="F18" s="307" t="s">
        <v>237</v>
      </c>
      <c r="G18" s="307" t="s">
        <v>237</v>
      </c>
      <c r="H18" s="307" t="s">
        <v>237</v>
      </c>
      <c r="I18" s="307" t="s">
        <v>237</v>
      </c>
      <c r="J18" s="307" t="s">
        <v>237</v>
      </c>
      <c r="K18" s="307" t="s">
        <v>237</v>
      </c>
      <c r="L18" s="307" t="s">
        <v>237</v>
      </c>
      <c r="M18" s="307" t="s">
        <v>237</v>
      </c>
      <c r="N18" s="307" t="s">
        <v>237</v>
      </c>
      <c r="O18" s="307" t="s">
        <v>237</v>
      </c>
      <c r="P18" s="307" t="s">
        <v>237</v>
      </c>
      <c r="Q18" s="307" t="s">
        <v>237</v>
      </c>
      <c r="R18" s="307" t="s">
        <v>237</v>
      </c>
      <c r="S18" s="307" t="s">
        <v>237</v>
      </c>
      <c r="T18" s="307" t="s">
        <v>237</v>
      </c>
      <c r="U18" s="307" t="s">
        <v>237</v>
      </c>
      <c r="V18" s="307" t="s">
        <v>237</v>
      </c>
      <c r="W18" s="307" t="s">
        <v>237</v>
      </c>
      <c r="X18" s="307" t="s">
        <v>237</v>
      </c>
      <c r="Y18" s="307" t="s">
        <v>237</v>
      </c>
      <c r="Z18" s="307" t="s">
        <v>237</v>
      </c>
      <c r="AA18" s="307" t="s">
        <v>237</v>
      </c>
      <c r="AB18" s="307" t="s">
        <v>237</v>
      </c>
      <c r="AC18" s="307" t="s">
        <v>237</v>
      </c>
      <c r="AD18" s="307" t="s">
        <v>237</v>
      </c>
      <c r="AE18" s="307" t="s">
        <v>237</v>
      </c>
      <c r="AF18" s="307" t="s">
        <v>237</v>
      </c>
      <c r="AG18" s="307" t="s">
        <v>237</v>
      </c>
      <c r="AH18" s="308" t="s">
        <v>237</v>
      </c>
    </row>
    <row r="19" spans="2:34" hidden="1" outlineLevel="1">
      <c r="B19" s="87">
        <v>0</v>
      </c>
      <c r="C19" s="133">
        <v>0</v>
      </c>
      <c r="D19" s="262" t="s">
        <v>237</v>
      </c>
      <c r="E19" s="263" t="s">
        <v>237</v>
      </c>
      <c r="F19" s="263" t="s">
        <v>237</v>
      </c>
      <c r="G19" s="263" t="s">
        <v>237</v>
      </c>
      <c r="H19" s="263" t="s">
        <v>237</v>
      </c>
      <c r="I19" s="263" t="s">
        <v>237</v>
      </c>
      <c r="J19" s="263" t="s">
        <v>237</v>
      </c>
      <c r="K19" s="263" t="s">
        <v>237</v>
      </c>
      <c r="L19" s="263" t="s">
        <v>237</v>
      </c>
      <c r="M19" s="263" t="s">
        <v>237</v>
      </c>
      <c r="N19" s="263" t="s">
        <v>237</v>
      </c>
      <c r="O19" s="263" t="s">
        <v>237</v>
      </c>
      <c r="P19" s="263" t="s">
        <v>237</v>
      </c>
      <c r="Q19" s="263" t="s">
        <v>237</v>
      </c>
      <c r="R19" s="263" t="s">
        <v>237</v>
      </c>
      <c r="S19" s="263" t="s">
        <v>237</v>
      </c>
      <c r="T19" s="263" t="s">
        <v>237</v>
      </c>
      <c r="U19" s="263" t="s">
        <v>237</v>
      </c>
      <c r="V19" s="263" t="s">
        <v>237</v>
      </c>
      <c r="W19" s="263" t="s">
        <v>237</v>
      </c>
      <c r="X19" s="263" t="s">
        <v>237</v>
      </c>
      <c r="Y19" s="263" t="s">
        <v>237</v>
      </c>
      <c r="Z19" s="263" t="s">
        <v>237</v>
      </c>
      <c r="AA19" s="263" t="s">
        <v>237</v>
      </c>
      <c r="AB19" s="263" t="s">
        <v>237</v>
      </c>
      <c r="AC19" s="263" t="s">
        <v>237</v>
      </c>
      <c r="AD19" s="263" t="s">
        <v>237</v>
      </c>
      <c r="AE19" s="263" t="s">
        <v>237</v>
      </c>
      <c r="AF19" s="263" t="s">
        <v>237</v>
      </c>
      <c r="AG19" s="263" t="s">
        <v>237</v>
      </c>
      <c r="AH19" s="264" t="s">
        <v>237</v>
      </c>
    </row>
    <row r="20" spans="2:34" hidden="1" outlineLevel="1">
      <c r="B20" s="196">
        <v>0</v>
      </c>
      <c r="C20" s="197">
        <v>0</v>
      </c>
      <c r="D20" s="259" t="s">
        <v>237</v>
      </c>
      <c r="E20" s="260" t="s">
        <v>237</v>
      </c>
      <c r="F20" s="260" t="s">
        <v>237</v>
      </c>
      <c r="G20" s="260" t="s">
        <v>237</v>
      </c>
      <c r="H20" s="260" t="s">
        <v>237</v>
      </c>
      <c r="I20" s="260" t="s">
        <v>237</v>
      </c>
      <c r="J20" s="260" t="s">
        <v>237</v>
      </c>
      <c r="K20" s="260" t="s">
        <v>237</v>
      </c>
      <c r="L20" s="260" t="s">
        <v>237</v>
      </c>
      <c r="M20" s="260" t="s">
        <v>237</v>
      </c>
      <c r="N20" s="260" t="s">
        <v>237</v>
      </c>
      <c r="O20" s="260" t="s">
        <v>237</v>
      </c>
      <c r="P20" s="260" t="s">
        <v>237</v>
      </c>
      <c r="Q20" s="260" t="s">
        <v>237</v>
      </c>
      <c r="R20" s="260" t="s">
        <v>237</v>
      </c>
      <c r="S20" s="260" t="s">
        <v>237</v>
      </c>
      <c r="T20" s="260" t="s">
        <v>237</v>
      </c>
      <c r="U20" s="260" t="s">
        <v>237</v>
      </c>
      <c r="V20" s="260" t="s">
        <v>237</v>
      </c>
      <c r="W20" s="260" t="s">
        <v>237</v>
      </c>
      <c r="X20" s="260" t="s">
        <v>237</v>
      </c>
      <c r="Y20" s="260" t="s">
        <v>237</v>
      </c>
      <c r="Z20" s="260" t="s">
        <v>237</v>
      </c>
      <c r="AA20" s="260" t="s">
        <v>237</v>
      </c>
      <c r="AB20" s="260" t="s">
        <v>237</v>
      </c>
      <c r="AC20" s="260" t="s">
        <v>237</v>
      </c>
      <c r="AD20" s="260" t="s">
        <v>237</v>
      </c>
      <c r="AE20" s="260" t="s">
        <v>237</v>
      </c>
      <c r="AF20" s="260" t="s">
        <v>237</v>
      </c>
      <c r="AG20" s="260" t="s">
        <v>237</v>
      </c>
      <c r="AH20" s="261" t="s">
        <v>237</v>
      </c>
    </row>
    <row r="21" spans="2:34" hidden="1" outlineLevel="1">
      <c r="B21" s="87">
        <v>0</v>
      </c>
      <c r="C21" s="133">
        <v>0</v>
      </c>
      <c r="D21" s="262" t="s">
        <v>237</v>
      </c>
      <c r="E21" s="263" t="s">
        <v>237</v>
      </c>
      <c r="F21" s="263" t="s">
        <v>237</v>
      </c>
      <c r="G21" s="263" t="s">
        <v>237</v>
      </c>
      <c r="H21" s="263" t="s">
        <v>237</v>
      </c>
      <c r="I21" s="263" t="s">
        <v>237</v>
      </c>
      <c r="J21" s="263" t="s">
        <v>237</v>
      </c>
      <c r="K21" s="263" t="s">
        <v>237</v>
      </c>
      <c r="L21" s="263" t="s">
        <v>237</v>
      </c>
      <c r="M21" s="263" t="s">
        <v>237</v>
      </c>
      <c r="N21" s="263" t="s">
        <v>237</v>
      </c>
      <c r="O21" s="263" t="s">
        <v>237</v>
      </c>
      <c r="P21" s="263" t="s">
        <v>237</v>
      </c>
      <c r="Q21" s="263" t="s">
        <v>237</v>
      </c>
      <c r="R21" s="263" t="s">
        <v>237</v>
      </c>
      <c r="S21" s="263" t="s">
        <v>237</v>
      </c>
      <c r="T21" s="263" t="s">
        <v>237</v>
      </c>
      <c r="U21" s="263" t="s">
        <v>237</v>
      </c>
      <c r="V21" s="263" t="s">
        <v>237</v>
      </c>
      <c r="W21" s="263" t="s">
        <v>237</v>
      </c>
      <c r="X21" s="263" t="s">
        <v>237</v>
      </c>
      <c r="Y21" s="263" t="s">
        <v>237</v>
      </c>
      <c r="Z21" s="263" t="s">
        <v>237</v>
      </c>
      <c r="AA21" s="263" t="s">
        <v>237</v>
      </c>
      <c r="AB21" s="263" t="s">
        <v>237</v>
      </c>
      <c r="AC21" s="263" t="s">
        <v>237</v>
      </c>
      <c r="AD21" s="263" t="s">
        <v>237</v>
      </c>
      <c r="AE21" s="263" t="s">
        <v>237</v>
      </c>
      <c r="AF21" s="263" t="s">
        <v>237</v>
      </c>
      <c r="AG21" s="263" t="s">
        <v>237</v>
      </c>
      <c r="AH21" s="264" t="s">
        <v>237</v>
      </c>
    </row>
    <row r="22" spans="2:34" hidden="1" outlineLevel="1">
      <c r="B22" s="196">
        <v>0</v>
      </c>
      <c r="C22" s="197">
        <v>0</v>
      </c>
      <c r="D22" s="259" t="s">
        <v>237</v>
      </c>
      <c r="E22" s="260" t="s">
        <v>237</v>
      </c>
      <c r="F22" s="260" t="s">
        <v>237</v>
      </c>
      <c r="G22" s="260" t="s">
        <v>237</v>
      </c>
      <c r="H22" s="260" t="s">
        <v>237</v>
      </c>
      <c r="I22" s="260" t="s">
        <v>237</v>
      </c>
      <c r="J22" s="260" t="s">
        <v>237</v>
      </c>
      <c r="K22" s="260" t="s">
        <v>237</v>
      </c>
      <c r="L22" s="260" t="s">
        <v>237</v>
      </c>
      <c r="M22" s="260" t="s">
        <v>237</v>
      </c>
      <c r="N22" s="260" t="s">
        <v>237</v>
      </c>
      <c r="O22" s="260" t="s">
        <v>237</v>
      </c>
      <c r="P22" s="260" t="s">
        <v>237</v>
      </c>
      <c r="Q22" s="260" t="s">
        <v>237</v>
      </c>
      <c r="R22" s="260" t="s">
        <v>237</v>
      </c>
      <c r="S22" s="260" t="s">
        <v>237</v>
      </c>
      <c r="T22" s="260" t="s">
        <v>237</v>
      </c>
      <c r="U22" s="260" t="s">
        <v>237</v>
      </c>
      <c r="V22" s="260" t="s">
        <v>237</v>
      </c>
      <c r="W22" s="260" t="s">
        <v>237</v>
      </c>
      <c r="X22" s="260" t="s">
        <v>237</v>
      </c>
      <c r="Y22" s="260" t="s">
        <v>237</v>
      </c>
      <c r="Z22" s="260" t="s">
        <v>237</v>
      </c>
      <c r="AA22" s="260" t="s">
        <v>237</v>
      </c>
      <c r="AB22" s="260" t="s">
        <v>237</v>
      </c>
      <c r="AC22" s="260" t="s">
        <v>237</v>
      </c>
      <c r="AD22" s="260" t="s">
        <v>237</v>
      </c>
      <c r="AE22" s="260" t="s">
        <v>237</v>
      </c>
      <c r="AF22" s="260" t="s">
        <v>237</v>
      </c>
      <c r="AG22" s="260" t="s">
        <v>237</v>
      </c>
      <c r="AH22" s="261" t="s">
        <v>237</v>
      </c>
    </row>
    <row r="23" spans="2:34" hidden="1" outlineLevel="1">
      <c r="B23" s="87">
        <v>0</v>
      </c>
      <c r="C23" s="133">
        <v>0</v>
      </c>
      <c r="D23" s="262" t="s">
        <v>237</v>
      </c>
      <c r="E23" s="263" t="s">
        <v>237</v>
      </c>
      <c r="F23" s="263" t="s">
        <v>237</v>
      </c>
      <c r="G23" s="263" t="s">
        <v>237</v>
      </c>
      <c r="H23" s="263" t="s">
        <v>237</v>
      </c>
      <c r="I23" s="263" t="s">
        <v>237</v>
      </c>
      <c r="J23" s="263" t="s">
        <v>237</v>
      </c>
      <c r="K23" s="263" t="s">
        <v>237</v>
      </c>
      <c r="L23" s="263" t="s">
        <v>237</v>
      </c>
      <c r="M23" s="263" t="s">
        <v>237</v>
      </c>
      <c r="N23" s="263" t="s">
        <v>237</v>
      </c>
      <c r="O23" s="263" t="s">
        <v>237</v>
      </c>
      <c r="P23" s="263" t="s">
        <v>237</v>
      </c>
      <c r="Q23" s="263" t="s">
        <v>237</v>
      </c>
      <c r="R23" s="263" t="s">
        <v>237</v>
      </c>
      <c r="S23" s="263" t="s">
        <v>237</v>
      </c>
      <c r="T23" s="263" t="s">
        <v>237</v>
      </c>
      <c r="U23" s="263" t="s">
        <v>237</v>
      </c>
      <c r="V23" s="263" t="s">
        <v>237</v>
      </c>
      <c r="W23" s="263" t="s">
        <v>237</v>
      </c>
      <c r="X23" s="263" t="s">
        <v>237</v>
      </c>
      <c r="Y23" s="263" t="s">
        <v>237</v>
      </c>
      <c r="Z23" s="263" t="s">
        <v>237</v>
      </c>
      <c r="AA23" s="263" t="s">
        <v>237</v>
      </c>
      <c r="AB23" s="263" t="s">
        <v>237</v>
      </c>
      <c r="AC23" s="263" t="s">
        <v>237</v>
      </c>
      <c r="AD23" s="263" t="s">
        <v>237</v>
      </c>
      <c r="AE23" s="263" t="s">
        <v>237</v>
      </c>
      <c r="AF23" s="263" t="s">
        <v>237</v>
      </c>
      <c r="AG23" s="263" t="s">
        <v>237</v>
      </c>
      <c r="AH23" s="264" t="s">
        <v>237</v>
      </c>
    </row>
    <row r="24" spans="2:34" hidden="1" outlineLevel="1">
      <c r="B24" s="196">
        <v>0</v>
      </c>
      <c r="C24" s="197">
        <v>0</v>
      </c>
      <c r="D24" s="259" t="s">
        <v>237</v>
      </c>
      <c r="E24" s="260" t="s">
        <v>237</v>
      </c>
      <c r="F24" s="260" t="s">
        <v>237</v>
      </c>
      <c r="G24" s="260" t="s">
        <v>237</v>
      </c>
      <c r="H24" s="260" t="s">
        <v>237</v>
      </c>
      <c r="I24" s="260" t="s">
        <v>237</v>
      </c>
      <c r="J24" s="260" t="s">
        <v>237</v>
      </c>
      <c r="K24" s="260" t="s">
        <v>237</v>
      </c>
      <c r="L24" s="260" t="s">
        <v>237</v>
      </c>
      <c r="M24" s="260" t="s">
        <v>237</v>
      </c>
      <c r="N24" s="260" t="s">
        <v>237</v>
      </c>
      <c r="O24" s="260" t="s">
        <v>237</v>
      </c>
      <c r="P24" s="260" t="s">
        <v>237</v>
      </c>
      <c r="Q24" s="260" t="s">
        <v>237</v>
      </c>
      <c r="R24" s="260" t="s">
        <v>237</v>
      </c>
      <c r="S24" s="260" t="s">
        <v>237</v>
      </c>
      <c r="T24" s="260" t="s">
        <v>237</v>
      </c>
      <c r="U24" s="260" t="s">
        <v>237</v>
      </c>
      <c r="V24" s="260" t="s">
        <v>237</v>
      </c>
      <c r="W24" s="260" t="s">
        <v>237</v>
      </c>
      <c r="X24" s="260" t="s">
        <v>237</v>
      </c>
      <c r="Y24" s="260" t="s">
        <v>237</v>
      </c>
      <c r="Z24" s="260" t="s">
        <v>237</v>
      </c>
      <c r="AA24" s="260" t="s">
        <v>237</v>
      </c>
      <c r="AB24" s="260" t="s">
        <v>237</v>
      </c>
      <c r="AC24" s="260" t="s">
        <v>237</v>
      </c>
      <c r="AD24" s="260" t="s">
        <v>237</v>
      </c>
      <c r="AE24" s="260" t="s">
        <v>237</v>
      </c>
      <c r="AF24" s="260" t="s">
        <v>237</v>
      </c>
      <c r="AG24" s="260" t="s">
        <v>237</v>
      </c>
      <c r="AH24" s="261" t="s">
        <v>237</v>
      </c>
    </row>
    <row r="25" spans="2:34" hidden="1" outlineLevel="1">
      <c r="B25" s="87">
        <v>0</v>
      </c>
      <c r="C25" s="133">
        <v>0</v>
      </c>
      <c r="D25" s="262" t="s">
        <v>237</v>
      </c>
      <c r="E25" s="263" t="s">
        <v>237</v>
      </c>
      <c r="F25" s="263" t="s">
        <v>237</v>
      </c>
      <c r="G25" s="263" t="s">
        <v>237</v>
      </c>
      <c r="H25" s="263" t="s">
        <v>237</v>
      </c>
      <c r="I25" s="263" t="s">
        <v>237</v>
      </c>
      <c r="J25" s="263" t="s">
        <v>237</v>
      </c>
      <c r="K25" s="263" t="s">
        <v>237</v>
      </c>
      <c r="L25" s="263" t="s">
        <v>237</v>
      </c>
      <c r="M25" s="263" t="s">
        <v>237</v>
      </c>
      <c r="N25" s="263" t="s">
        <v>237</v>
      </c>
      <c r="O25" s="263" t="s">
        <v>237</v>
      </c>
      <c r="P25" s="263" t="s">
        <v>237</v>
      </c>
      <c r="Q25" s="263" t="s">
        <v>237</v>
      </c>
      <c r="R25" s="263" t="s">
        <v>237</v>
      </c>
      <c r="S25" s="263" t="s">
        <v>237</v>
      </c>
      <c r="T25" s="263" t="s">
        <v>237</v>
      </c>
      <c r="U25" s="263" t="s">
        <v>237</v>
      </c>
      <c r="V25" s="263" t="s">
        <v>237</v>
      </c>
      <c r="W25" s="263" t="s">
        <v>237</v>
      </c>
      <c r="X25" s="263" t="s">
        <v>237</v>
      </c>
      <c r="Y25" s="263" t="s">
        <v>237</v>
      </c>
      <c r="Z25" s="263" t="s">
        <v>237</v>
      </c>
      <c r="AA25" s="263" t="s">
        <v>237</v>
      </c>
      <c r="AB25" s="263" t="s">
        <v>237</v>
      </c>
      <c r="AC25" s="263" t="s">
        <v>237</v>
      </c>
      <c r="AD25" s="263" t="s">
        <v>237</v>
      </c>
      <c r="AE25" s="263" t="s">
        <v>237</v>
      </c>
      <c r="AF25" s="263" t="s">
        <v>237</v>
      </c>
      <c r="AG25" s="263" t="s">
        <v>237</v>
      </c>
      <c r="AH25" s="264" t="s">
        <v>237</v>
      </c>
    </row>
    <row r="26" spans="2:34" hidden="1" outlineLevel="1">
      <c r="B26" s="196">
        <v>0</v>
      </c>
      <c r="C26" s="197">
        <v>0</v>
      </c>
      <c r="D26" s="259" t="s">
        <v>237</v>
      </c>
      <c r="E26" s="260" t="s">
        <v>237</v>
      </c>
      <c r="F26" s="260" t="s">
        <v>237</v>
      </c>
      <c r="G26" s="260" t="s">
        <v>237</v>
      </c>
      <c r="H26" s="260" t="s">
        <v>237</v>
      </c>
      <c r="I26" s="260" t="s">
        <v>237</v>
      </c>
      <c r="J26" s="260" t="s">
        <v>237</v>
      </c>
      <c r="K26" s="260" t="s">
        <v>237</v>
      </c>
      <c r="L26" s="260" t="s">
        <v>237</v>
      </c>
      <c r="M26" s="260" t="s">
        <v>237</v>
      </c>
      <c r="N26" s="260" t="s">
        <v>237</v>
      </c>
      <c r="O26" s="260" t="s">
        <v>237</v>
      </c>
      <c r="P26" s="260" t="s">
        <v>237</v>
      </c>
      <c r="Q26" s="260" t="s">
        <v>237</v>
      </c>
      <c r="R26" s="260" t="s">
        <v>237</v>
      </c>
      <c r="S26" s="260" t="s">
        <v>237</v>
      </c>
      <c r="T26" s="260" t="s">
        <v>237</v>
      </c>
      <c r="U26" s="260" t="s">
        <v>237</v>
      </c>
      <c r="V26" s="260" t="s">
        <v>237</v>
      </c>
      <c r="W26" s="260" t="s">
        <v>237</v>
      </c>
      <c r="X26" s="260" t="s">
        <v>237</v>
      </c>
      <c r="Y26" s="260" t="s">
        <v>237</v>
      </c>
      <c r="Z26" s="260" t="s">
        <v>237</v>
      </c>
      <c r="AA26" s="260" t="s">
        <v>237</v>
      </c>
      <c r="AB26" s="260" t="s">
        <v>237</v>
      </c>
      <c r="AC26" s="260" t="s">
        <v>237</v>
      </c>
      <c r="AD26" s="260" t="s">
        <v>237</v>
      </c>
      <c r="AE26" s="260" t="s">
        <v>237</v>
      </c>
      <c r="AF26" s="260" t="s">
        <v>237</v>
      </c>
      <c r="AG26" s="260" t="s">
        <v>237</v>
      </c>
      <c r="AH26" s="261" t="s">
        <v>237</v>
      </c>
    </row>
    <row r="27" spans="2:34" hidden="1" outlineLevel="1">
      <c r="B27" s="87">
        <v>0</v>
      </c>
      <c r="C27" s="133">
        <v>0</v>
      </c>
      <c r="D27" s="262" t="s">
        <v>237</v>
      </c>
      <c r="E27" s="263" t="s">
        <v>237</v>
      </c>
      <c r="F27" s="263" t="s">
        <v>237</v>
      </c>
      <c r="G27" s="263" t="s">
        <v>237</v>
      </c>
      <c r="H27" s="263" t="s">
        <v>237</v>
      </c>
      <c r="I27" s="263" t="s">
        <v>237</v>
      </c>
      <c r="J27" s="263" t="s">
        <v>237</v>
      </c>
      <c r="K27" s="263" t="s">
        <v>237</v>
      </c>
      <c r="L27" s="263" t="s">
        <v>237</v>
      </c>
      <c r="M27" s="263" t="s">
        <v>237</v>
      </c>
      <c r="N27" s="263" t="s">
        <v>237</v>
      </c>
      <c r="O27" s="263" t="s">
        <v>237</v>
      </c>
      <c r="P27" s="263" t="s">
        <v>237</v>
      </c>
      <c r="Q27" s="263" t="s">
        <v>237</v>
      </c>
      <c r="R27" s="263" t="s">
        <v>237</v>
      </c>
      <c r="S27" s="263" t="s">
        <v>237</v>
      </c>
      <c r="T27" s="263" t="s">
        <v>237</v>
      </c>
      <c r="U27" s="263" t="s">
        <v>237</v>
      </c>
      <c r="V27" s="263" t="s">
        <v>237</v>
      </c>
      <c r="W27" s="263" t="s">
        <v>237</v>
      </c>
      <c r="X27" s="263" t="s">
        <v>237</v>
      </c>
      <c r="Y27" s="263" t="s">
        <v>237</v>
      </c>
      <c r="Z27" s="263" t="s">
        <v>237</v>
      </c>
      <c r="AA27" s="263" t="s">
        <v>237</v>
      </c>
      <c r="AB27" s="263" t="s">
        <v>237</v>
      </c>
      <c r="AC27" s="263" t="s">
        <v>237</v>
      </c>
      <c r="AD27" s="263" t="s">
        <v>237</v>
      </c>
      <c r="AE27" s="263" t="s">
        <v>237</v>
      </c>
      <c r="AF27" s="263" t="s">
        <v>237</v>
      </c>
      <c r="AG27" s="263" t="s">
        <v>237</v>
      </c>
      <c r="AH27" s="264" t="s">
        <v>237</v>
      </c>
    </row>
    <row r="28" spans="2:34" hidden="1" outlineLevel="1">
      <c r="B28" s="196">
        <v>0</v>
      </c>
      <c r="C28" s="197">
        <v>0</v>
      </c>
      <c r="D28" s="259" t="s">
        <v>237</v>
      </c>
      <c r="E28" s="260" t="s">
        <v>237</v>
      </c>
      <c r="F28" s="260" t="s">
        <v>237</v>
      </c>
      <c r="G28" s="260" t="s">
        <v>237</v>
      </c>
      <c r="H28" s="260" t="s">
        <v>237</v>
      </c>
      <c r="I28" s="260" t="s">
        <v>237</v>
      </c>
      <c r="J28" s="260" t="s">
        <v>237</v>
      </c>
      <c r="K28" s="260" t="s">
        <v>237</v>
      </c>
      <c r="L28" s="260" t="s">
        <v>237</v>
      </c>
      <c r="M28" s="260" t="s">
        <v>237</v>
      </c>
      <c r="N28" s="260" t="s">
        <v>237</v>
      </c>
      <c r="O28" s="260" t="s">
        <v>237</v>
      </c>
      <c r="P28" s="260" t="s">
        <v>237</v>
      </c>
      <c r="Q28" s="260" t="s">
        <v>237</v>
      </c>
      <c r="R28" s="260" t="s">
        <v>237</v>
      </c>
      <c r="S28" s="260" t="s">
        <v>237</v>
      </c>
      <c r="T28" s="260" t="s">
        <v>237</v>
      </c>
      <c r="U28" s="260" t="s">
        <v>237</v>
      </c>
      <c r="V28" s="260" t="s">
        <v>237</v>
      </c>
      <c r="W28" s="260" t="s">
        <v>237</v>
      </c>
      <c r="X28" s="260" t="s">
        <v>237</v>
      </c>
      <c r="Y28" s="260" t="s">
        <v>237</v>
      </c>
      <c r="Z28" s="260" t="s">
        <v>237</v>
      </c>
      <c r="AA28" s="260" t="s">
        <v>237</v>
      </c>
      <c r="AB28" s="260" t="s">
        <v>237</v>
      </c>
      <c r="AC28" s="260" t="s">
        <v>237</v>
      </c>
      <c r="AD28" s="260" t="s">
        <v>237</v>
      </c>
      <c r="AE28" s="260" t="s">
        <v>237</v>
      </c>
      <c r="AF28" s="260" t="s">
        <v>237</v>
      </c>
      <c r="AG28" s="260" t="s">
        <v>237</v>
      </c>
      <c r="AH28" s="261" t="s">
        <v>237</v>
      </c>
    </row>
    <row r="29" spans="2:34" hidden="1" outlineLevel="1">
      <c r="B29" s="87">
        <v>0</v>
      </c>
      <c r="C29" s="133">
        <v>0</v>
      </c>
      <c r="D29" s="262" t="s">
        <v>237</v>
      </c>
      <c r="E29" s="263" t="s">
        <v>237</v>
      </c>
      <c r="F29" s="263" t="s">
        <v>237</v>
      </c>
      <c r="G29" s="263" t="s">
        <v>237</v>
      </c>
      <c r="H29" s="263" t="s">
        <v>237</v>
      </c>
      <c r="I29" s="263" t="s">
        <v>237</v>
      </c>
      <c r="J29" s="263" t="s">
        <v>237</v>
      </c>
      <c r="K29" s="263" t="s">
        <v>237</v>
      </c>
      <c r="L29" s="263" t="s">
        <v>237</v>
      </c>
      <c r="M29" s="263" t="s">
        <v>237</v>
      </c>
      <c r="N29" s="263" t="s">
        <v>237</v>
      </c>
      <c r="O29" s="263" t="s">
        <v>237</v>
      </c>
      <c r="P29" s="263" t="s">
        <v>237</v>
      </c>
      <c r="Q29" s="263" t="s">
        <v>237</v>
      </c>
      <c r="R29" s="263" t="s">
        <v>237</v>
      </c>
      <c r="S29" s="263" t="s">
        <v>237</v>
      </c>
      <c r="T29" s="263" t="s">
        <v>237</v>
      </c>
      <c r="U29" s="263" t="s">
        <v>237</v>
      </c>
      <c r="V29" s="263" t="s">
        <v>237</v>
      </c>
      <c r="W29" s="263" t="s">
        <v>237</v>
      </c>
      <c r="X29" s="263" t="s">
        <v>237</v>
      </c>
      <c r="Y29" s="263" t="s">
        <v>237</v>
      </c>
      <c r="Z29" s="263" t="s">
        <v>237</v>
      </c>
      <c r="AA29" s="263" t="s">
        <v>237</v>
      </c>
      <c r="AB29" s="263" t="s">
        <v>237</v>
      </c>
      <c r="AC29" s="263" t="s">
        <v>237</v>
      </c>
      <c r="AD29" s="263" t="s">
        <v>237</v>
      </c>
      <c r="AE29" s="263" t="s">
        <v>237</v>
      </c>
      <c r="AF29" s="263" t="s">
        <v>237</v>
      </c>
      <c r="AG29" s="263" t="s">
        <v>237</v>
      </c>
      <c r="AH29" s="264" t="s">
        <v>237</v>
      </c>
    </row>
    <row r="30" spans="2:34" hidden="1" outlineLevel="1">
      <c r="B30" s="196">
        <v>0</v>
      </c>
      <c r="C30" s="197">
        <v>0</v>
      </c>
      <c r="D30" s="259" t="s">
        <v>237</v>
      </c>
      <c r="E30" s="260" t="s">
        <v>237</v>
      </c>
      <c r="F30" s="260" t="s">
        <v>237</v>
      </c>
      <c r="G30" s="260" t="s">
        <v>237</v>
      </c>
      <c r="H30" s="260" t="s">
        <v>237</v>
      </c>
      <c r="I30" s="260" t="s">
        <v>237</v>
      </c>
      <c r="J30" s="260" t="s">
        <v>237</v>
      </c>
      <c r="K30" s="260" t="s">
        <v>237</v>
      </c>
      <c r="L30" s="260" t="s">
        <v>237</v>
      </c>
      <c r="M30" s="260" t="s">
        <v>237</v>
      </c>
      <c r="N30" s="260" t="s">
        <v>237</v>
      </c>
      <c r="O30" s="260" t="s">
        <v>237</v>
      </c>
      <c r="P30" s="260" t="s">
        <v>237</v>
      </c>
      <c r="Q30" s="260" t="s">
        <v>237</v>
      </c>
      <c r="R30" s="260" t="s">
        <v>237</v>
      </c>
      <c r="S30" s="260" t="s">
        <v>237</v>
      </c>
      <c r="T30" s="260" t="s">
        <v>237</v>
      </c>
      <c r="U30" s="260" t="s">
        <v>237</v>
      </c>
      <c r="V30" s="260" t="s">
        <v>237</v>
      </c>
      <c r="W30" s="260" t="s">
        <v>237</v>
      </c>
      <c r="X30" s="260" t="s">
        <v>237</v>
      </c>
      <c r="Y30" s="260" t="s">
        <v>237</v>
      </c>
      <c r="Z30" s="260" t="s">
        <v>237</v>
      </c>
      <c r="AA30" s="260" t="s">
        <v>237</v>
      </c>
      <c r="AB30" s="260" t="s">
        <v>237</v>
      </c>
      <c r="AC30" s="260" t="s">
        <v>237</v>
      </c>
      <c r="AD30" s="260" t="s">
        <v>237</v>
      </c>
      <c r="AE30" s="260" t="s">
        <v>237</v>
      </c>
      <c r="AF30" s="260" t="s">
        <v>237</v>
      </c>
      <c r="AG30" s="260" t="s">
        <v>237</v>
      </c>
      <c r="AH30" s="261" t="s">
        <v>237</v>
      </c>
    </row>
    <row r="31" spans="2:34" hidden="1" outlineLevel="1">
      <c r="B31" s="87">
        <v>0</v>
      </c>
      <c r="C31" s="133">
        <v>0</v>
      </c>
      <c r="D31" s="262" t="s">
        <v>237</v>
      </c>
      <c r="E31" s="263" t="s">
        <v>237</v>
      </c>
      <c r="F31" s="263" t="s">
        <v>237</v>
      </c>
      <c r="G31" s="263" t="s">
        <v>237</v>
      </c>
      <c r="H31" s="263" t="s">
        <v>237</v>
      </c>
      <c r="I31" s="263" t="s">
        <v>237</v>
      </c>
      <c r="J31" s="263" t="s">
        <v>237</v>
      </c>
      <c r="K31" s="263" t="s">
        <v>237</v>
      </c>
      <c r="L31" s="263" t="s">
        <v>237</v>
      </c>
      <c r="M31" s="263" t="s">
        <v>237</v>
      </c>
      <c r="N31" s="263" t="s">
        <v>237</v>
      </c>
      <c r="O31" s="263" t="s">
        <v>237</v>
      </c>
      <c r="P31" s="263" t="s">
        <v>237</v>
      </c>
      <c r="Q31" s="263" t="s">
        <v>237</v>
      </c>
      <c r="R31" s="263" t="s">
        <v>237</v>
      </c>
      <c r="S31" s="263" t="s">
        <v>237</v>
      </c>
      <c r="T31" s="263" t="s">
        <v>237</v>
      </c>
      <c r="U31" s="263" t="s">
        <v>237</v>
      </c>
      <c r="V31" s="263" t="s">
        <v>237</v>
      </c>
      <c r="W31" s="263" t="s">
        <v>237</v>
      </c>
      <c r="X31" s="263" t="s">
        <v>237</v>
      </c>
      <c r="Y31" s="263" t="s">
        <v>237</v>
      </c>
      <c r="Z31" s="263" t="s">
        <v>237</v>
      </c>
      <c r="AA31" s="263" t="s">
        <v>237</v>
      </c>
      <c r="AB31" s="263" t="s">
        <v>237</v>
      </c>
      <c r="AC31" s="263" t="s">
        <v>237</v>
      </c>
      <c r="AD31" s="263" t="s">
        <v>237</v>
      </c>
      <c r="AE31" s="263" t="s">
        <v>237</v>
      </c>
      <c r="AF31" s="263" t="s">
        <v>237</v>
      </c>
      <c r="AG31" s="263" t="s">
        <v>237</v>
      </c>
      <c r="AH31" s="264" t="s">
        <v>237</v>
      </c>
    </row>
    <row r="32" spans="2:34" hidden="1" outlineLevel="1">
      <c r="B32" s="196">
        <v>0</v>
      </c>
      <c r="C32" s="197">
        <v>0</v>
      </c>
      <c r="D32" s="259" t="s">
        <v>237</v>
      </c>
      <c r="E32" s="260" t="s">
        <v>237</v>
      </c>
      <c r="F32" s="260" t="s">
        <v>237</v>
      </c>
      <c r="G32" s="260" t="s">
        <v>237</v>
      </c>
      <c r="H32" s="260" t="s">
        <v>237</v>
      </c>
      <c r="I32" s="260" t="s">
        <v>237</v>
      </c>
      <c r="J32" s="260" t="s">
        <v>237</v>
      </c>
      <c r="K32" s="260" t="s">
        <v>237</v>
      </c>
      <c r="L32" s="260" t="s">
        <v>237</v>
      </c>
      <c r="M32" s="260" t="s">
        <v>237</v>
      </c>
      <c r="N32" s="260" t="s">
        <v>237</v>
      </c>
      <c r="O32" s="260" t="s">
        <v>237</v>
      </c>
      <c r="P32" s="260" t="s">
        <v>237</v>
      </c>
      <c r="Q32" s="260" t="s">
        <v>237</v>
      </c>
      <c r="R32" s="260" t="s">
        <v>237</v>
      </c>
      <c r="S32" s="260" t="s">
        <v>237</v>
      </c>
      <c r="T32" s="260" t="s">
        <v>237</v>
      </c>
      <c r="U32" s="260" t="s">
        <v>237</v>
      </c>
      <c r="V32" s="260" t="s">
        <v>237</v>
      </c>
      <c r="W32" s="260" t="s">
        <v>237</v>
      </c>
      <c r="X32" s="260" t="s">
        <v>237</v>
      </c>
      <c r="Y32" s="260" t="s">
        <v>237</v>
      </c>
      <c r="Z32" s="260" t="s">
        <v>237</v>
      </c>
      <c r="AA32" s="260" t="s">
        <v>237</v>
      </c>
      <c r="AB32" s="260" t="s">
        <v>237</v>
      </c>
      <c r="AC32" s="260" t="s">
        <v>237</v>
      </c>
      <c r="AD32" s="260" t="s">
        <v>237</v>
      </c>
      <c r="AE32" s="260" t="s">
        <v>237</v>
      </c>
      <c r="AF32" s="260" t="s">
        <v>237</v>
      </c>
      <c r="AG32" s="260" t="s">
        <v>237</v>
      </c>
      <c r="AH32" s="261" t="s">
        <v>237</v>
      </c>
    </row>
    <row r="33" spans="2:34" hidden="1" outlineLevel="1">
      <c r="B33" s="87">
        <v>0</v>
      </c>
      <c r="C33" s="133">
        <v>0</v>
      </c>
      <c r="D33" s="262" t="s">
        <v>237</v>
      </c>
      <c r="E33" s="263" t="s">
        <v>237</v>
      </c>
      <c r="F33" s="263" t="s">
        <v>237</v>
      </c>
      <c r="G33" s="263" t="s">
        <v>237</v>
      </c>
      <c r="H33" s="263" t="s">
        <v>237</v>
      </c>
      <c r="I33" s="263" t="s">
        <v>237</v>
      </c>
      <c r="J33" s="263" t="s">
        <v>237</v>
      </c>
      <c r="K33" s="263" t="s">
        <v>237</v>
      </c>
      <c r="L33" s="263" t="s">
        <v>237</v>
      </c>
      <c r="M33" s="263" t="s">
        <v>237</v>
      </c>
      <c r="N33" s="263" t="s">
        <v>237</v>
      </c>
      <c r="O33" s="263" t="s">
        <v>237</v>
      </c>
      <c r="P33" s="263" t="s">
        <v>237</v>
      </c>
      <c r="Q33" s="263" t="s">
        <v>237</v>
      </c>
      <c r="R33" s="263" t="s">
        <v>237</v>
      </c>
      <c r="S33" s="263" t="s">
        <v>237</v>
      </c>
      <c r="T33" s="263" t="s">
        <v>237</v>
      </c>
      <c r="U33" s="263" t="s">
        <v>237</v>
      </c>
      <c r="V33" s="263" t="s">
        <v>237</v>
      </c>
      <c r="W33" s="263" t="s">
        <v>237</v>
      </c>
      <c r="X33" s="263" t="s">
        <v>237</v>
      </c>
      <c r="Y33" s="263" t="s">
        <v>237</v>
      </c>
      <c r="Z33" s="263" t="s">
        <v>237</v>
      </c>
      <c r="AA33" s="263" t="s">
        <v>237</v>
      </c>
      <c r="AB33" s="263" t="s">
        <v>237</v>
      </c>
      <c r="AC33" s="263" t="s">
        <v>237</v>
      </c>
      <c r="AD33" s="263" t="s">
        <v>237</v>
      </c>
      <c r="AE33" s="263" t="s">
        <v>237</v>
      </c>
      <c r="AF33" s="263" t="s">
        <v>237</v>
      </c>
      <c r="AG33" s="263" t="s">
        <v>237</v>
      </c>
      <c r="AH33" s="264" t="s">
        <v>237</v>
      </c>
    </row>
    <row r="34" spans="2:34" hidden="1" outlineLevel="1">
      <c r="B34" s="196">
        <v>0</v>
      </c>
      <c r="C34" s="197">
        <v>0</v>
      </c>
      <c r="D34" s="259" t="s">
        <v>237</v>
      </c>
      <c r="E34" s="260" t="s">
        <v>237</v>
      </c>
      <c r="F34" s="260" t="s">
        <v>237</v>
      </c>
      <c r="G34" s="260" t="s">
        <v>237</v>
      </c>
      <c r="H34" s="260" t="s">
        <v>237</v>
      </c>
      <c r="I34" s="260" t="s">
        <v>237</v>
      </c>
      <c r="J34" s="260" t="s">
        <v>237</v>
      </c>
      <c r="K34" s="260" t="s">
        <v>237</v>
      </c>
      <c r="L34" s="260" t="s">
        <v>237</v>
      </c>
      <c r="M34" s="260" t="s">
        <v>237</v>
      </c>
      <c r="N34" s="260" t="s">
        <v>237</v>
      </c>
      <c r="O34" s="260" t="s">
        <v>237</v>
      </c>
      <c r="P34" s="260" t="s">
        <v>237</v>
      </c>
      <c r="Q34" s="260" t="s">
        <v>237</v>
      </c>
      <c r="R34" s="260" t="s">
        <v>237</v>
      </c>
      <c r="S34" s="260" t="s">
        <v>237</v>
      </c>
      <c r="T34" s="260" t="s">
        <v>237</v>
      </c>
      <c r="U34" s="260" t="s">
        <v>237</v>
      </c>
      <c r="V34" s="260" t="s">
        <v>237</v>
      </c>
      <c r="W34" s="260" t="s">
        <v>237</v>
      </c>
      <c r="X34" s="260" t="s">
        <v>237</v>
      </c>
      <c r="Y34" s="260" t="s">
        <v>237</v>
      </c>
      <c r="Z34" s="260" t="s">
        <v>237</v>
      </c>
      <c r="AA34" s="260" t="s">
        <v>237</v>
      </c>
      <c r="AB34" s="260" t="s">
        <v>237</v>
      </c>
      <c r="AC34" s="260" t="s">
        <v>237</v>
      </c>
      <c r="AD34" s="260" t="s">
        <v>237</v>
      </c>
      <c r="AE34" s="260" t="s">
        <v>237</v>
      </c>
      <c r="AF34" s="260" t="s">
        <v>237</v>
      </c>
      <c r="AG34" s="260" t="s">
        <v>237</v>
      </c>
      <c r="AH34" s="261" t="s">
        <v>237</v>
      </c>
    </row>
    <row r="35" spans="2:34" hidden="1" outlineLevel="1">
      <c r="B35" s="87">
        <v>0</v>
      </c>
      <c r="C35" s="133">
        <v>0</v>
      </c>
      <c r="D35" s="262" t="s">
        <v>237</v>
      </c>
      <c r="E35" s="263" t="s">
        <v>237</v>
      </c>
      <c r="F35" s="263" t="s">
        <v>237</v>
      </c>
      <c r="G35" s="263" t="s">
        <v>237</v>
      </c>
      <c r="H35" s="263" t="s">
        <v>237</v>
      </c>
      <c r="I35" s="263" t="s">
        <v>237</v>
      </c>
      <c r="J35" s="263" t="s">
        <v>237</v>
      </c>
      <c r="K35" s="263" t="s">
        <v>237</v>
      </c>
      <c r="L35" s="263" t="s">
        <v>237</v>
      </c>
      <c r="M35" s="263" t="s">
        <v>237</v>
      </c>
      <c r="N35" s="263" t="s">
        <v>237</v>
      </c>
      <c r="O35" s="263" t="s">
        <v>237</v>
      </c>
      <c r="P35" s="263" t="s">
        <v>237</v>
      </c>
      <c r="Q35" s="263" t="s">
        <v>237</v>
      </c>
      <c r="R35" s="263" t="s">
        <v>237</v>
      </c>
      <c r="S35" s="263" t="s">
        <v>237</v>
      </c>
      <c r="T35" s="263" t="s">
        <v>237</v>
      </c>
      <c r="U35" s="263" t="s">
        <v>237</v>
      </c>
      <c r="V35" s="263" t="s">
        <v>237</v>
      </c>
      <c r="W35" s="263" t="s">
        <v>237</v>
      </c>
      <c r="X35" s="263" t="s">
        <v>237</v>
      </c>
      <c r="Y35" s="263" t="s">
        <v>237</v>
      </c>
      <c r="Z35" s="263" t="s">
        <v>237</v>
      </c>
      <c r="AA35" s="263" t="s">
        <v>237</v>
      </c>
      <c r="AB35" s="263" t="s">
        <v>237</v>
      </c>
      <c r="AC35" s="263" t="s">
        <v>237</v>
      </c>
      <c r="AD35" s="263" t="s">
        <v>237</v>
      </c>
      <c r="AE35" s="263" t="s">
        <v>237</v>
      </c>
      <c r="AF35" s="263" t="s">
        <v>237</v>
      </c>
      <c r="AG35" s="263" t="s">
        <v>237</v>
      </c>
      <c r="AH35" s="264" t="s">
        <v>237</v>
      </c>
    </row>
    <row r="36" spans="2:34" hidden="1" outlineLevel="1">
      <c r="B36" s="196">
        <v>0</v>
      </c>
      <c r="C36" s="197">
        <v>0</v>
      </c>
      <c r="D36" s="259" t="s">
        <v>237</v>
      </c>
      <c r="E36" s="260" t="s">
        <v>237</v>
      </c>
      <c r="F36" s="260" t="s">
        <v>237</v>
      </c>
      <c r="G36" s="260" t="s">
        <v>237</v>
      </c>
      <c r="H36" s="260" t="s">
        <v>237</v>
      </c>
      <c r="I36" s="260" t="s">
        <v>237</v>
      </c>
      <c r="J36" s="260" t="s">
        <v>237</v>
      </c>
      <c r="K36" s="260" t="s">
        <v>237</v>
      </c>
      <c r="L36" s="260" t="s">
        <v>237</v>
      </c>
      <c r="M36" s="260" t="s">
        <v>237</v>
      </c>
      <c r="N36" s="260" t="s">
        <v>237</v>
      </c>
      <c r="O36" s="260" t="s">
        <v>237</v>
      </c>
      <c r="P36" s="260" t="s">
        <v>237</v>
      </c>
      <c r="Q36" s="260" t="s">
        <v>237</v>
      </c>
      <c r="R36" s="260" t="s">
        <v>237</v>
      </c>
      <c r="S36" s="260" t="s">
        <v>237</v>
      </c>
      <c r="T36" s="260" t="s">
        <v>237</v>
      </c>
      <c r="U36" s="260" t="s">
        <v>237</v>
      </c>
      <c r="V36" s="260" t="s">
        <v>237</v>
      </c>
      <c r="W36" s="260" t="s">
        <v>237</v>
      </c>
      <c r="X36" s="260" t="s">
        <v>237</v>
      </c>
      <c r="Y36" s="260" t="s">
        <v>237</v>
      </c>
      <c r="Z36" s="260" t="s">
        <v>237</v>
      </c>
      <c r="AA36" s="260" t="s">
        <v>237</v>
      </c>
      <c r="AB36" s="260" t="s">
        <v>237</v>
      </c>
      <c r="AC36" s="260" t="s">
        <v>237</v>
      </c>
      <c r="AD36" s="260" t="s">
        <v>237</v>
      </c>
      <c r="AE36" s="260" t="s">
        <v>237</v>
      </c>
      <c r="AF36" s="260" t="s">
        <v>237</v>
      </c>
      <c r="AG36" s="260" t="s">
        <v>237</v>
      </c>
      <c r="AH36" s="261" t="s">
        <v>237</v>
      </c>
    </row>
    <row r="37" spans="2:34" hidden="1" outlineLevel="1">
      <c r="B37" s="87">
        <v>0</v>
      </c>
      <c r="C37" s="133">
        <v>0</v>
      </c>
      <c r="D37" s="262" t="s">
        <v>237</v>
      </c>
      <c r="E37" s="263" t="s">
        <v>237</v>
      </c>
      <c r="F37" s="263" t="s">
        <v>237</v>
      </c>
      <c r="G37" s="263" t="s">
        <v>237</v>
      </c>
      <c r="H37" s="263" t="s">
        <v>237</v>
      </c>
      <c r="I37" s="263" t="s">
        <v>237</v>
      </c>
      <c r="J37" s="263" t="s">
        <v>237</v>
      </c>
      <c r="K37" s="263" t="s">
        <v>237</v>
      </c>
      <c r="L37" s="263" t="s">
        <v>237</v>
      </c>
      <c r="M37" s="263" t="s">
        <v>237</v>
      </c>
      <c r="N37" s="263" t="s">
        <v>237</v>
      </c>
      <c r="O37" s="263" t="s">
        <v>237</v>
      </c>
      <c r="P37" s="263" t="s">
        <v>237</v>
      </c>
      <c r="Q37" s="263" t="s">
        <v>237</v>
      </c>
      <c r="R37" s="263" t="s">
        <v>237</v>
      </c>
      <c r="S37" s="263" t="s">
        <v>237</v>
      </c>
      <c r="T37" s="263" t="s">
        <v>237</v>
      </c>
      <c r="U37" s="263" t="s">
        <v>237</v>
      </c>
      <c r="V37" s="263" t="s">
        <v>237</v>
      </c>
      <c r="W37" s="263" t="s">
        <v>237</v>
      </c>
      <c r="X37" s="263" t="s">
        <v>237</v>
      </c>
      <c r="Y37" s="263" t="s">
        <v>237</v>
      </c>
      <c r="Z37" s="263" t="s">
        <v>237</v>
      </c>
      <c r="AA37" s="263" t="s">
        <v>237</v>
      </c>
      <c r="AB37" s="263" t="s">
        <v>237</v>
      </c>
      <c r="AC37" s="263" t="s">
        <v>237</v>
      </c>
      <c r="AD37" s="263" t="s">
        <v>237</v>
      </c>
      <c r="AE37" s="263" t="s">
        <v>237</v>
      </c>
      <c r="AF37" s="263" t="s">
        <v>237</v>
      </c>
      <c r="AG37" s="263" t="s">
        <v>237</v>
      </c>
      <c r="AH37" s="264" t="s">
        <v>237</v>
      </c>
    </row>
    <row r="38" spans="2:34" hidden="1" outlineLevel="1">
      <c r="B38" s="196">
        <v>0</v>
      </c>
      <c r="C38" s="197">
        <v>0</v>
      </c>
      <c r="D38" s="259" t="s">
        <v>237</v>
      </c>
      <c r="E38" s="260" t="s">
        <v>237</v>
      </c>
      <c r="F38" s="260" t="s">
        <v>237</v>
      </c>
      <c r="G38" s="260" t="s">
        <v>237</v>
      </c>
      <c r="H38" s="260" t="s">
        <v>237</v>
      </c>
      <c r="I38" s="260" t="s">
        <v>237</v>
      </c>
      <c r="J38" s="260" t="s">
        <v>237</v>
      </c>
      <c r="K38" s="260" t="s">
        <v>237</v>
      </c>
      <c r="L38" s="260" t="s">
        <v>237</v>
      </c>
      <c r="M38" s="260" t="s">
        <v>237</v>
      </c>
      <c r="N38" s="260" t="s">
        <v>237</v>
      </c>
      <c r="O38" s="260" t="s">
        <v>237</v>
      </c>
      <c r="P38" s="260" t="s">
        <v>237</v>
      </c>
      <c r="Q38" s="260" t="s">
        <v>237</v>
      </c>
      <c r="R38" s="260" t="s">
        <v>237</v>
      </c>
      <c r="S38" s="260" t="s">
        <v>237</v>
      </c>
      <c r="T38" s="260" t="s">
        <v>237</v>
      </c>
      <c r="U38" s="260" t="s">
        <v>237</v>
      </c>
      <c r="V38" s="260" t="s">
        <v>237</v>
      </c>
      <c r="W38" s="260" t="s">
        <v>237</v>
      </c>
      <c r="X38" s="260" t="s">
        <v>237</v>
      </c>
      <c r="Y38" s="260" t="s">
        <v>237</v>
      </c>
      <c r="Z38" s="260" t="s">
        <v>237</v>
      </c>
      <c r="AA38" s="260" t="s">
        <v>237</v>
      </c>
      <c r="AB38" s="260" t="s">
        <v>237</v>
      </c>
      <c r="AC38" s="260" t="s">
        <v>237</v>
      </c>
      <c r="AD38" s="260" t="s">
        <v>237</v>
      </c>
      <c r="AE38" s="260" t="s">
        <v>237</v>
      </c>
      <c r="AF38" s="260" t="s">
        <v>237</v>
      </c>
      <c r="AG38" s="260" t="s">
        <v>237</v>
      </c>
      <c r="AH38" s="261" t="s">
        <v>237</v>
      </c>
    </row>
    <row r="39" spans="2:34" hidden="1" outlineLevel="1">
      <c r="B39" s="87">
        <v>0</v>
      </c>
      <c r="C39" s="133">
        <v>0</v>
      </c>
      <c r="D39" s="262" t="s">
        <v>237</v>
      </c>
      <c r="E39" s="263" t="s">
        <v>237</v>
      </c>
      <c r="F39" s="263" t="s">
        <v>237</v>
      </c>
      <c r="G39" s="263" t="s">
        <v>237</v>
      </c>
      <c r="H39" s="263" t="s">
        <v>237</v>
      </c>
      <c r="I39" s="263" t="s">
        <v>237</v>
      </c>
      <c r="J39" s="263" t="s">
        <v>237</v>
      </c>
      <c r="K39" s="263" t="s">
        <v>237</v>
      </c>
      <c r="L39" s="263" t="s">
        <v>237</v>
      </c>
      <c r="M39" s="263" t="s">
        <v>237</v>
      </c>
      <c r="N39" s="263" t="s">
        <v>237</v>
      </c>
      <c r="O39" s="263" t="s">
        <v>237</v>
      </c>
      <c r="P39" s="263" t="s">
        <v>237</v>
      </c>
      <c r="Q39" s="263" t="s">
        <v>237</v>
      </c>
      <c r="R39" s="263" t="s">
        <v>237</v>
      </c>
      <c r="S39" s="263" t="s">
        <v>237</v>
      </c>
      <c r="T39" s="263" t="s">
        <v>237</v>
      </c>
      <c r="U39" s="263" t="s">
        <v>237</v>
      </c>
      <c r="V39" s="263" t="s">
        <v>237</v>
      </c>
      <c r="W39" s="263" t="s">
        <v>237</v>
      </c>
      <c r="X39" s="263" t="s">
        <v>237</v>
      </c>
      <c r="Y39" s="263" t="s">
        <v>237</v>
      </c>
      <c r="Z39" s="263" t="s">
        <v>237</v>
      </c>
      <c r="AA39" s="263" t="s">
        <v>237</v>
      </c>
      <c r="AB39" s="263" t="s">
        <v>237</v>
      </c>
      <c r="AC39" s="263" t="s">
        <v>237</v>
      </c>
      <c r="AD39" s="263" t="s">
        <v>237</v>
      </c>
      <c r="AE39" s="263" t="s">
        <v>237</v>
      </c>
      <c r="AF39" s="263" t="s">
        <v>237</v>
      </c>
      <c r="AG39" s="263" t="s">
        <v>237</v>
      </c>
      <c r="AH39" s="264" t="s">
        <v>237</v>
      </c>
    </row>
    <row r="40" spans="2:34" hidden="1" outlineLevel="1">
      <c r="B40" s="196">
        <v>0</v>
      </c>
      <c r="C40" s="197">
        <v>0</v>
      </c>
      <c r="D40" s="259" t="s">
        <v>237</v>
      </c>
      <c r="E40" s="260" t="s">
        <v>237</v>
      </c>
      <c r="F40" s="260" t="s">
        <v>237</v>
      </c>
      <c r="G40" s="260" t="s">
        <v>237</v>
      </c>
      <c r="H40" s="260" t="s">
        <v>237</v>
      </c>
      <c r="I40" s="260" t="s">
        <v>237</v>
      </c>
      <c r="J40" s="260" t="s">
        <v>237</v>
      </c>
      <c r="K40" s="260" t="s">
        <v>237</v>
      </c>
      <c r="L40" s="260" t="s">
        <v>237</v>
      </c>
      <c r="M40" s="260" t="s">
        <v>237</v>
      </c>
      <c r="N40" s="260" t="s">
        <v>237</v>
      </c>
      <c r="O40" s="260" t="s">
        <v>237</v>
      </c>
      <c r="P40" s="260" t="s">
        <v>237</v>
      </c>
      <c r="Q40" s="260" t="s">
        <v>237</v>
      </c>
      <c r="R40" s="260" t="s">
        <v>237</v>
      </c>
      <c r="S40" s="260" t="s">
        <v>237</v>
      </c>
      <c r="T40" s="260" t="s">
        <v>237</v>
      </c>
      <c r="U40" s="260" t="s">
        <v>237</v>
      </c>
      <c r="V40" s="260" t="s">
        <v>237</v>
      </c>
      <c r="W40" s="260" t="s">
        <v>237</v>
      </c>
      <c r="X40" s="260" t="s">
        <v>237</v>
      </c>
      <c r="Y40" s="260" t="s">
        <v>237</v>
      </c>
      <c r="Z40" s="260" t="s">
        <v>237</v>
      </c>
      <c r="AA40" s="260" t="s">
        <v>237</v>
      </c>
      <c r="AB40" s="260" t="s">
        <v>237</v>
      </c>
      <c r="AC40" s="260" t="s">
        <v>237</v>
      </c>
      <c r="AD40" s="260" t="s">
        <v>237</v>
      </c>
      <c r="AE40" s="260" t="s">
        <v>237</v>
      </c>
      <c r="AF40" s="260" t="s">
        <v>237</v>
      </c>
      <c r="AG40" s="260" t="s">
        <v>237</v>
      </c>
      <c r="AH40" s="261" t="s">
        <v>237</v>
      </c>
    </row>
    <row r="41" spans="2:34" hidden="1" outlineLevel="1">
      <c r="B41" s="87">
        <v>0</v>
      </c>
      <c r="C41" s="133">
        <v>0</v>
      </c>
      <c r="D41" s="262" t="s">
        <v>237</v>
      </c>
      <c r="E41" s="263" t="s">
        <v>237</v>
      </c>
      <c r="F41" s="263" t="s">
        <v>237</v>
      </c>
      <c r="G41" s="263" t="s">
        <v>237</v>
      </c>
      <c r="H41" s="263" t="s">
        <v>237</v>
      </c>
      <c r="I41" s="263" t="s">
        <v>237</v>
      </c>
      <c r="J41" s="263" t="s">
        <v>237</v>
      </c>
      <c r="K41" s="263" t="s">
        <v>237</v>
      </c>
      <c r="L41" s="263" t="s">
        <v>237</v>
      </c>
      <c r="M41" s="263" t="s">
        <v>237</v>
      </c>
      <c r="N41" s="263" t="s">
        <v>237</v>
      </c>
      <c r="O41" s="263" t="s">
        <v>237</v>
      </c>
      <c r="P41" s="263" t="s">
        <v>237</v>
      </c>
      <c r="Q41" s="263" t="s">
        <v>237</v>
      </c>
      <c r="R41" s="263" t="s">
        <v>237</v>
      </c>
      <c r="S41" s="263" t="s">
        <v>237</v>
      </c>
      <c r="T41" s="263" t="s">
        <v>237</v>
      </c>
      <c r="U41" s="263" t="s">
        <v>237</v>
      </c>
      <c r="V41" s="263" t="s">
        <v>237</v>
      </c>
      <c r="W41" s="263" t="s">
        <v>237</v>
      </c>
      <c r="X41" s="263" t="s">
        <v>237</v>
      </c>
      <c r="Y41" s="263" t="s">
        <v>237</v>
      </c>
      <c r="Z41" s="263" t="s">
        <v>237</v>
      </c>
      <c r="AA41" s="263" t="s">
        <v>237</v>
      </c>
      <c r="AB41" s="263" t="s">
        <v>237</v>
      </c>
      <c r="AC41" s="263" t="s">
        <v>237</v>
      </c>
      <c r="AD41" s="263" t="s">
        <v>237</v>
      </c>
      <c r="AE41" s="263" t="s">
        <v>237</v>
      </c>
      <c r="AF41" s="263" t="s">
        <v>237</v>
      </c>
      <c r="AG41" s="263" t="s">
        <v>237</v>
      </c>
      <c r="AH41" s="264" t="s">
        <v>237</v>
      </c>
    </row>
    <row r="42" spans="2:34" hidden="1" outlineLevel="1">
      <c r="B42" s="196">
        <v>0</v>
      </c>
      <c r="C42" s="197">
        <v>0</v>
      </c>
      <c r="D42" s="259" t="s">
        <v>237</v>
      </c>
      <c r="E42" s="260" t="s">
        <v>237</v>
      </c>
      <c r="F42" s="260" t="s">
        <v>237</v>
      </c>
      <c r="G42" s="260" t="s">
        <v>237</v>
      </c>
      <c r="H42" s="260" t="s">
        <v>237</v>
      </c>
      <c r="I42" s="260" t="s">
        <v>237</v>
      </c>
      <c r="J42" s="260" t="s">
        <v>237</v>
      </c>
      <c r="K42" s="260" t="s">
        <v>237</v>
      </c>
      <c r="L42" s="260" t="s">
        <v>237</v>
      </c>
      <c r="M42" s="260" t="s">
        <v>237</v>
      </c>
      <c r="N42" s="260" t="s">
        <v>237</v>
      </c>
      <c r="O42" s="260" t="s">
        <v>237</v>
      </c>
      <c r="P42" s="260" t="s">
        <v>237</v>
      </c>
      <c r="Q42" s="260" t="s">
        <v>237</v>
      </c>
      <c r="R42" s="260" t="s">
        <v>237</v>
      </c>
      <c r="S42" s="260" t="s">
        <v>237</v>
      </c>
      <c r="T42" s="260" t="s">
        <v>237</v>
      </c>
      <c r="U42" s="260" t="s">
        <v>237</v>
      </c>
      <c r="V42" s="260" t="s">
        <v>237</v>
      </c>
      <c r="W42" s="260" t="s">
        <v>237</v>
      </c>
      <c r="X42" s="260" t="s">
        <v>237</v>
      </c>
      <c r="Y42" s="260" t="s">
        <v>237</v>
      </c>
      <c r="Z42" s="260" t="s">
        <v>237</v>
      </c>
      <c r="AA42" s="260" t="s">
        <v>237</v>
      </c>
      <c r="AB42" s="260" t="s">
        <v>237</v>
      </c>
      <c r="AC42" s="260" t="s">
        <v>237</v>
      </c>
      <c r="AD42" s="260" t="s">
        <v>237</v>
      </c>
      <c r="AE42" s="260" t="s">
        <v>237</v>
      </c>
      <c r="AF42" s="260" t="s">
        <v>237</v>
      </c>
      <c r="AG42" s="260" t="s">
        <v>237</v>
      </c>
      <c r="AH42" s="261" t="s">
        <v>237</v>
      </c>
    </row>
    <row r="43" spans="2:34" hidden="1" outlineLevel="1">
      <c r="B43" s="87">
        <v>0</v>
      </c>
      <c r="C43" s="133">
        <v>0</v>
      </c>
      <c r="D43" s="262" t="s">
        <v>237</v>
      </c>
      <c r="E43" s="263" t="s">
        <v>237</v>
      </c>
      <c r="F43" s="263" t="s">
        <v>237</v>
      </c>
      <c r="G43" s="263" t="s">
        <v>237</v>
      </c>
      <c r="H43" s="263" t="s">
        <v>237</v>
      </c>
      <c r="I43" s="263" t="s">
        <v>237</v>
      </c>
      <c r="J43" s="263" t="s">
        <v>237</v>
      </c>
      <c r="K43" s="263" t="s">
        <v>237</v>
      </c>
      <c r="L43" s="263" t="s">
        <v>237</v>
      </c>
      <c r="M43" s="263" t="s">
        <v>237</v>
      </c>
      <c r="N43" s="263" t="s">
        <v>237</v>
      </c>
      <c r="O43" s="263" t="s">
        <v>237</v>
      </c>
      <c r="P43" s="263" t="s">
        <v>237</v>
      </c>
      <c r="Q43" s="263" t="s">
        <v>237</v>
      </c>
      <c r="R43" s="263" t="s">
        <v>237</v>
      </c>
      <c r="S43" s="263" t="s">
        <v>237</v>
      </c>
      <c r="T43" s="263" t="s">
        <v>237</v>
      </c>
      <c r="U43" s="263" t="s">
        <v>237</v>
      </c>
      <c r="V43" s="263" t="s">
        <v>237</v>
      </c>
      <c r="W43" s="263" t="s">
        <v>237</v>
      </c>
      <c r="X43" s="263" t="s">
        <v>237</v>
      </c>
      <c r="Y43" s="263" t="s">
        <v>237</v>
      </c>
      <c r="Z43" s="263" t="s">
        <v>237</v>
      </c>
      <c r="AA43" s="263" t="s">
        <v>237</v>
      </c>
      <c r="AB43" s="263" t="s">
        <v>237</v>
      </c>
      <c r="AC43" s="263" t="s">
        <v>237</v>
      </c>
      <c r="AD43" s="263" t="s">
        <v>237</v>
      </c>
      <c r="AE43" s="263" t="s">
        <v>237</v>
      </c>
      <c r="AF43" s="263" t="s">
        <v>237</v>
      </c>
      <c r="AG43" s="263" t="s">
        <v>237</v>
      </c>
      <c r="AH43" s="264" t="s">
        <v>237</v>
      </c>
    </row>
    <row r="44" spans="2:34" hidden="1" outlineLevel="1">
      <c r="B44" s="196">
        <v>0</v>
      </c>
      <c r="C44" s="197">
        <v>0</v>
      </c>
      <c r="D44" s="259" t="s">
        <v>237</v>
      </c>
      <c r="E44" s="260" t="s">
        <v>237</v>
      </c>
      <c r="F44" s="260" t="s">
        <v>237</v>
      </c>
      <c r="G44" s="260" t="s">
        <v>237</v>
      </c>
      <c r="H44" s="260" t="s">
        <v>237</v>
      </c>
      <c r="I44" s="260" t="s">
        <v>237</v>
      </c>
      <c r="J44" s="260" t="s">
        <v>237</v>
      </c>
      <c r="K44" s="260" t="s">
        <v>237</v>
      </c>
      <c r="L44" s="260" t="s">
        <v>237</v>
      </c>
      <c r="M44" s="260" t="s">
        <v>237</v>
      </c>
      <c r="N44" s="260" t="s">
        <v>237</v>
      </c>
      <c r="O44" s="260" t="s">
        <v>237</v>
      </c>
      <c r="P44" s="260" t="s">
        <v>237</v>
      </c>
      <c r="Q44" s="260" t="s">
        <v>237</v>
      </c>
      <c r="R44" s="260" t="s">
        <v>237</v>
      </c>
      <c r="S44" s="260" t="s">
        <v>237</v>
      </c>
      <c r="T44" s="260" t="s">
        <v>237</v>
      </c>
      <c r="U44" s="260" t="s">
        <v>237</v>
      </c>
      <c r="V44" s="260" t="s">
        <v>237</v>
      </c>
      <c r="W44" s="260" t="s">
        <v>237</v>
      </c>
      <c r="X44" s="260" t="s">
        <v>237</v>
      </c>
      <c r="Y44" s="260" t="s">
        <v>237</v>
      </c>
      <c r="Z44" s="260" t="s">
        <v>237</v>
      </c>
      <c r="AA44" s="260" t="s">
        <v>237</v>
      </c>
      <c r="AB44" s="260" t="s">
        <v>237</v>
      </c>
      <c r="AC44" s="260" t="s">
        <v>237</v>
      </c>
      <c r="AD44" s="260" t="s">
        <v>237</v>
      </c>
      <c r="AE44" s="260" t="s">
        <v>237</v>
      </c>
      <c r="AF44" s="260" t="s">
        <v>237</v>
      </c>
      <c r="AG44" s="260" t="s">
        <v>237</v>
      </c>
      <c r="AH44" s="261" t="s">
        <v>237</v>
      </c>
    </row>
    <row r="45" spans="2:34" hidden="1" outlineLevel="1">
      <c r="B45" s="87">
        <v>0</v>
      </c>
      <c r="C45" s="133">
        <v>0</v>
      </c>
      <c r="D45" s="262" t="s">
        <v>237</v>
      </c>
      <c r="E45" s="263" t="s">
        <v>237</v>
      </c>
      <c r="F45" s="263" t="s">
        <v>237</v>
      </c>
      <c r="G45" s="263" t="s">
        <v>237</v>
      </c>
      <c r="H45" s="263" t="s">
        <v>237</v>
      </c>
      <c r="I45" s="263" t="s">
        <v>237</v>
      </c>
      <c r="J45" s="263" t="s">
        <v>237</v>
      </c>
      <c r="K45" s="263" t="s">
        <v>237</v>
      </c>
      <c r="L45" s="263" t="s">
        <v>237</v>
      </c>
      <c r="M45" s="263" t="s">
        <v>237</v>
      </c>
      <c r="N45" s="263" t="s">
        <v>237</v>
      </c>
      <c r="O45" s="263" t="s">
        <v>237</v>
      </c>
      <c r="P45" s="263" t="s">
        <v>237</v>
      </c>
      <c r="Q45" s="263" t="s">
        <v>237</v>
      </c>
      <c r="R45" s="263" t="s">
        <v>237</v>
      </c>
      <c r="S45" s="263" t="s">
        <v>237</v>
      </c>
      <c r="T45" s="263" t="s">
        <v>237</v>
      </c>
      <c r="U45" s="263" t="s">
        <v>237</v>
      </c>
      <c r="V45" s="263" t="s">
        <v>237</v>
      </c>
      <c r="W45" s="263" t="s">
        <v>237</v>
      </c>
      <c r="X45" s="263" t="s">
        <v>237</v>
      </c>
      <c r="Y45" s="263" t="s">
        <v>237</v>
      </c>
      <c r="Z45" s="263" t="s">
        <v>237</v>
      </c>
      <c r="AA45" s="263" t="s">
        <v>237</v>
      </c>
      <c r="AB45" s="263" t="s">
        <v>237</v>
      </c>
      <c r="AC45" s="263" t="s">
        <v>237</v>
      </c>
      <c r="AD45" s="263" t="s">
        <v>237</v>
      </c>
      <c r="AE45" s="263" t="s">
        <v>237</v>
      </c>
      <c r="AF45" s="263" t="s">
        <v>237</v>
      </c>
      <c r="AG45" s="263" t="s">
        <v>237</v>
      </c>
      <c r="AH45" s="264" t="s">
        <v>237</v>
      </c>
    </row>
    <row r="46" spans="2:34" hidden="1" outlineLevel="1">
      <c r="B46" s="196">
        <v>0</v>
      </c>
      <c r="C46" s="197">
        <v>0</v>
      </c>
      <c r="D46" s="259" t="s">
        <v>237</v>
      </c>
      <c r="E46" s="260" t="s">
        <v>237</v>
      </c>
      <c r="F46" s="260" t="s">
        <v>237</v>
      </c>
      <c r="G46" s="260" t="s">
        <v>237</v>
      </c>
      <c r="H46" s="260" t="s">
        <v>237</v>
      </c>
      <c r="I46" s="260" t="s">
        <v>237</v>
      </c>
      <c r="J46" s="260" t="s">
        <v>237</v>
      </c>
      <c r="K46" s="260" t="s">
        <v>237</v>
      </c>
      <c r="L46" s="260" t="s">
        <v>237</v>
      </c>
      <c r="M46" s="260" t="s">
        <v>237</v>
      </c>
      <c r="N46" s="260" t="s">
        <v>237</v>
      </c>
      <c r="O46" s="260" t="s">
        <v>237</v>
      </c>
      <c r="P46" s="260" t="s">
        <v>237</v>
      </c>
      <c r="Q46" s="260" t="s">
        <v>237</v>
      </c>
      <c r="R46" s="260" t="s">
        <v>237</v>
      </c>
      <c r="S46" s="260" t="s">
        <v>237</v>
      </c>
      <c r="T46" s="260" t="s">
        <v>237</v>
      </c>
      <c r="U46" s="260" t="s">
        <v>237</v>
      </c>
      <c r="V46" s="260" t="s">
        <v>237</v>
      </c>
      <c r="W46" s="260" t="s">
        <v>237</v>
      </c>
      <c r="X46" s="260" t="s">
        <v>237</v>
      </c>
      <c r="Y46" s="260" t="s">
        <v>237</v>
      </c>
      <c r="Z46" s="260" t="s">
        <v>237</v>
      </c>
      <c r="AA46" s="260" t="s">
        <v>237</v>
      </c>
      <c r="AB46" s="260" t="s">
        <v>237</v>
      </c>
      <c r="AC46" s="260" t="s">
        <v>237</v>
      </c>
      <c r="AD46" s="260" t="s">
        <v>237</v>
      </c>
      <c r="AE46" s="260" t="s">
        <v>237</v>
      </c>
      <c r="AF46" s="260" t="s">
        <v>237</v>
      </c>
      <c r="AG46" s="260" t="s">
        <v>237</v>
      </c>
      <c r="AH46" s="261" t="s">
        <v>237</v>
      </c>
    </row>
    <row r="47" spans="2:34" hidden="1" outlineLevel="1">
      <c r="B47" s="87">
        <v>0</v>
      </c>
      <c r="C47" s="133">
        <v>0</v>
      </c>
      <c r="D47" s="262" t="s">
        <v>237</v>
      </c>
      <c r="E47" s="263" t="s">
        <v>237</v>
      </c>
      <c r="F47" s="263" t="s">
        <v>237</v>
      </c>
      <c r="G47" s="263" t="s">
        <v>237</v>
      </c>
      <c r="H47" s="263" t="s">
        <v>237</v>
      </c>
      <c r="I47" s="263" t="s">
        <v>237</v>
      </c>
      <c r="J47" s="263" t="s">
        <v>237</v>
      </c>
      <c r="K47" s="263" t="s">
        <v>237</v>
      </c>
      <c r="L47" s="263" t="s">
        <v>237</v>
      </c>
      <c r="M47" s="263" t="s">
        <v>237</v>
      </c>
      <c r="N47" s="263" t="s">
        <v>237</v>
      </c>
      <c r="O47" s="263" t="s">
        <v>237</v>
      </c>
      <c r="P47" s="263" t="s">
        <v>237</v>
      </c>
      <c r="Q47" s="263" t="s">
        <v>237</v>
      </c>
      <c r="R47" s="263" t="s">
        <v>237</v>
      </c>
      <c r="S47" s="263" t="s">
        <v>237</v>
      </c>
      <c r="T47" s="263" t="s">
        <v>237</v>
      </c>
      <c r="U47" s="263" t="s">
        <v>237</v>
      </c>
      <c r="V47" s="263" t="s">
        <v>237</v>
      </c>
      <c r="W47" s="263" t="s">
        <v>237</v>
      </c>
      <c r="X47" s="263" t="s">
        <v>237</v>
      </c>
      <c r="Y47" s="263" t="s">
        <v>237</v>
      </c>
      <c r="Z47" s="263" t="s">
        <v>237</v>
      </c>
      <c r="AA47" s="263" t="s">
        <v>237</v>
      </c>
      <c r="AB47" s="263" t="s">
        <v>237</v>
      </c>
      <c r="AC47" s="263" t="s">
        <v>237</v>
      </c>
      <c r="AD47" s="263" t="s">
        <v>237</v>
      </c>
      <c r="AE47" s="263" t="s">
        <v>237</v>
      </c>
      <c r="AF47" s="263" t="s">
        <v>237</v>
      </c>
      <c r="AG47" s="263" t="s">
        <v>237</v>
      </c>
      <c r="AH47" s="264" t="s">
        <v>237</v>
      </c>
    </row>
    <row r="48" spans="2:34" hidden="1" outlineLevel="1">
      <c r="B48" s="196">
        <v>0</v>
      </c>
      <c r="C48" s="197">
        <v>0</v>
      </c>
      <c r="D48" s="259" t="s">
        <v>237</v>
      </c>
      <c r="E48" s="260" t="s">
        <v>237</v>
      </c>
      <c r="F48" s="260" t="s">
        <v>237</v>
      </c>
      <c r="G48" s="260" t="s">
        <v>237</v>
      </c>
      <c r="H48" s="260" t="s">
        <v>237</v>
      </c>
      <c r="I48" s="260" t="s">
        <v>237</v>
      </c>
      <c r="J48" s="260" t="s">
        <v>237</v>
      </c>
      <c r="K48" s="260" t="s">
        <v>237</v>
      </c>
      <c r="L48" s="260" t="s">
        <v>237</v>
      </c>
      <c r="M48" s="260" t="s">
        <v>237</v>
      </c>
      <c r="N48" s="260" t="s">
        <v>237</v>
      </c>
      <c r="O48" s="260" t="s">
        <v>237</v>
      </c>
      <c r="P48" s="260" t="s">
        <v>237</v>
      </c>
      <c r="Q48" s="260" t="s">
        <v>237</v>
      </c>
      <c r="R48" s="260" t="s">
        <v>237</v>
      </c>
      <c r="S48" s="260" t="s">
        <v>237</v>
      </c>
      <c r="T48" s="260" t="s">
        <v>237</v>
      </c>
      <c r="U48" s="260" t="s">
        <v>237</v>
      </c>
      <c r="V48" s="260" t="s">
        <v>237</v>
      </c>
      <c r="W48" s="260" t="s">
        <v>237</v>
      </c>
      <c r="X48" s="260" t="s">
        <v>237</v>
      </c>
      <c r="Y48" s="260" t="s">
        <v>237</v>
      </c>
      <c r="Z48" s="260" t="s">
        <v>237</v>
      </c>
      <c r="AA48" s="260" t="s">
        <v>237</v>
      </c>
      <c r="AB48" s="260" t="s">
        <v>237</v>
      </c>
      <c r="AC48" s="260" t="s">
        <v>237</v>
      </c>
      <c r="AD48" s="260" t="s">
        <v>237</v>
      </c>
      <c r="AE48" s="260" t="s">
        <v>237</v>
      </c>
      <c r="AF48" s="260" t="s">
        <v>237</v>
      </c>
      <c r="AG48" s="260" t="s">
        <v>237</v>
      </c>
      <c r="AH48" s="261" t="s">
        <v>237</v>
      </c>
    </row>
    <row r="49" spans="2:34" hidden="1" outlineLevel="1">
      <c r="B49" s="87">
        <v>0</v>
      </c>
      <c r="C49" s="133">
        <v>0</v>
      </c>
      <c r="D49" s="262" t="s">
        <v>237</v>
      </c>
      <c r="E49" s="263" t="s">
        <v>237</v>
      </c>
      <c r="F49" s="263" t="s">
        <v>237</v>
      </c>
      <c r="G49" s="263" t="s">
        <v>237</v>
      </c>
      <c r="H49" s="263" t="s">
        <v>237</v>
      </c>
      <c r="I49" s="263" t="s">
        <v>237</v>
      </c>
      <c r="J49" s="263" t="s">
        <v>237</v>
      </c>
      <c r="K49" s="263" t="s">
        <v>237</v>
      </c>
      <c r="L49" s="263" t="s">
        <v>237</v>
      </c>
      <c r="M49" s="263" t="s">
        <v>237</v>
      </c>
      <c r="N49" s="263" t="s">
        <v>237</v>
      </c>
      <c r="O49" s="263" t="s">
        <v>237</v>
      </c>
      <c r="P49" s="263" t="s">
        <v>237</v>
      </c>
      <c r="Q49" s="263" t="s">
        <v>237</v>
      </c>
      <c r="R49" s="263" t="s">
        <v>237</v>
      </c>
      <c r="S49" s="263" t="s">
        <v>237</v>
      </c>
      <c r="T49" s="263" t="s">
        <v>237</v>
      </c>
      <c r="U49" s="263" t="s">
        <v>237</v>
      </c>
      <c r="V49" s="263" t="s">
        <v>237</v>
      </c>
      <c r="W49" s="263" t="s">
        <v>237</v>
      </c>
      <c r="X49" s="263" t="s">
        <v>237</v>
      </c>
      <c r="Y49" s="263" t="s">
        <v>237</v>
      </c>
      <c r="Z49" s="263" t="s">
        <v>237</v>
      </c>
      <c r="AA49" s="263" t="s">
        <v>237</v>
      </c>
      <c r="AB49" s="263" t="s">
        <v>237</v>
      </c>
      <c r="AC49" s="263" t="s">
        <v>237</v>
      </c>
      <c r="AD49" s="263" t="s">
        <v>237</v>
      </c>
      <c r="AE49" s="263" t="s">
        <v>237</v>
      </c>
      <c r="AF49" s="263" t="s">
        <v>237</v>
      </c>
      <c r="AG49" s="263" t="s">
        <v>237</v>
      </c>
      <c r="AH49" s="264" t="s">
        <v>237</v>
      </c>
    </row>
    <row r="50" spans="2:34" hidden="1" outlineLevel="1">
      <c r="B50" s="196">
        <v>0</v>
      </c>
      <c r="C50" s="197">
        <v>0</v>
      </c>
      <c r="D50" s="259" t="s">
        <v>237</v>
      </c>
      <c r="E50" s="260" t="s">
        <v>237</v>
      </c>
      <c r="F50" s="260" t="s">
        <v>237</v>
      </c>
      <c r="G50" s="260" t="s">
        <v>237</v>
      </c>
      <c r="H50" s="260" t="s">
        <v>237</v>
      </c>
      <c r="I50" s="260" t="s">
        <v>237</v>
      </c>
      <c r="J50" s="260" t="s">
        <v>237</v>
      </c>
      <c r="K50" s="260" t="s">
        <v>237</v>
      </c>
      <c r="L50" s="260" t="s">
        <v>237</v>
      </c>
      <c r="M50" s="260" t="s">
        <v>237</v>
      </c>
      <c r="N50" s="260" t="s">
        <v>237</v>
      </c>
      <c r="O50" s="260" t="s">
        <v>237</v>
      </c>
      <c r="P50" s="260" t="s">
        <v>237</v>
      </c>
      <c r="Q50" s="260" t="s">
        <v>237</v>
      </c>
      <c r="R50" s="260" t="s">
        <v>237</v>
      </c>
      <c r="S50" s="260" t="s">
        <v>237</v>
      </c>
      <c r="T50" s="260" t="s">
        <v>237</v>
      </c>
      <c r="U50" s="260" t="s">
        <v>237</v>
      </c>
      <c r="V50" s="260" t="s">
        <v>237</v>
      </c>
      <c r="W50" s="260" t="s">
        <v>237</v>
      </c>
      <c r="X50" s="260" t="s">
        <v>237</v>
      </c>
      <c r="Y50" s="260" t="s">
        <v>237</v>
      </c>
      <c r="Z50" s="260" t="s">
        <v>237</v>
      </c>
      <c r="AA50" s="260" t="s">
        <v>237</v>
      </c>
      <c r="AB50" s="260" t="s">
        <v>237</v>
      </c>
      <c r="AC50" s="260" t="s">
        <v>237</v>
      </c>
      <c r="AD50" s="260" t="s">
        <v>237</v>
      </c>
      <c r="AE50" s="260" t="s">
        <v>237</v>
      </c>
      <c r="AF50" s="260" t="s">
        <v>237</v>
      </c>
      <c r="AG50" s="260" t="s">
        <v>237</v>
      </c>
      <c r="AH50" s="261" t="s">
        <v>237</v>
      </c>
    </row>
    <row r="51" spans="2:34" hidden="1" outlineLevel="1">
      <c r="B51" s="87">
        <v>0</v>
      </c>
      <c r="C51" s="133">
        <v>0</v>
      </c>
      <c r="D51" s="262" t="s">
        <v>237</v>
      </c>
      <c r="E51" s="263" t="s">
        <v>237</v>
      </c>
      <c r="F51" s="263" t="s">
        <v>237</v>
      </c>
      <c r="G51" s="263" t="s">
        <v>237</v>
      </c>
      <c r="H51" s="263" t="s">
        <v>237</v>
      </c>
      <c r="I51" s="263" t="s">
        <v>237</v>
      </c>
      <c r="J51" s="263" t="s">
        <v>237</v>
      </c>
      <c r="K51" s="263" t="s">
        <v>237</v>
      </c>
      <c r="L51" s="263" t="s">
        <v>237</v>
      </c>
      <c r="M51" s="263" t="s">
        <v>237</v>
      </c>
      <c r="N51" s="263" t="s">
        <v>237</v>
      </c>
      <c r="O51" s="263" t="s">
        <v>237</v>
      </c>
      <c r="P51" s="263" t="s">
        <v>237</v>
      </c>
      <c r="Q51" s="263" t="s">
        <v>237</v>
      </c>
      <c r="R51" s="263" t="s">
        <v>237</v>
      </c>
      <c r="S51" s="263" t="s">
        <v>237</v>
      </c>
      <c r="T51" s="263" t="s">
        <v>237</v>
      </c>
      <c r="U51" s="263" t="s">
        <v>237</v>
      </c>
      <c r="V51" s="263" t="s">
        <v>237</v>
      </c>
      <c r="W51" s="263" t="s">
        <v>237</v>
      </c>
      <c r="X51" s="263" t="s">
        <v>237</v>
      </c>
      <c r="Y51" s="263" t="s">
        <v>237</v>
      </c>
      <c r="Z51" s="263" t="s">
        <v>237</v>
      </c>
      <c r="AA51" s="263" t="s">
        <v>237</v>
      </c>
      <c r="AB51" s="263" t="s">
        <v>237</v>
      </c>
      <c r="AC51" s="263" t="s">
        <v>237</v>
      </c>
      <c r="AD51" s="263" t="s">
        <v>237</v>
      </c>
      <c r="AE51" s="263" t="s">
        <v>237</v>
      </c>
      <c r="AF51" s="263" t="s">
        <v>237</v>
      </c>
      <c r="AG51" s="263" t="s">
        <v>237</v>
      </c>
      <c r="AH51" s="264" t="s">
        <v>237</v>
      </c>
    </row>
    <row r="52" spans="2:34" hidden="1" outlineLevel="1">
      <c r="B52" s="196">
        <v>0</v>
      </c>
      <c r="C52" s="197">
        <v>0</v>
      </c>
      <c r="D52" s="259" t="s">
        <v>237</v>
      </c>
      <c r="E52" s="260" t="s">
        <v>237</v>
      </c>
      <c r="F52" s="260" t="s">
        <v>237</v>
      </c>
      <c r="G52" s="260" t="s">
        <v>237</v>
      </c>
      <c r="H52" s="260" t="s">
        <v>237</v>
      </c>
      <c r="I52" s="260" t="s">
        <v>237</v>
      </c>
      <c r="J52" s="260" t="s">
        <v>237</v>
      </c>
      <c r="K52" s="260" t="s">
        <v>237</v>
      </c>
      <c r="L52" s="260" t="s">
        <v>237</v>
      </c>
      <c r="M52" s="260" t="s">
        <v>237</v>
      </c>
      <c r="N52" s="260" t="s">
        <v>237</v>
      </c>
      <c r="O52" s="260" t="s">
        <v>237</v>
      </c>
      <c r="P52" s="260" t="s">
        <v>237</v>
      </c>
      <c r="Q52" s="260" t="s">
        <v>237</v>
      </c>
      <c r="R52" s="260" t="s">
        <v>237</v>
      </c>
      <c r="S52" s="260" t="s">
        <v>237</v>
      </c>
      <c r="T52" s="260" t="s">
        <v>237</v>
      </c>
      <c r="U52" s="260" t="s">
        <v>237</v>
      </c>
      <c r="V52" s="260" t="s">
        <v>237</v>
      </c>
      <c r="W52" s="260" t="s">
        <v>237</v>
      </c>
      <c r="X52" s="260" t="s">
        <v>237</v>
      </c>
      <c r="Y52" s="260" t="s">
        <v>237</v>
      </c>
      <c r="Z52" s="260" t="s">
        <v>237</v>
      </c>
      <c r="AA52" s="260" t="s">
        <v>237</v>
      </c>
      <c r="AB52" s="260" t="s">
        <v>237</v>
      </c>
      <c r="AC52" s="260" t="s">
        <v>237</v>
      </c>
      <c r="AD52" s="260" t="s">
        <v>237</v>
      </c>
      <c r="AE52" s="260" t="s">
        <v>237</v>
      </c>
      <c r="AF52" s="260" t="s">
        <v>237</v>
      </c>
      <c r="AG52" s="260" t="s">
        <v>237</v>
      </c>
      <c r="AH52" s="261" t="s">
        <v>237</v>
      </c>
    </row>
    <row r="53" spans="2:34" hidden="1" outlineLevel="1">
      <c r="B53" s="87">
        <v>0</v>
      </c>
      <c r="C53" s="133">
        <v>0</v>
      </c>
      <c r="D53" s="262" t="s">
        <v>237</v>
      </c>
      <c r="E53" s="263" t="s">
        <v>237</v>
      </c>
      <c r="F53" s="263" t="s">
        <v>237</v>
      </c>
      <c r="G53" s="263" t="s">
        <v>237</v>
      </c>
      <c r="H53" s="263" t="s">
        <v>237</v>
      </c>
      <c r="I53" s="263" t="s">
        <v>237</v>
      </c>
      <c r="J53" s="263" t="s">
        <v>237</v>
      </c>
      <c r="K53" s="263" t="s">
        <v>237</v>
      </c>
      <c r="L53" s="263" t="s">
        <v>237</v>
      </c>
      <c r="M53" s="263" t="s">
        <v>237</v>
      </c>
      <c r="N53" s="263" t="s">
        <v>237</v>
      </c>
      <c r="O53" s="263" t="s">
        <v>237</v>
      </c>
      <c r="P53" s="263" t="s">
        <v>237</v>
      </c>
      <c r="Q53" s="263" t="s">
        <v>237</v>
      </c>
      <c r="R53" s="263" t="s">
        <v>237</v>
      </c>
      <c r="S53" s="263" t="s">
        <v>237</v>
      </c>
      <c r="T53" s="263" t="s">
        <v>237</v>
      </c>
      <c r="U53" s="263" t="s">
        <v>237</v>
      </c>
      <c r="V53" s="263" t="s">
        <v>237</v>
      </c>
      <c r="W53" s="263" t="s">
        <v>237</v>
      </c>
      <c r="X53" s="263" t="s">
        <v>237</v>
      </c>
      <c r="Y53" s="263" t="s">
        <v>237</v>
      </c>
      <c r="Z53" s="263" t="s">
        <v>237</v>
      </c>
      <c r="AA53" s="263" t="s">
        <v>237</v>
      </c>
      <c r="AB53" s="263" t="s">
        <v>237</v>
      </c>
      <c r="AC53" s="263" t="s">
        <v>237</v>
      </c>
      <c r="AD53" s="263" t="s">
        <v>237</v>
      </c>
      <c r="AE53" s="263" t="s">
        <v>237</v>
      </c>
      <c r="AF53" s="263" t="s">
        <v>237</v>
      </c>
      <c r="AG53" s="263" t="s">
        <v>237</v>
      </c>
      <c r="AH53" s="264" t="s">
        <v>237</v>
      </c>
    </row>
    <row r="54" spans="2:34" hidden="1" outlineLevel="1">
      <c r="B54" s="196">
        <v>0</v>
      </c>
      <c r="C54" s="197">
        <v>0</v>
      </c>
      <c r="D54" s="259" t="s">
        <v>237</v>
      </c>
      <c r="E54" s="260" t="s">
        <v>237</v>
      </c>
      <c r="F54" s="260" t="s">
        <v>237</v>
      </c>
      <c r="G54" s="260" t="s">
        <v>237</v>
      </c>
      <c r="H54" s="260" t="s">
        <v>237</v>
      </c>
      <c r="I54" s="260" t="s">
        <v>237</v>
      </c>
      <c r="J54" s="260" t="s">
        <v>237</v>
      </c>
      <c r="K54" s="260" t="s">
        <v>237</v>
      </c>
      <c r="L54" s="260" t="s">
        <v>237</v>
      </c>
      <c r="M54" s="260" t="s">
        <v>237</v>
      </c>
      <c r="N54" s="260" t="s">
        <v>237</v>
      </c>
      <c r="O54" s="260" t="s">
        <v>237</v>
      </c>
      <c r="P54" s="260" t="s">
        <v>237</v>
      </c>
      <c r="Q54" s="260" t="s">
        <v>237</v>
      </c>
      <c r="R54" s="260" t="s">
        <v>237</v>
      </c>
      <c r="S54" s="260" t="s">
        <v>237</v>
      </c>
      <c r="T54" s="260" t="s">
        <v>237</v>
      </c>
      <c r="U54" s="260" t="s">
        <v>237</v>
      </c>
      <c r="V54" s="260" t="s">
        <v>237</v>
      </c>
      <c r="W54" s="260" t="s">
        <v>237</v>
      </c>
      <c r="X54" s="260" t="s">
        <v>237</v>
      </c>
      <c r="Y54" s="260" t="s">
        <v>237</v>
      </c>
      <c r="Z54" s="260" t="s">
        <v>237</v>
      </c>
      <c r="AA54" s="260" t="s">
        <v>237</v>
      </c>
      <c r="AB54" s="260" t="s">
        <v>237</v>
      </c>
      <c r="AC54" s="260" t="s">
        <v>237</v>
      </c>
      <c r="AD54" s="260" t="s">
        <v>237</v>
      </c>
      <c r="AE54" s="260" t="s">
        <v>237</v>
      </c>
      <c r="AF54" s="260" t="s">
        <v>237</v>
      </c>
      <c r="AG54" s="260" t="s">
        <v>237</v>
      </c>
      <c r="AH54" s="261" t="s">
        <v>237</v>
      </c>
    </row>
    <row r="55" spans="2:34" ht="15" hidden="1" outlineLevel="1" collapsed="1" thickBot="1"/>
    <row r="56" spans="2:34" ht="43.8" hidden="1" outlineLevel="1" thickBot="1">
      <c r="B56" s="127" t="s">
        <v>124</v>
      </c>
      <c r="C56" s="136" t="s">
        <v>14</v>
      </c>
      <c r="D56" s="287">
        <v>1994</v>
      </c>
      <c r="E56" s="288">
        <v>1995</v>
      </c>
      <c r="F56" s="288">
        <v>1996</v>
      </c>
      <c r="G56" s="288">
        <v>1997</v>
      </c>
      <c r="H56" s="288">
        <v>1998</v>
      </c>
      <c r="I56" s="288">
        <v>1999</v>
      </c>
      <c r="J56" s="288">
        <v>2000</v>
      </c>
      <c r="K56" s="288">
        <v>2001</v>
      </c>
      <c r="L56" s="288">
        <v>2002</v>
      </c>
      <c r="M56" s="288">
        <v>2003</v>
      </c>
      <c r="N56" s="288">
        <v>2004</v>
      </c>
      <c r="O56" s="288">
        <v>2005</v>
      </c>
      <c r="P56" s="288">
        <v>2006</v>
      </c>
      <c r="Q56" s="288">
        <v>2007</v>
      </c>
      <c r="R56" s="288">
        <v>2008</v>
      </c>
      <c r="S56" s="288">
        <v>2009</v>
      </c>
      <c r="T56" s="288">
        <v>2010</v>
      </c>
      <c r="U56" s="288">
        <v>2011</v>
      </c>
      <c r="V56" s="288">
        <v>2012</v>
      </c>
      <c r="W56" s="288">
        <v>2013</v>
      </c>
      <c r="X56" s="288">
        <v>2014</v>
      </c>
      <c r="Y56" s="288">
        <v>2015</v>
      </c>
      <c r="Z56" s="288">
        <v>2016</v>
      </c>
      <c r="AA56" s="288">
        <v>2017</v>
      </c>
      <c r="AB56" s="288">
        <v>2018</v>
      </c>
      <c r="AC56" s="288">
        <v>2019</v>
      </c>
      <c r="AD56" s="288">
        <v>2020</v>
      </c>
      <c r="AE56" s="288">
        <v>2021</v>
      </c>
      <c r="AF56" s="288">
        <v>2022</v>
      </c>
      <c r="AG56" s="288">
        <v>2023</v>
      </c>
      <c r="AH56" s="289">
        <v>2024</v>
      </c>
    </row>
    <row r="57" spans="2:34" hidden="1" outlineLevel="1">
      <c r="B57" s="86">
        <v>0</v>
      </c>
      <c r="C57" s="132">
        <v>0</v>
      </c>
      <c r="D57" s="137" t="s">
        <v>237</v>
      </c>
      <c r="E57" s="138" t="s">
        <v>237</v>
      </c>
      <c r="F57" s="138" t="s">
        <v>237</v>
      </c>
      <c r="G57" s="138" t="s">
        <v>237</v>
      </c>
      <c r="H57" s="138" t="s">
        <v>237</v>
      </c>
      <c r="I57" s="138" t="s">
        <v>237</v>
      </c>
      <c r="J57" s="138" t="s">
        <v>237</v>
      </c>
      <c r="K57" s="138" t="s">
        <v>237</v>
      </c>
      <c r="L57" s="138" t="s">
        <v>237</v>
      </c>
      <c r="M57" s="138" t="s">
        <v>237</v>
      </c>
      <c r="N57" s="138" t="s">
        <v>237</v>
      </c>
      <c r="O57" s="138" t="s">
        <v>237</v>
      </c>
      <c r="P57" s="138" t="s">
        <v>237</v>
      </c>
      <c r="Q57" s="138" t="s">
        <v>237</v>
      </c>
      <c r="R57" s="138" t="s">
        <v>237</v>
      </c>
      <c r="S57" s="138" t="s">
        <v>237</v>
      </c>
      <c r="T57" s="138" t="s">
        <v>237</v>
      </c>
      <c r="U57" s="138" t="s">
        <v>237</v>
      </c>
      <c r="V57" s="138" t="s">
        <v>237</v>
      </c>
      <c r="W57" s="138" t="s">
        <v>237</v>
      </c>
      <c r="X57" s="138" t="s">
        <v>237</v>
      </c>
      <c r="Y57" s="138" t="s">
        <v>237</v>
      </c>
      <c r="Z57" s="138" t="s">
        <v>237</v>
      </c>
      <c r="AA57" s="138" t="s">
        <v>237</v>
      </c>
      <c r="AB57" s="138" t="s">
        <v>237</v>
      </c>
      <c r="AC57" s="138" t="s">
        <v>237</v>
      </c>
      <c r="AD57" s="138" t="s">
        <v>237</v>
      </c>
      <c r="AE57" s="138" t="s">
        <v>237</v>
      </c>
      <c r="AF57" s="138" t="s">
        <v>237</v>
      </c>
      <c r="AG57" s="138" t="s">
        <v>237</v>
      </c>
      <c r="AH57" s="139" t="s">
        <v>237</v>
      </c>
    </row>
    <row r="58" spans="2:34" hidden="1" outlineLevel="1">
      <c r="B58" s="196">
        <v>0</v>
      </c>
      <c r="C58" s="197">
        <v>0</v>
      </c>
      <c r="D58" s="50" t="s">
        <v>237</v>
      </c>
      <c r="E58" s="198" t="s">
        <v>237</v>
      </c>
      <c r="F58" s="198" t="s">
        <v>237</v>
      </c>
      <c r="G58" s="198" t="s">
        <v>237</v>
      </c>
      <c r="H58" s="198" t="s">
        <v>237</v>
      </c>
      <c r="I58" s="198" t="s">
        <v>237</v>
      </c>
      <c r="J58" s="198" t="s">
        <v>237</v>
      </c>
      <c r="K58" s="198" t="s">
        <v>237</v>
      </c>
      <c r="L58" s="198" t="s">
        <v>237</v>
      </c>
      <c r="M58" s="198" t="s">
        <v>237</v>
      </c>
      <c r="N58" s="198" t="s">
        <v>237</v>
      </c>
      <c r="O58" s="198" t="s">
        <v>237</v>
      </c>
      <c r="P58" s="198" t="s">
        <v>237</v>
      </c>
      <c r="Q58" s="198" t="s">
        <v>237</v>
      </c>
      <c r="R58" s="198" t="s">
        <v>237</v>
      </c>
      <c r="S58" s="198" t="s">
        <v>237</v>
      </c>
      <c r="T58" s="198" t="s">
        <v>237</v>
      </c>
      <c r="U58" s="198" t="s">
        <v>237</v>
      </c>
      <c r="V58" s="198" t="s">
        <v>237</v>
      </c>
      <c r="W58" s="198" t="s">
        <v>237</v>
      </c>
      <c r="X58" s="198" t="s">
        <v>237</v>
      </c>
      <c r="Y58" s="198" t="s">
        <v>237</v>
      </c>
      <c r="Z58" s="198" t="s">
        <v>237</v>
      </c>
      <c r="AA58" s="198" t="s">
        <v>237</v>
      </c>
      <c r="AB58" s="198" t="s">
        <v>237</v>
      </c>
      <c r="AC58" s="198" t="s">
        <v>237</v>
      </c>
      <c r="AD58" s="198" t="s">
        <v>237</v>
      </c>
      <c r="AE58" s="198" t="s">
        <v>237</v>
      </c>
      <c r="AF58" s="198" t="s">
        <v>237</v>
      </c>
      <c r="AG58" s="198" t="s">
        <v>237</v>
      </c>
      <c r="AH58" s="46" t="s">
        <v>237</v>
      </c>
    </row>
    <row r="59" spans="2:34" hidden="1" outlineLevel="1">
      <c r="B59" s="87">
        <v>0</v>
      </c>
      <c r="C59" s="133">
        <v>0</v>
      </c>
      <c r="D59" s="51" t="s">
        <v>237</v>
      </c>
      <c r="E59" s="131" t="s">
        <v>237</v>
      </c>
      <c r="F59" s="131" t="s">
        <v>237</v>
      </c>
      <c r="G59" s="131" t="s">
        <v>237</v>
      </c>
      <c r="H59" s="131" t="s">
        <v>237</v>
      </c>
      <c r="I59" s="131" t="s">
        <v>237</v>
      </c>
      <c r="J59" s="131" t="s">
        <v>237</v>
      </c>
      <c r="K59" s="131" t="s">
        <v>237</v>
      </c>
      <c r="L59" s="131" t="s">
        <v>237</v>
      </c>
      <c r="M59" s="131" t="s">
        <v>237</v>
      </c>
      <c r="N59" s="131" t="s">
        <v>237</v>
      </c>
      <c r="O59" s="131" t="s">
        <v>237</v>
      </c>
      <c r="P59" s="131" t="s">
        <v>237</v>
      </c>
      <c r="Q59" s="131" t="s">
        <v>237</v>
      </c>
      <c r="R59" s="131" t="s">
        <v>237</v>
      </c>
      <c r="S59" s="131" t="s">
        <v>237</v>
      </c>
      <c r="T59" s="131" t="s">
        <v>237</v>
      </c>
      <c r="U59" s="131" t="s">
        <v>237</v>
      </c>
      <c r="V59" s="131" t="s">
        <v>237</v>
      </c>
      <c r="W59" s="131" t="s">
        <v>237</v>
      </c>
      <c r="X59" s="131" t="s">
        <v>237</v>
      </c>
      <c r="Y59" s="131" t="s">
        <v>237</v>
      </c>
      <c r="Z59" s="131" t="s">
        <v>237</v>
      </c>
      <c r="AA59" s="131" t="s">
        <v>237</v>
      </c>
      <c r="AB59" s="131" t="s">
        <v>237</v>
      </c>
      <c r="AC59" s="131" t="s">
        <v>237</v>
      </c>
      <c r="AD59" s="131" t="s">
        <v>237</v>
      </c>
      <c r="AE59" s="131" t="s">
        <v>237</v>
      </c>
      <c r="AF59" s="131" t="s">
        <v>237</v>
      </c>
      <c r="AG59" s="131" t="s">
        <v>237</v>
      </c>
      <c r="AH59" s="47" t="s">
        <v>237</v>
      </c>
    </row>
    <row r="60" spans="2:34" hidden="1" outlineLevel="1">
      <c r="B60" s="196">
        <v>0</v>
      </c>
      <c r="C60" s="197">
        <v>0</v>
      </c>
      <c r="D60" s="50" t="s">
        <v>237</v>
      </c>
      <c r="E60" s="198" t="s">
        <v>237</v>
      </c>
      <c r="F60" s="198" t="s">
        <v>237</v>
      </c>
      <c r="G60" s="198" t="s">
        <v>237</v>
      </c>
      <c r="H60" s="198" t="s">
        <v>237</v>
      </c>
      <c r="I60" s="198" t="s">
        <v>237</v>
      </c>
      <c r="J60" s="198" t="s">
        <v>237</v>
      </c>
      <c r="K60" s="198" t="s">
        <v>237</v>
      </c>
      <c r="L60" s="198" t="s">
        <v>237</v>
      </c>
      <c r="M60" s="198" t="s">
        <v>237</v>
      </c>
      <c r="N60" s="198" t="s">
        <v>237</v>
      </c>
      <c r="O60" s="198" t="s">
        <v>237</v>
      </c>
      <c r="P60" s="198" t="s">
        <v>237</v>
      </c>
      <c r="Q60" s="198" t="s">
        <v>237</v>
      </c>
      <c r="R60" s="198" t="s">
        <v>237</v>
      </c>
      <c r="S60" s="198" t="s">
        <v>237</v>
      </c>
      <c r="T60" s="198" t="s">
        <v>237</v>
      </c>
      <c r="U60" s="198" t="s">
        <v>237</v>
      </c>
      <c r="V60" s="198" t="s">
        <v>237</v>
      </c>
      <c r="W60" s="198" t="s">
        <v>237</v>
      </c>
      <c r="X60" s="198" t="s">
        <v>237</v>
      </c>
      <c r="Y60" s="198" t="s">
        <v>237</v>
      </c>
      <c r="Z60" s="198" t="s">
        <v>237</v>
      </c>
      <c r="AA60" s="198" t="s">
        <v>237</v>
      </c>
      <c r="AB60" s="198" t="s">
        <v>237</v>
      </c>
      <c r="AC60" s="198" t="s">
        <v>237</v>
      </c>
      <c r="AD60" s="198" t="s">
        <v>237</v>
      </c>
      <c r="AE60" s="198" t="s">
        <v>237</v>
      </c>
      <c r="AF60" s="198" t="s">
        <v>237</v>
      </c>
      <c r="AG60" s="198" t="s">
        <v>237</v>
      </c>
      <c r="AH60" s="46" t="s">
        <v>237</v>
      </c>
    </row>
    <row r="61" spans="2:34" hidden="1" outlineLevel="1">
      <c r="B61" s="87">
        <v>0</v>
      </c>
      <c r="C61" s="133">
        <v>0</v>
      </c>
      <c r="D61" s="51" t="s">
        <v>237</v>
      </c>
      <c r="E61" s="131" t="s">
        <v>237</v>
      </c>
      <c r="F61" s="131" t="s">
        <v>237</v>
      </c>
      <c r="G61" s="131" t="s">
        <v>237</v>
      </c>
      <c r="H61" s="131" t="s">
        <v>237</v>
      </c>
      <c r="I61" s="131" t="s">
        <v>237</v>
      </c>
      <c r="J61" s="131" t="s">
        <v>237</v>
      </c>
      <c r="K61" s="131" t="s">
        <v>237</v>
      </c>
      <c r="L61" s="131" t="s">
        <v>237</v>
      </c>
      <c r="M61" s="131" t="s">
        <v>237</v>
      </c>
      <c r="N61" s="131" t="s">
        <v>237</v>
      </c>
      <c r="O61" s="131" t="s">
        <v>237</v>
      </c>
      <c r="P61" s="131" t="s">
        <v>237</v>
      </c>
      <c r="Q61" s="131" t="s">
        <v>237</v>
      </c>
      <c r="R61" s="131" t="s">
        <v>237</v>
      </c>
      <c r="S61" s="131" t="s">
        <v>237</v>
      </c>
      <c r="T61" s="131" t="s">
        <v>237</v>
      </c>
      <c r="U61" s="131" t="s">
        <v>237</v>
      </c>
      <c r="V61" s="131" t="s">
        <v>237</v>
      </c>
      <c r="W61" s="131" t="s">
        <v>237</v>
      </c>
      <c r="X61" s="131" t="s">
        <v>237</v>
      </c>
      <c r="Y61" s="131" t="s">
        <v>237</v>
      </c>
      <c r="Z61" s="131" t="s">
        <v>237</v>
      </c>
      <c r="AA61" s="131" t="s">
        <v>237</v>
      </c>
      <c r="AB61" s="131" t="s">
        <v>237</v>
      </c>
      <c r="AC61" s="131" t="s">
        <v>237</v>
      </c>
      <c r="AD61" s="131" t="s">
        <v>237</v>
      </c>
      <c r="AE61" s="131" t="s">
        <v>237</v>
      </c>
      <c r="AF61" s="131" t="s">
        <v>237</v>
      </c>
      <c r="AG61" s="131" t="s">
        <v>237</v>
      </c>
      <c r="AH61" s="47" t="s">
        <v>237</v>
      </c>
    </row>
    <row r="62" spans="2:34" hidden="1" outlineLevel="1">
      <c r="B62" s="196">
        <v>0</v>
      </c>
      <c r="C62" s="197">
        <v>0</v>
      </c>
      <c r="D62" s="50" t="s">
        <v>237</v>
      </c>
      <c r="E62" s="198" t="s">
        <v>237</v>
      </c>
      <c r="F62" s="198" t="s">
        <v>237</v>
      </c>
      <c r="G62" s="198" t="s">
        <v>237</v>
      </c>
      <c r="H62" s="198" t="s">
        <v>237</v>
      </c>
      <c r="I62" s="198" t="s">
        <v>237</v>
      </c>
      <c r="J62" s="198" t="s">
        <v>237</v>
      </c>
      <c r="K62" s="198" t="s">
        <v>237</v>
      </c>
      <c r="L62" s="198" t="s">
        <v>237</v>
      </c>
      <c r="M62" s="198" t="s">
        <v>237</v>
      </c>
      <c r="N62" s="198" t="s">
        <v>237</v>
      </c>
      <c r="O62" s="198" t="s">
        <v>237</v>
      </c>
      <c r="P62" s="198" t="s">
        <v>237</v>
      </c>
      <c r="Q62" s="198" t="s">
        <v>237</v>
      </c>
      <c r="R62" s="198" t="s">
        <v>237</v>
      </c>
      <c r="S62" s="198" t="s">
        <v>237</v>
      </c>
      <c r="T62" s="198" t="s">
        <v>237</v>
      </c>
      <c r="U62" s="198" t="s">
        <v>237</v>
      </c>
      <c r="V62" s="198" t="s">
        <v>237</v>
      </c>
      <c r="W62" s="198" t="s">
        <v>237</v>
      </c>
      <c r="X62" s="198" t="s">
        <v>237</v>
      </c>
      <c r="Y62" s="198" t="s">
        <v>237</v>
      </c>
      <c r="Z62" s="198" t="s">
        <v>237</v>
      </c>
      <c r="AA62" s="198" t="s">
        <v>237</v>
      </c>
      <c r="AB62" s="198" t="s">
        <v>237</v>
      </c>
      <c r="AC62" s="198" t="s">
        <v>237</v>
      </c>
      <c r="AD62" s="198" t="s">
        <v>237</v>
      </c>
      <c r="AE62" s="198" t="s">
        <v>237</v>
      </c>
      <c r="AF62" s="198" t="s">
        <v>237</v>
      </c>
      <c r="AG62" s="198" t="s">
        <v>237</v>
      </c>
      <c r="AH62" s="46" t="s">
        <v>237</v>
      </c>
    </row>
    <row r="63" spans="2:34" ht="15" hidden="1" outlineLevel="1" thickBot="1">
      <c r="B63" s="91">
        <v>0</v>
      </c>
      <c r="C63" s="134">
        <v>0</v>
      </c>
      <c r="D63" s="140" t="s">
        <v>237</v>
      </c>
      <c r="E63" s="141" t="s">
        <v>237</v>
      </c>
      <c r="F63" s="141" t="s">
        <v>237</v>
      </c>
      <c r="G63" s="141" t="s">
        <v>237</v>
      </c>
      <c r="H63" s="141" t="s">
        <v>237</v>
      </c>
      <c r="I63" s="141" t="s">
        <v>237</v>
      </c>
      <c r="J63" s="141" t="s">
        <v>237</v>
      </c>
      <c r="K63" s="141" t="s">
        <v>237</v>
      </c>
      <c r="L63" s="141" t="s">
        <v>237</v>
      </c>
      <c r="M63" s="141" t="s">
        <v>237</v>
      </c>
      <c r="N63" s="141" t="s">
        <v>237</v>
      </c>
      <c r="O63" s="141" t="s">
        <v>237</v>
      </c>
      <c r="P63" s="141" t="s">
        <v>237</v>
      </c>
      <c r="Q63" s="141" t="s">
        <v>237</v>
      </c>
      <c r="R63" s="141" t="s">
        <v>237</v>
      </c>
      <c r="S63" s="141" t="s">
        <v>237</v>
      </c>
      <c r="T63" s="141" t="s">
        <v>237</v>
      </c>
      <c r="U63" s="141" t="s">
        <v>237</v>
      </c>
      <c r="V63" s="141" t="s">
        <v>237</v>
      </c>
      <c r="W63" s="141" t="s">
        <v>237</v>
      </c>
      <c r="X63" s="141" t="s">
        <v>237</v>
      </c>
      <c r="Y63" s="141" t="s">
        <v>237</v>
      </c>
      <c r="Z63" s="141" t="s">
        <v>237</v>
      </c>
      <c r="AA63" s="141" t="s">
        <v>237</v>
      </c>
      <c r="AB63" s="141" t="s">
        <v>237</v>
      </c>
      <c r="AC63" s="141" t="s">
        <v>237</v>
      </c>
      <c r="AD63" s="141" t="s">
        <v>237</v>
      </c>
      <c r="AE63" s="141" t="s">
        <v>237</v>
      </c>
      <c r="AF63" s="141" t="s">
        <v>237</v>
      </c>
      <c r="AG63" s="141" t="s">
        <v>237</v>
      </c>
      <c r="AH63" s="142" t="s">
        <v>237</v>
      </c>
    </row>
    <row r="64" spans="2:34" hidden="1" outlineLevel="1">
      <c r="B64" s="201">
        <v>0</v>
      </c>
      <c r="C64" s="202">
        <v>0</v>
      </c>
      <c r="D64" s="203" t="s">
        <v>237</v>
      </c>
      <c r="E64" s="204" t="s">
        <v>237</v>
      </c>
      <c r="F64" s="204" t="s">
        <v>237</v>
      </c>
      <c r="G64" s="204" t="s">
        <v>237</v>
      </c>
      <c r="H64" s="204" t="s">
        <v>237</v>
      </c>
      <c r="I64" s="204" t="s">
        <v>237</v>
      </c>
      <c r="J64" s="204" t="s">
        <v>237</v>
      </c>
      <c r="K64" s="204" t="s">
        <v>237</v>
      </c>
      <c r="L64" s="204" t="s">
        <v>237</v>
      </c>
      <c r="M64" s="204" t="s">
        <v>237</v>
      </c>
      <c r="N64" s="204" t="s">
        <v>237</v>
      </c>
      <c r="O64" s="204" t="s">
        <v>237</v>
      </c>
      <c r="P64" s="204" t="s">
        <v>237</v>
      </c>
      <c r="Q64" s="204" t="s">
        <v>237</v>
      </c>
      <c r="R64" s="204" t="s">
        <v>237</v>
      </c>
      <c r="S64" s="204" t="s">
        <v>237</v>
      </c>
      <c r="T64" s="204" t="s">
        <v>237</v>
      </c>
      <c r="U64" s="204" t="s">
        <v>237</v>
      </c>
      <c r="V64" s="204" t="s">
        <v>237</v>
      </c>
      <c r="W64" s="204" t="s">
        <v>237</v>
      </c>
      <c r="X64" s="204" t="s">
        <v>237</v>
      </c>
      <c r="Y64" s="204" t="s">
        <v>237</v>
      </c>
      <c r="Z64" s="204" t="s">
        <v>237</v>
      </c>
      <c r="AA64" s="204" t="s">
        <v>237</v>
      </c>
      <c r="AB64" s="204" t="s">
        <v>237</v>
      </c>
      <c r="AC64" s="204" t="s">
        <v>237</v>
      </c>
      <c r="AD64" s="204" t="s">
        <v>237</v>
      </c>
      <c r="AE64" s="204" t="s">
        <v>237</v>
      </c>
      <c r="AF64" s="204" t="s">
        <v>237</v>
      </c>
      <c r="AG64" s="204" t="s">
        <v>237</v>
      </c>
      <c r="AH64" s="205" t="s">
        <v>237</v>
      </c>
    </row>
    <row r="65" spans="2:34" hidden="1" outlineLevel="1">
      <c r="B65" s="87">
        <v>0</v>
      </c>
      <c r="C65" s="133">
        <v>0</v>
      </c>
      <c r="D65" s="51" t="s">
        <v>237</v>
      </c>
      <c r="E65" s="131" t="s">
        <v>237</v>
      </c>
      <c r="F65" s="131" t="s">
        <v>237</v>
      </c>
      <c r="G65" s="131" t="s">
        <v>237</v>
      </c>
      <c r="H65" s="131" t="s">
        <v>237</v>
      </c>
      <c r="I65" s="131" t="s">
        <v>237</v>
      </c>
      <c r="J65" s="131" t="s">
        <v>237</v>
      </c>
      <c r="K65" s="131" t="s">
        <v>237</v>
      </c>
      <c r="L65" s="131" t="s">
        <v>237</v>
      </c>
      <c r="M65" s="131" t="s">
        <v>237</v>
      </c>
      <c r="N65" s="131" t="s">
        <v>237</v>
      </c>
      <c r="O65" s="131" t="s">
        <v>237</v>
      </c>
      <c r="P65" s="131" t="s">
        <v>237</v>
      </c>
      <c r="Q65" s="131" t="s">
        <v>237</v>
      </c>
      <c r="R65" s="131" t="s">
        <v>237</v>
      </c>
      <c r="S65" s="131" t="s">
        <v>237</v>
      </c>
      <c r="T65" s="131" t="s">
        <v>237</v>
      </c>
      <c r="U65" s="131" t="s">
        <v>237</v>
      </c>
      <c r="V65" s="131" t="s">
        <v>237</v>
      </c>
      <c r="W65" s="131" t="s">
        <v>237</v>
      </c>
      <c r="X65" s="131" t="s">
        <v>237</v>
      </c>
      <c r="Y65" s="131" t="s">
        <v>237</v>
      </c>
      <c r="Z65" s="131" t="s">
        <v>237</v>
      </c>
      <c r="AA65" s="131" t="s">
        <v>237</v>
      </c>
      <c r="AB65" s="131" t="s">
        <v>237</v>
      </c>
      <c r="AC65" s="131" t="s">
        <v>237</v>
      </c>
      <c r="AD65" s="131" t="s">
        <v>237</v>
      </c>
      <c r="AE65" s="131" t="s">
        <v>237</v>
      </c>
      <c r="AF65" s="131" t="s">
        <v>237</v>
      </c>
      <c r="AG65" s="131" t="s">
        <v>237</v>
      </c>
      <c r="AH65" s="47" t="s">
        <v>237</v>
      </c>
    </row>
    <row r="66" spans="2:34" hidden="1" outlineLevel="1">
      <c r="B66" s="196">
        <v>0</v>
      </c>
      <c r="C66" s="197">
        <v>0</v>
      </c>
      <c r="D66" s="50" t="s">
        <v>237</v>
      </c>
      <c r="E66" s="198" t="s">
        <v>237</v>
      </c>
      <c r="F66" s="198" t="s">
        <v>237</v>
      </c>
      <c r="G66" s="198" t="s">
        <v>237</v>
      </c>
      <c r="H66" s="198" t="s">
        <v>237</v>
      </c>
      <c r="I66" s="198" t="s">
        <v>237</v>
      </c>
      <c r="J66" s="198" t="s">
        <v>237</v>
      </c>
      <c r="K66" s="198" t="s">
        <v>237</v>
      </c>
      <c r="L66" s="198" t="s">
        <v>237</v>
      </c>
      <c r="M66" s="198" t="s">
        <v>237</v>
      </c>
      <c r="N66" s="198" t="s">
        <v>237</v>
      </c>
      <c r="O66" s="198" t="s">
        <v>237</v>
      </c>
      <c r="P66" s="198" t="s">
        <v>237</v>
      </c>
      <c r="Q66" s="198" t="s">
        <v>237</v>
      </c>
      <c r="R66" s="198" t="s">
        <v>237</v>
      </c>
      <c r="S66" s="198" t="s">
        <v>237</v>
      </c>
      <c r="T66" s="198" t="s">
        <v>237</v>
      </c>
      <c r="U66" s="198" t="s">
        <v>237</v>
      </c>
      <c r="V66" s="198" t="s">
        <v>237</v>
      </c>
      <c r="W66" s="198" t="s">
        <v>237</v>
      </c>
      <c r="X66" s="198" t="s">
        <v>237</v>
      </c>
      <c r="Y66" s="198" t="s">
        <v>237</v>
      </c>
      <c r="Z66" s="198" t="s">
        <v>237</v>
      </c>
      <c r="AA66" s="198" t="s">
        <v>237</v>
      </c>
      <c r="AB66" s="198" t="s">
        <v>237</v>
      </c>
      <c r="AC66" s="198" t="s">
        <v>237</v>
      </c>
      <c r="AD66" s="198" t="s">
        <v>237</v>
      </c>
      <c r="AE66" s="198" t="s">
        <v>237</v>
      </c>
      <c r="AF66" s="198" t="s">
        <v>237</v>
      </c>
      <c r="AG66" s="198" t="s">
        <v>237</v>
      </c>
      <c r="AH66" s="46" t="s">
        <v>237</v>
      </c>
    </row>
    <row r="67" spans="2:34" hidden="1" outlineLevel="1">
      <c r="B67" s="87">
        <v>0</v>
      </c>
      <c r="C67" s="133">
        <v>0</v>
      </c>
      <c r="D67" s="51" t="s">
        <v>237</v>
      </c>
      <c r="E67" s="131" t="s">
        <v>237</v>
      </c>
      <c r="F67" s="131" t="s">
        <v>237</v>
      </c>
      <c r="G67" s="131" t="s">
        <v>237</v>
      </c>
      <c r="H67" s="131" t="s">
        <v>237</v>
      </c>
      <c r="I67" s="131" t="s">
        <v>237</v>
      </c>
      <c r="J67" s="131" t="s">
        <v>237</v>
      </c>
      <c r="K67" s="131" t="s">
        <v>237</v>
      </c>
      <c r="L67" s="131" t="s">
        <v>237</v>
      </c>
      <c r="M67" s="131" t="s">
        <v>237</v>
      </c>
      <c r="N67" s="131" t="s">
        <v>237</v>
      </c>
      <c r="O67" s="131" t="s">
        <v>237</v>
      </c>
      <c r="P67" s="131" t="s">
        <v>237</v>
      </c>
      <c r="Q67" s="131" t="s">
        <v>237</v>
      </c>
      <c r="R67" s="131" t="s">
        <v>237</v>
      </c>
      <c r="S67" s="131" t="s">
        <v>237</v>
      </c>
      <c r="T67" s="131" t="s">
        <v>237</v>
      </c>
      <c r="U67" s="131" t="s">
        <v>237</v>
      </c>
      <c r="V67" s="131" t="s">
        <v>237</v>
      </c>
      <c r="W67" s="131" t="s">
        <v>237</v>
      </c>
      <c r="X67" s="131" t="s">
        <v>237</v>
      </c>
      <c r="Y67" s="131" t="s">
        <v>237</v>
      </c>
      <c r="Z67" s="131" t="s">
        <v>237</v>
      </c>
      <c r="AA67" s="131" t="s">
        <v>237</v>
      </c>
      <c r="AB67" s="131" t="s">
        <v>237</v>
      </c>
      <c r="AC67" s="131" t="s">
        <v>237</v>
      </c>
      <c r="AD67" s="131" t="s">
        <v>237</v>
      </c>
      <c r="AE67" s="131" t="s">
        <v>237</v>
      </c>
      <c r="AF67" s="131" t="s">
        <v>237</v>
      </c>
      <c r="AG67" s="131" t="s">
        <v>237</v>
      </c>
      <c r="AH67" s="47" t="s">
        <v>237</v>
      </c>
    </row>
    <row r="68" spans="2:34" hidden="1" outlineLevel="1">
      <c r="B68" s="196">
        <v>0</v>
      </c>
      <c r="C68" s="197">
        <v>0</v>
      </c>
      <c r="D68" s="50" t="s">
        <v>237</v>
      </c>
      <c r="E68" s="198" t="s">
        <v>237</v>
      </c>
      <c r="F68" s="198" t="s">
        <v>237</v>
      </c>
      <c r="G68" s="198" t="s">
        <v>237</v>
      </c>
      <c r="H68" s="198" t="s">
        <v>237</v>
      </c>
      <c r="I68" s="198" t="s">
        <v>237</v>
      </c>
      <c r="J68" s="198" t="s">
        <v>237</v>
      </c>
      <c r="K68" s="198" t="s">
        <v>237</v>
      </c>
      <c r="L68" s="198" t="s">
        <v>237</v>
      </c>
      <c r="M68" s="198" t="s">
        <v>237</v>
      </c>
      <c r="N68" s="198" t="s">
        <v>237</v>
      </c>
      <c r="O68" s="198" t="s">
        <v>237</v>
      </c>
      <c r="P68" s="198" t="s">
        <v>237</v>
      </c>
      <c r="Q68" s="198" t="s">
        <v>237</v>
      </c>
      <c r="R68" s="198" t="s">
        <v>237</v>
      </c>
      <c r="S68" s="198" t="s">
        <v>237</v>
      </c>
      <c r="T68" s="198" t="s">
        <v>237</v>
      </c>
      <c r="U68" s="198" t="s">
        <v>237</v>
      </c>
      <c r="V68" s="198" t="s">
        <v>237</v>
      </c>
      <c r="W68" s="198" t="s">
        <v>237</v>
      </c>
      <c r="X68" s="198" t="s">
        <v>237</v>
      </c>
      <c r="Y68" s="198" t="s">
        <v>237</v>
      </c>
      <c r="Z68" s="198" t="s">
        <v>237</v>
      </c>
      <c r="AA68" s="198" t="s">
        <v>237</v>
      </c>
      <c r="AB68" s="198" t="s">
        <v>237</v>
      </c>
      <c r="AC68" s="198" t="s">
        <v>237</v>
      </c>
      <c r="AD68" s="198" t="s">
        <v>237</v>
      </c>
      <c r="AE68" s="198" t="s">
        <v>237</v>
      </c>
      <c r="AF68" s="198" t="s">
        <v>237</v>
      </c>
      <c r="AG68" s="198" t="s">
        <v>237</v>
      </c>
      <c r="AH68" s="46" t="s">
        <v>237</v>
      </c>
    </row>
    <row r="69" spans="2:34" hidden="1" outlineLevel="1">
      <c r="B69" s="87">
        <v>0</v>
      </c>
      <c r="C69" s="133">
        <v>0</v>
      </c>
      <c r="D69" s="51" t="s">
        <v>237</v>
      </c>
      <c r="E69" s="131" t="s">
        <v>237</v>
      </c>
      <c r="F69" s="131" t="s">
        <v>237</v>
      </c>
      <c r="G69" s="131" t="s">
        <v>237</v>
      </c>
      <c r="H69" s="131" t="s">
        <v>237</v>
      </c>
      <c r="I69" s="131" t="s">
        <v>237</v>
      </c>
      <c r="J69" s="131" t="s">
        <v>237</v>
      </c>
      <c r="K69" s="131" t="s">
        <v>237</v>
      </c>
      <c r="L69" s="131" t="s">
        <v>237</v>
      </c>
      <c r="M69" s="131" t="s">
        <v>237</v>
      </c>
      <c r="N69" s="131" t="s">
        <v>237</v>
      </c>
      <c r="O69" s="131" t="s">
        <v>237</v>
      </c>
      <c r="P69" s="131" t="s">
        <v>237</v>
      </c>
      <c r="Q69" s="131" t="s">
        <v>237</v>
      </c>
      <c r="R69" s="131" t="s">
        <v>237</v>
      </c>
      <c r="S69" s="131" t="s">
        <v>237</v>
      </c>
      <c r="T69" s="131" t="s">
        <v>237</v>
      </c>
      <c r="U69" s="131" t="s">
        <v>237</v>
      </c>
      <c r="V69" s="131" t="s">
        <v>237</v>
      </c>
      <c r="W69" s="131" t="s">
        <v>237</v>
      </c>
      <c r="X69" s="131" t="s">
        <v>237</v>
      </c>
      <c r="Y69" s="131" t="s">
        <v>237</v>
      </c>
      <c r="Z69" s="131" t="s">
        <v>237</v>
      </c>
      <c r="AA69" s="131" t="s">
        <v>237</v>
      </c>
      <c r="AB69" s="131" t="s">
        <v>237</v>
      </c>
      <c r="AC69" s="131" t="s">
        <v>237</v>
      </c>
      <c r="AD69" s="131" t="s">
        <v>237</v>
      </c>
      <c r="AE69" s="131" t="s">
        <v>237</v>
      </c>
      <c r="AF69" s="131" t="s">
        <v>237</v>
      </c>
      <c r="AG69" s="131" t="s">
        <v>237</v>
      </c>
      <c r="AH69" s="47" t="s">
        <v>237</v>
      </c>
    </row>
    <row r="70" spans="2:34" hidden="1" outlineLevel="1">
      <c r="B70" s="196">
        <v>0</v>
      </c>
      <c r="C70" s="197">
        <v>0</v>
      </c>
      <c r="D70" s="50" t="s">
        <v>237</v>
      </c>
      <c r="E70" s="198" t="s">
        <v>237</v>
      </c>
      <c r="F70" s="198" t="s">
        <v>237</v>
      </c>
      <c r="G70" s="198" t="s">
        <v>237</v>
      </c>
      <c r="H70" s="198" t="s">
        <v>237</v>
      </c>
      <c r="I70" s="198" t="s">
        <v>237</v>
      </c>
      <c r="J70" s="198" t="s">
        <v>237</v>
      </c>
      <c r="K70" s="198" t="s">
        <v>237</v>
      </c>
      <c r="L70" s="198" t="s">
        <v>237</v>
      </c>
      <c r="M70" s="198" t="s">
        <v>237</v>
      </c>
      <c r="N70" s="198" t="s">
        <v>237</v>
      </c>
      <c r="O70" s="198" t="s">
        <v>237</v>
      </c>
      <c r="P70" s="198" t="s">
        <v>237</v>
      </c>
      <c r="Q70" s="198" t="s">
        <v>237</v>
      </c>
      <c r="R70" s="198" t="s">
        <v>237</v>
      </c>
      <c r="S70" s="198" t="s">
        <v>237</v>
      </c>
      <c r="T70" s="198" t="s">
        <v>237</v>
      </c>
      <c r="U70" s="198" t="s">
        <v>237</v>
      </c>
      <c r="V70" s="198" t="s">
        <v>237</v>
      </c>
      <c r="W70" s="198" t="s">
        <v>237</v>
      </c>
      <c r="X70" s="198" t="s">
        <v>237</v>
      </c>
      <c r="Y70" s="198" t="s">
        <v>237</v>
      </c>
      <c r="Z70" s="198" t="s">
        <v>237</v>
      </c>
      <c r="AA70" s="198" t="s">
        <v>237</v>
      </c>
      <c r="AB70" s="198" t="s">
        <v>237</v>
      </c>
      <c r="AC70" s="198" t="s">
        <v>237</v>
      </c>
      <c r="AD70" s="198" t="s">
        <v>237</v>
      </c>
      <c r="AE70" s="198" t="s">
        <v>237</v>
      </c>
      <c r="AF70" s="198" t="s">
        <v>237</v>
      </c>
      <c r="AG70" s="198" t="s">
        <v>237</v>
      </c>
      <c r="AH70" s="46" t="s">
        <v>237</v>
      </c>
    </row>
    <row r="71" spans="2:34" hidden="1" outlineLevel="1">
      <c r="B71" s="87">
        <v>0</v>
      </c>
      <c r="C71" s="133">
        <v>0</v>
      </c>
      <c r="D71" s="51" t="s">
        <v>237</v>
      </c>
      <c r="E71" s="131" t="s">
        <v>237</v>
      </c>
      <c r="F71" s="131" t="s">
        <v>237</v>
      </c>
      <c r="G71" s="131" t="s">
        <v>237</v>
      </c>
      <c r="H71" s="131" t="s">
        <v>237</v>
      </c>
      <c r="I71" s="131" t="s">
        <v>237</v>
      </c>
      <c r="J71" s="131" t="s">
        <v>237</v>
      </c>
      <c r="K71" s="131" t="s">
        <v>237</v>
      </c>
      <c r="L71" s="131" t="s">
        <v>237</v>
      </c>
      <c r="M71" s="131" t="s">
        <v>237</v>
      </c>
      <c r="N71" s="131" t="s">
        <v>237</v>
      </c>
      <c r="O71" s="131" t="s">
        <v>237</v>
      </c>
      <c r="P71" s="131" t="s">
        <v>237</v>
      </c>
      <c r="Q71" s="131" t="s">
        <v>237</v>
      </c>
      <c r="R71" s="131" t="s">
        <v>237</v>
      </c>
      <c r="S71" s="131" t="s">
        <v>237</v>
      </c>
      <c r="T71" s="131" t="s">
        <v>237</v>
      </c>
      <c r="U71" s="131" t="s">
        <v>237</v>
      </c>
      <c r="V71" s="131" t="s">
        <v>237</v>
      </c>
      <c r="W71" s="131" t="s">
        <v>237</v>
      </c>
      <c r="X71" s="131" t="s">
        <v>237</v>
      </c>
      <c r="Y71" s="131" t="s">
        <v>237</v>
      </c>
      <c r="Z71" s="131" t="s">
        <v>237</v>
      </c>
      <c r="AA71" s="131" t="s">
        <v>237</v>
      </c>
      <c r="AB71" s="131" t="s">
        <v>237</v>
      </c>
      <c r="AC71" s="131" t="s">
        <v>237</v>
      </c>
      <c r="AD71" s="131" t="s">
        <v>237</v>
      </c>
      <c r="AE71" s="131" t="s">
        <v>237</v>
      </c>
      <c r="AF71" s="131" t="s">
        <v>237</v>
      </c>
      <c r="AG71" s="131" t="s">
        <v>237</v>
      </c>
      <c r="AH71" s="47" t="s">
        <v>237</v>
      </c>
    </row>
    <row r="72" spans="2:34" hidden="1" outlineLevel="1">
      <c r="B72" s="196">
        <v>0</v>
      </c>
      <c r="C72" s="197">
        <v>0</v>
      </c>
      <c r="D72" s="50" t="s">
        <v>237</v>
      </c>
      <c r="E72" s="198" t="s">
        <v>237</v>
      </c>
      <c r="F72" s="198" t="s">
        <v>237</v>
      </c>
      <c r="G72" s="198" t="s">
        <v>237</v>
      </c>
      <c r="H72" s="198" t="s">
        <v>237</v>
      </c>
      <c r="I72" s="198" t="s">
        <v>237</v>
      </c>
      <c r="J72" s="198" t="s">
        <v>237</v>
      </c>
      <c r="K72" s="198" t="s">
        <v>237</v>
      </c>
      <c r="L72" s="198" t="s">
        <v>237</v>
      </c>
      <c r="M72" s="198" t="s">
        <v>237</v>
      </c>
      <c r="N72" s="198" t="s">
        <v>237</v>
      </c>
      <c r="O72" s="198" t="s">
        <v>237</v>
      </c>
      <c r="P72" s="198" t="s">
        <v>237</v>
      </c>
      <c r="Q72" s="198" t="s">
        <v>237</v>
      </c>
      <c r="R72" s="198" t="s">
        <v>237</v>
      </c>
      <c r="S72" s="198" t="s">
        <v>237</v>
      </c>
      <c r="T72" s="198" t="s">
        <v>237</v>
      </c>
      <c r="U72" s="198" t="s">
        <v>237</v>
      </c>
      <c r="V72" s="198" t="s">
        <v>237</v>
      </c>
      <c r="W72" s="198" t="s">
        <v>237</v>
      </c>
      <c r="X72" s="198" t="s">
        <v>237</v>
      </c>
      <c r="Y72" s="198" t="s">
        <v>237</v>
      </c>
      <c r="Z72" s="198" t="s">
        <v>237</v>
      </c>
      <c r="AA72" s="198" t="s">
        <v>237</v>
      </c>
      <c r="AB72" s="198" t="s">
        <v>237</v>
      </c>
      <c r="AC72" s="198" t="s">
        <v>237</v>
      </c>
      <c r="AD72" s="198" t="s">
        <v>237</v>
      </c>
      <c r="AE72" s="198" t="s">
        <v>237</v>
      </c>
      <c r="AF72" s="198" t="s">
        <v>237</v>
      </c>
      <c r="AG72" s="198" t="s">
        <v>237</v>
      </c>
      <c r="AH72" s="46" t="s">
        <v>237</v>
      </c>
    </row>
    <row r="73" spans="2:34" hidden="1" outlineLevel="1">
      <c r="B73" s="87">
        <v>0</v>
      </c>
      <c r="C73" s="133">
        <v>0</v>
      </c>
      <c r="D73" s="51" t="s">
        <v>237</v>
      </c>
      <c r="E73" s="131" t="s">
        <v>237</v>
      </c>
      <c r="F73" s="131" t="s">
        <v>237</v>
      </c>
      <c r="G73" s="131" t="s">
        <v>237</v>
      </c>
      <c r="H73" s="131" t="s">
        <v>237</v>
      </c>
      <c r="I73" s="131" t="s">
        <v>237</v>
      </c>
      <c r="J73" s="131" t="s">
        <v>237</v>
      </c>
      <c r="K73" s="131" t="s">
        <v>237</v>
      </c>
      <c r="L73" s="131" t="s">
        <v>237</v>
      </c>
      <c r="M73" s="131" t="s">
        <v>237</v>
      </c>
      <c r="N73" s="131" t="s">
        <v>237</v>
      </c>
      <c r="O73" s="131" t="s">
        <v>237</v>
      </c>
      <c r="P73" s="131" t="s">
        <v>237</v>
      </c>
      <c r="Q73" s="131" t="s">
        <v>237</v>
      </c>
      <c r="R73" s="131" t="s">
        <v>237</v>
      </c>
      <c r="S73" s="131" t="s">
        <v>237</v>
      </c>
      <c r="T73" s="131" t="s">
        <v>237</v>
      </c>
      <c r="U73" s="131" t="s">
        <v>237</v>
      </c>
      <c r="V73" s="131" t="s">
        <v>237</v>
      </c>
      <c r="W73" s="131" t="s">
        <v>237</v>
      </c>
      <c r="X73" s="131" t="s">
        <v>237</v>
      </c>
      <c r="Y73" s="131" t="s">
        <v>237</v>
      </c>
      <c r="Z73" s="131" t="s">
        <v>237</v>
      </c>
      <c r="AA73" s="131" t="s">
        <v>237</v>
      </c>
      <c r="AB73" s="131" t="s">
        <v>237</v>
      </c>
      <c r="AC73" s="131" t="s">
        <v>237</v>
      </c>
      <c r="AD73" s="131" t="s">
        <v>237</v>
      </c>
      <c r="AE73" s="131" t="s">
        <v>237</v>
      </c>
      <c r="AF73" s="131" t="s">
        <v>237</v>
      </c>
      <c r="AG73" s="131" t="s">
        <v>237</v>
      </c>
      <c r="AH73" s="47" t="s">
        <v>237</v>
      </c>
    </row>
    <row r="74" spans="2:34" hidden="1" outlineLevel="1">
      <c r="B74" s="196">
        <v>0</v>
      </c>
      <c r="C74" s="197">
        <v>0</v>
      </c>
      <c r="D74" s="50" t="s">
        <v>237</v>
      </c>
      <c r="E74" s="198" t="s">
        <v>237</v>
      </c>
      <c r="F74" s="198" t="s">
        <v>237</v>
      </c>
      <c r="G74" s="198" t="s">
        <v>237</v>
      </c>
      <c r="H74" s="198" t="s">
        <v>237</v>
      </c>
      <c r="I74" s="198" t="s">
        <v>237</v>
      </c>
      <c r="J74" s="198" t="s">
        <v>237</v>
      </c>
      <c r="K74" s="198" t="s">
        <v>237</v>
      </c>
      <c r="L74" s="198" t="s">
        <v>237</v>
      </c>
      <c r="M74" s="198" t="s">
        <v>237</v>
      </c>
      <c r="N74" s="198" t="s">
        <v>237</v>
      </c>
      <c r="O74" s="198" t="s">
        <v>237</v>
      </c>
      <c r="P74" s="198" t="s">
        <v>237</v>
      </c>
      <c r="Q74" s="198" t="s">
        <v>237</v>
      </c>
      <c r="R74" s="198" t="s">
        <v>237</v>
      </c>
      <c r="S74" s="198" t="s">
        <v>237</v>
      </c>
      <c r="T74" s="198" t="s">
        <v>237</v>
      </c>
      <c r="U74" s="198" t="s">
        <v>237</v>
      </c>
      <c r="V74" s="198" t="s">
        <v>237</v>
      </c>
      <c r="W74" s="198" t="s">
        <v>237</v>
      </c>
      <c r="X74" s="198" t="s">
        <v>237</v>
      </c>
      <c r="Y74" s="198" t="s">
        <v>237</v>
      </c>
      <c r="Z74" s="198" t="s">
        <v>237</v>
      </c>
      <c r="AA74" s="198" t="s">
        <v>237</v>
      </c>
      <c r="AB74" s="198" t="s">
        <v>237</v>
      </c>
      <c r="AC74" s="198" t="s">
        <v>237</v>
      </c>
      <c r="AD74" s="198" t="s">
        <v>237</v>
      </c>
      <c r="AE74" s="198" t="s">
        <v>237</v>
      </c>
      <c r="AF74" s="198" t="s">
        <v>237</v>
      </c>
      <c r="AG74" s="198" t="s">
        <v>237</v>
      </c>
      <c r="AH74" s="46" t="s">
        <v>237</v>
      </c>
    </row>
    <row r="75" spans="2:34" hidden="1" outlineLevel="1">
      <c r="B75" s="87">
        <v>0</v>
      </c>
      <c r="C75" s="133">
        <v>0</v>
      </c>
      <c r="D75" s="51" t="s">
        <v>237</v>
      </c>
      <c r="E75" s="131" t="s">
        <v>237</v>
      </c>
      <c r="F75" s="131" t="s">
        <v>237</v>
      </c>
      <c r="G75" s="131" t="s">
        <v>237</v>
      </c>
      <c r="H75" s="131" t="s">
        <v>237</v>
      </c>
      <c r="I75" s="131" t="s">
        <v>237</v>
      </c>
      <c r="J75" s="131" t="s">
        <v>237</v>
      </c>
      <c r="K75" s="131" t="s">
        <v>237</v>
      </c>
      <c r="L75" s="131" t="s">
        <v>237</v>
      </c>
      <c r="M75" s="131" t="s">
        <v>237</v>
      </c>
      <c r="N75" s="131" t="s">
        <v>237</v>
      </c>
      <c r="O75" s="131" t="s">
        <v>237</v>
      </c>
      <c r="P75" s="131" t="s">
        <v>237</v>
      </c>
      <c r="Q75" s="131" t="s">
        <v>237</v>
      </c>
      <c r="R75" s="131" t="s">
        <v>237</v>
      </c>
      <c r="S75" s="131" t="s">
        <v>237</v>
      </c>
      <c r="T75" s="131" t="s">
        <v>237</v>
      </c>
      <c r="U75" s="131" t="s">
        <v>237</v>
      </c>
      <c r="V75" s="131" t="s">
        <v>237</v>
      </c>
      <c r="W75" s="131" t="s">
        <v>237</v>
      </c>
      <c r="X75" s="131" t="s">
        <v>237</v>
      </c>
      <c r="Y75" s="131" t="s">
        <v>237</v>
      </c>
      <c r="Z75" s="131" t="s">
        <v>237</v>
      </c>
      <c r="AA75" s="131" t="s">
        <v>237</v>
      </c>
      <c r="AB75" s="131" t="s">
        <v>237</v>
      </c>
      <c r="AC75" s="131" t="s">
        <v>237</v>
      </c>
      <c r="AD75" s="131" t="s">
        <v>237</v>
      </c>
      <c r="AE75" s="131" t="s">
        <v>237</v>
      </c>
      <c r="AF75" s="131" t="s">
        <v>237</v>
      </c>
      <c r="AG75" s="131" t="s">
        <v>237</v>
      </c>
      <c r="AH75" s="47" t="s">
        <v>237</v>
      </c>
    </row>
    <row r="76" spans="2:34" hidden="1" outlineLevel="1">
      <c r="B76" s="196">
        <v>0</v>
      </c>
      <c r="C76" s="197">
        <v>0</v>
      </c>
      <c r="D76" s="50" t="s">
        <v>237</v>
      </c>
      <c r="E76" s="198" t="s">
        <v>237</v>
      </c>
      <c r="F76" s="198" t="s">
        <v>237</v>
      </c>
      <c r="G76" s="198" t="s">
        <v>237</v>
      </c>
      <c r="H76" s="198" t="s">
        <v>237</v>
      </c>
      <c r="I76" s="198" t="s">
        <v>237</v>
      </c>
      <c r="J76" s="198" t="s">
        <v>237</v>
      </c>
      <c r="K76" s="198" t="s">
        <v>237</v>
      </c>
      <c r="L76" s="198" t="s">
        <v>237</v>
      </c>
      <c r="M76" s="198" t="s">
        <v>237</v>
      </c>
      <c r="N76" s="198" t="s">
        <v>237</v>
      </c>
      <c r="O76" s="198" t="s">
        <v>237</v>
      </c>
      <c r="P76" s="198" t="s">
        <v>237</v>
      </c>
      <c r="Q76" s="198" t="s">
        <v>237</v>
      </c>
      <c r="R76" s="198" t="s">
        <v>237</v>
      </c>
      <c r="S76" s="198" t="s">
        <v>237</v>
      </c>
      <c r="T76" s="198" t="s">
        <v>237</v>
      </c>
      <c r="U76" s="198" t="s">
        <v>237</v>
      </c>
      <c r="V76" s="198" t="s">
        <v>237</v>
      </c>
      <c r="W76" s="198" t="s">
        <v>237</v>
      </c>
      <c r="X76" s="198" t="s">
        <v>237</v>
      </c>
      <c r="Y76" s="198" t="s">
        <v>237</v>
      </c>
      <c r="Z76" s="198" t="s">
        <v>237</v>
      </c>
      <c r="AA76" s="198" t="s">
        <v>237</v>
      </c>
      <c r="AB76" s="198" t="s">
        <v>237</v>
      </c>
      <c r="AC76" s="198" t="s">
        <v>237</v>
      </c>
      <c r="AD76" s="198" t="s">
        <v>237</v>
      </c>
      <c r="AE76" s="198" t="s">
        <v>237</v>
      </c>
      <c r="AF76" s="198" t="s">
        <v>237</v>
      </c>
      <c r="AG76" s="198" t="s">
        <v>237</v>
      </c>
      <c r="AH76" s="46" t="s">
        <v>237</v>
      </c>
    </row>
    <row r="77" spans="2:34" hidden="1" outlineLevel="1">
      <c r="B77" s="87">
        <v>0</v>
      </c>
      <c r="C77" s="133">
        <v>0</v>
      </c>
      <c r="D77" s="51" t="s">
        <v>237</v>
      </c>
      <c r="E77" s="131" t="s">
        <v>237</v>
      </c>
      <c r="F77" s="131" t="s">
        <v>237</v>
      </c>
      <c r="G77" s="131" t="s">
        <v>237</v>
      </c>
      <c r="H77" s="131" t="s">
        <v>237</v>
      </c>
      <c r="I77" s="131" t="s">
        <v>237</v>
      </c>
      <c r="J77" s="131" t="s">
        <v>237</v>
      </c>
      <c r="K77" s="131" t="s">
        <v>237</v>
      </c>
      <c r="L77" s="131" t="s">
        <v>237</v>
      </c>
      <c r="M77" s="131" t="s">
        <v>237</v>
      </c>
      <c r="N77" s="131" t="s">
        <v>237</v>
      </c>
      <c r="O77" s="131" t="s">
        <v>237</v>
      </c>
      <c r="P77" s="131" t="s">
        <v>237</v>
      </c>
      <c r="Q77" s="131" t="s">
        <v>237</v>
      </c>
      <c r="R77" s="131" t="s">
        <v>237</v>
      </c>
      <c r="S77" s="131" t="s">
        <v>237</v>
      </c>
      <c r="T77" s="131" t="s">
        <v>237</v>
      </c>
      <c r="U77" s="131" t="s">
        <v>237</v>
      </c>
      <c r="V77" s="131" t="s">
        <v>237</v>
      </c>
      <c r="W77" s="131" t="s">
        <v>237</v>
      </c>
      <c r="X77" s="131" t="s">
        <v>237</v>
      </c>
      <c r="Y77" s="131" t="s">
        <v>237</v>
      </c>
      <c r="Z77" s="131" t="s">
        <v>237</v>
      </c>
      <c r="AA77" s="131" t="s">
        <v>237</v>
      </c>
      <c r="AB77" s="131" t="s">
        <v>237</v>
      </c>
      <c r="AC77" s="131" t="s">
        <v>237</v>
      </c>
      <c r="AD77" s="131" t="s">
        <v>237</v>
      </c>
      <c r="AE77" s="131" t="s">
        <v>237</v>
      </c>
      <c r="AF77" s="131" t="s">
        <v>237</v>
      </c>
      <c r="AG77" s="131" t="s">
        <v>237</v>
      </c>
      <c r="AH77" s="47" t="s">
        <v>237</v>
      </c>
    </row>
    <row r="78" spans="2:34" hidden="1" outlineLevel="1">
      <c r="B78" s="196">
        <v>0</v>
      </c>
      <c r="C78" s="197">
        <v>0</v>
      </c>
      <c r="D78" s="50" t="s">
        <v>237</v>
      </c>
      <c r="E78" s="198" t="s">
        <v>237</v>
      </c>
      <c r="F78" s="198" t="s">
        <v>237</v>
      </c>
      <c r="G78" s="198" t="s">
        <v>237</v>
      </c>
      <c r="H78" s="198" t="s">
        <v>237</v>
      </c>
      <c r="I78" s="198" t="s">
        <v>237</v>
      </c>
      <c r="J78" s="198" t="s">
        <v>237</v>
      </c>
      <c r="K78" s="198" t="s">
        <v>237</v>
      </c>
      <c r="L78" s="198" t="s">
        <v>237</v>
      </c>
      <c r="M78" s="198" t="s">
        <v>237</v>
      </c>
      <c r="N78" s="198" t="s">
        <v>237</v>
      </c>
      <c r="O78" s="198" t="s">
        <v>237</v>
      </c>
      <c r="P78" s="198" t="s">
        <v>237</v>
      </c>
      <c r="Q78" s="198" t="s">
        <v>237</v>
      </c>
      <c r="R78" s="198" t="s">
        <v>237</v>
      </c>
      <c r="S78" s="198" t="s">
        <v>237</v>
      </c>
      <c r="T78" s="198" t="s">
        <v>237</v>
      </c>
      <c r="U78" s="198" t="s">
        <v>237</v>
      </c>
      <c r="V78" s="198" t="s">
        <v>237</v>
      </c>
      <c r="W78" s="198" t="s">
        <v>237</v>
      </c>
      <c r="X78" s="198" t="s">
        <v>237</v>
      </c>
      <c r="Y78" s="198" t="s">
        <v>237</v>
      </c>
      <c r="Z78" s="198" t="s">
        <v>237</v>
      </c>
      <c r="AA78" s="198" t="s">
        <v>237</v>
      </c>
      <c r="AB78" s="198" t="s">
        <v>237</v>
      </c>
      <c r="AC78" s="198" t="s">
        <v>237</v>
      </c>
      <c r="AD78" s="198" t="s">
        <v>237</v>
      </c>
      <c r="AE78" s="198" t="s">
        <v>237</v>
      </c>
      <c r="AF78" s="198" t="s">
        <v>237</v>
      </c>
      <c r="AG78" s="198" t="s">
        <v>237</v>
      </c>
      <c r="AH78" s="46" t="s">
        <v>237</v>
      </c>
    </row>
    <row r="79" spans="2:34" hidden="1" outlineLevel="1">
      <c r="B79" s="87">
        <v>0</v>
      </c>
      <c r="C79" s="133">
        <v>0</v>
      </c>
      <c r="D79" s="51" t="s">
        <v>237</v>
      </c>
      <c r="E79" s="131" t="s">
        <v>237</v>
      </c>
      <c r="F79" s="131" t="s">
        <v>237</v>
      </c>
      <c r="G79" s="131" t="s">
        <v>237</v>
      </c>
      <c r="H79" s="131" t="s">
        <v>237</v>
      </c>
      <c r="I79" s="131" t="s">
        <v>237</v>
      </c>
      <c r="J79" s="131" t="s">
        <v>237</v>
      </c>
      <c r="K79" s="131" t="s">
        <v>237</v>
      </c>
      <c r="L79" s="131" t="s">
        <v>237</v>
      </c>
      <c r="M79" s="131" t="s">
        <v>237</v>
      </c>
      <c r="N79" s="131" t="s">
        <v>237</v>
      </c>
      <c r="O79" s="131" t="s">
        <v>237</v>
      </c>
      <c r="P79" s="131" t="s">
        <v>237</v>
      </c>
      <c r="Q79" s="131" t="s">
        <v>237</v>
      </c>
      <c r="R79" s="131" t="s">
        <v>237</v>
      </c>
      <c r="S79" s="131" t="s">
        <v>237</v>
      </c>
      <c r="T79" s="131" t="s">
        <v>237</v>
      </c>
      <c r="U79" s="131" t="s">
        <v>237</v>
      </c>
      <c r="V79" s="131" t="s">
        <v>237</v>
      </c>
      <c r="W79" s="131" t="s">
        <v>237</v>
      </c>
      <c r="X79" s="131" t="s">
        <v>237</v>
      </c>
      <c r="Y79" s="131" t="s">
        <v>237</v>
      </c>
      <c r="Z79" s="131" t="s">
        <v>237</v>
      </c>
      <c r="AA79" s="131" t="s">
        <v>237</v>
      </c>
      <c r="AB79" s="131" t="s">
        <v>237</v>
      </c>
      <c r="AC79" s="131" t="s">
        <v>237</v>
      </c>
      <c r="AD79" s="131" t="s">
        <v>237</v>
      </c>
      <c r="AE79" s="131" t="s">
        <v>237</v>
      </c>
      <c r="AF79" s="131" t="s">
        <v>237</v>
      </c>
      <c r="AG79" s="131" t="s">
        <v>237</v>
      </c>
      <c r="AH79" s="47" t="s">
        <v>237</v>
      </c>
    </row>
    <row r="80" spans="2:34" hidden="1" outlineLevel="1">
      <c r="B80" s="196">
        <v>0</v>
      </c>
      <c r="C80" s="197">
        <v>0</v>
      </c>
      <c r="D80" s="50" t="s">
        <v>237</v>
      </c>
      <c r="E80" s="198" t="s">
        <v>237</v>
      </c>
      <c r="F80" s="198" t="s">
        <v>237</v>
      </c>
      <c r="G80" s="198" t="s">
        <v>237</v>
      </c>
      <c r="H80" s="198" t="s">
        <v>237</v>
      </c>
      <c r="I80" s="198" t="s">
        <v>237</v>
      </c>
      <c r="J80" s="198" t="s">
        <v>237</v>
      </c>
      <c r="K80" s="198" t="s">
        <v>237</v>
      </c>
      <c r="L80" s="198" t="s">
        <v>237</v>
      </c>
      <c r="M80" s="198" t="s">
        <v>237</v>
      </c>
      <c r="N80" s="198" t="s">
        <v>237</v>
      </c>
      <c r="O80" s="198" t="s">
        <v>237</v>
      </c>
      <c r="P80" s="198" t="s">
        <v>237</v>
      </c>
      <c r="Q80" s="198" t="s">
        <v>237</v>
      </c>
      <c r="R80" s="198" t="s">
        <v>237</v>
      </c>
      <c r="S80" s="198" t="s">
        <v>237</v>
      </c>
      <c r="T80" s="198" t="s">
        <v>237</v>
      </c>
      <c r="U80" s="198" t="s">
        <v>237</v>
      </c>
      <c r="V80" s="198" t="s">
        <v>237</v>
      </c>
      <c r="W80" s="198" t="s">
        <v>237</v>
      </c>
      <c r="X80" s="198" t="s">
        <v>237</v>
      </c>
      <c r="Y80" s="198" t="s">
        <v>237</v>
      </c>
      <c r="Z80" s="198" t="s">
        <v>237</v>
      </c>
      <c r="AA80" s="198" t="s">
        <v>237</v>
      </c>
      <c r="AB80" s="198" t="s">
        <v>237</v>
      </c>
      <c r="AC80" s="198" t="s">
        <v>237</v>
      </c>
      <c r="AD80" s="198" t="s">
        <v>237</v>
      </c>
      <c r="AE80" s="198" t="s">
        <v>237</v>
      </c>
      <c r="AF80" s="198" t="s">
        <v>237</v>
      </c>
      <c r="AG80" s="198" t="s">
        <v>237</v>
      </c>
      <c r="AH80" s="46" t="s">
        <v>237</v>
      </c>
    </row>
    <row r="81" spans="2:34" hidden="1" outlineLevel="1">
      <c r="B81" s="87">
        <v>0</v>
      </c>
      <c r="C81" s="133">
        <v>0</v>
      </c>
      <c r="D81" s="51" t="s">
        <v>237</v>
      </c>
      <c r="E81" s="131" t="s">
        <v>237</v>
      </c>
      <c r="F81" s="131" t="s">
        <v>237</v>
      </c>
      <c r="G81" s="131" t="s">
        <v>237</v>
      </c>
      <c r="H81" s="131" t="s">
        <v>237</v>
      </c>
      <c r="I81" s="131" t="s">
        <v>237</v>
      </c>
      <c r="J81" s="131" t="s">
        <v>237</v>
      </c>
      <c r="K81" s="131" t="s">
        <v>237</v>
      </c>
      <c r="L81" s="131" t="s">
        <v>237</v>
      </c>
      <c r="M81" s="131" t="s">
        <v>237</v>
      </c>
      <c r="N81" s="131" t="s">
        <v>237</v>
      </c>
      <c r="O81" s="131" t="s">
        <v>237</v>
      </c>
      <c r="P81" s="131" t="s">
        <v>237</v>
      </c>
      <c r="Q81" s="131" t="s">
        <v>237</v>
      </c>
      <c r="R81" s="131" t="s">
        <v>237</v>
      </c>
      <c r="S81" s="131" t="s">
        <v>237</v>
      </c>
      <c r="T81" s="131" t="s">
        <v>237</v>
      </c>
      <c r="U81" s="131" t="s">
        <v>237</v>
      </c>
      <c r="V81" s="131" t="s">
        <v>237</v>
      </c>
      <c r="W81" s="131" t="s">
        <v>237</v>
      </c>
      <c r="X81" s="131" t="s">
        <v>237</v>
      </c>
      <c r="Y81" s="131" t="s">
        <v>237</v>
      </c>
      <c r="Z81" s="131" t="s">
        <v>237</v>
      </c>
      <c r="AA81" s="131" t="s">
        <v>237</v>
      </c>
      <c r="AB81" s="131" t="s">
        <v>237</v>
      </c>
      <c r="AC81" s="131" t="s">
        <v>237</v>
      </c>
      <c r="AD81" s="131" t="s">
        <v>237</v>
      </c>
      <c r="AE81" s="131" t="s">
        <v>237</v>
      </c>
      <c r="AF81" s="131" t="s">
        <v>237</v>
      </c>
      <c r="AG81" s="131" t="s">
        <v>237</v>
      </c>
      <c r="AH81" s="47" t="s">
        <v>237</v>
      </c>
    </row>
    <row r="82" spans="2:34" hidden="1" outlineLevel="1">
      <c r="B82" s="196">
        <v>0</v>
      </c>
      <c r="C82" s="197">
        <v>0</v>
      </c>
      <c r="D82" s="50" t="s">
        <v>237</v>
      </c>
      <c r="E82" s="198" t="s">
        <v>237</v>
      </c>
      <c r="F82" s="198" t="s">
        <v>237</v>
      </c>
      <c r="G82" s="198" t="s">
        <v>237</v>
      </c>
      <c r="H82" s="198" t="s">
        <v>237</v>
      </c>
      <c r="I82" s="198" t="s">
        <v>237</v>
      </c>
      <c r="J82" s="198" t="s">
        <v>237</v>
      </c>
      <c r="K82" s="198" t="s">
        <v>237</v>
      </c>
      <c r="L82" s="198" t="s">
        <v>237</v>
      </c>
      <c r="M82" s="198" t="s">
        <v>237</v>
      </c>
      <c r="N82" s="198" t="s">
        <v>237</v>
      </c>
      <c r="O82" s="198" t="s">
        <v>237</v>
      </c>
      <c r="P82" s="198" t="s">
        <v>237</v>
      </c>
      <c r="Q82" s="198" t="s">
        <v>237</v>
      </c>
      <c r="R82" s="198" t="s">
        <v>237</v>
      </c>
      <c r="S82" s="198" t="s">
        <v>237</v>
      </c>
      <c r="T82" s="198" t="s">
        <v>237</v>
      </c>
      <c r="U82" s="198" t="s">
        <v>237</v>
      </c>
      <c r="V82" s="198" t="s">
        <v>237</v>
      </c>
      <c r="W82" s="198" t="s">
        <v>237</v>
      </c>
      <c r="X82" s="198" t="s">
        <v>237</v>
      </c>
      <c r="Y82" s="198" t="s">
        <v>237</v>
      </c>
      <c r="Z82" s="198" t="s">
        <v>237</v>
      </c>
      <c r="AA82" s="198" t="s">
        <v>237</v>
      </c>
      <c r="AB82" s="198" t="s">
        <v>237</v>
      </c>
      <c r="AC82" s="198" t="s">
        <v>237</v>
      </c>
      <c r="AD82" s="198" t="s">
        <v>237</v>
      </c>
      <c r="AE82" s="198" t="s">
        <v>237</v>
      </c>
      <c r="AF82" s="198" t="s">
        <v>237</v>
      </c>
      <c r="AG82" s="198" t="s">
        <v>237</v>
      </c>
      <c r="AH82" s="46" t="s">
        <v>237</v>
      </c>
    </row>
    <row r="83" spans="2:34" hidden="1" outlineLevel="1">
      <c r="B83" s="87">
        <v>0</v>
      </c>
      <c r="C83" s="133">
        <v>0</v>
      </c>
      <c r="D83" s="51" t="s">
        <v>237</v>
      </c>
      <c r="E83" s="131" t="s">
        <v>237</v>
      </c>
      <c r="F83" s="131" t="s">
        <v>237</v>
      </c>
      <c r="G83" s="131" t="s">
        <v>237</v>
      </c>
      <c r="H83" s="131" t="s">
        <v>237</v>
      </c>
      <c r="I83" s="131" t="s">
        <v>237</v>
      </c>
      <c r="J83" s="131" t="s">
        <v>237</v>
      </c>
      <c r="K83" s="131" t="s">
        <v>237</v>
      </c>
      <c r="L83" s="131" t="s">
        <v>237</v>
      </c>
      <c r="M83" s="131" t="s">
        <v>237</v>
      </c>
      <c r="N83" s="131" t="s">
        <v>237</v>
      </c>
      <c r="O83" s="131" t="s">
        <v>237</v>
      </c>
      <c r="P83" s="131" t="s">
        <v>237</v>
      </c>
      <c r="Q83" s="131" t="s">
        <v>237</v>
      </c>
      <c r="R83" s="131" t="s">
        <v>237</v>
      </c>
      <c r="S83" s="131" t="s">
        <v>237</v>
      </c>
      <c r="T83" s="131" t="s">
        <v>237</v>
      </c>
      <c r="U83" s="131" t="s">
        <v>237</v>
      </c>
      <c r="V83" s="131" t="s">
        <v>237</v>
      </c>
      <c r="W83" s="131" t="s">
        <v>237</v>
      </c>
      <c r="X83" s="131" t="s">
        <v>237</v>
      </c>
      <c r="Y83" s="131" t="s">
        <v>237</v>
      </c>
      <c r="Z83" s="131" t="s">
        <v>237</v>
      </c>
      <c r="AA83" s="131" t="s">
        <v>237</v>
      </c>
      <c r="AB83" s="131" t="s">
        <v>237</v>
      </c>
      <c r="AC83" s="131" t="s">
        <v>237</v>
      </c>
      <c r="AD83" s="131" t="s">
        <v>237</v>
      </c>
      <c r="AE83" s="131" t="s">
        <v>237</v>
      </c>
      <c r="AF83" s="131" t="s">
        <v>237</v>
      </c>
      <c r="AG83" s="131" t="s">
        <v>237</v>
      </c>
      <c r="AH83" s="47" t="s">
        <v>237</v>
      </c>
    </row>
    <row r="84" spans="2:34" hidden="1" outlineLevel="1">
      <c r="B84" s="196">
        <v>0</v>
      </c>
      <c r="C84" s="197">
        <v>0</v>
      </c>
      <c r="D84" s="50" t="s">
        <v>237</v>
      </c>
      <c r="E84" s="198" t="s">
        <v>237</v>
      </c>
      <c r="F84" s="198" t="s">
        <v>237</v>
      </c>
      <c r="G84" s="198" t="s">
        <v>237</v>
      </c>
      <c r="H84" s="198" t="s">
        <v>237</v>
      </c>
      <c r="I84" s="198" t="s">
        <v>237</v>
      </c>
      <c r="J84" s="198" t="s">
        <v>237</v>
      </c>
      <c r="K84" s="198" t="s">
        <v>237</v>
      </c>
      <c r="L84" s="198" t="s">
        <v>237</v>
      </c>
      <c r="M84" s="198" t="s">
        <v>237</v>
      </c>
      <c r="N84" s="198" t="s">
        <v>237</v>
      </c>
      <c r="O84" s="198" t="s">
        <v>237</v>
      </c>
      <c r="P84" s="198" t="s">
        <v>237</v>
      </c>
      <c r="Q84" s="198" t="s">
        <v>237</v>
      </c>
      <c r="R84" s="198" t="s">
        <v>237</v>
      </c>
      <c r="S84" s="198" t="s">
        <v>237</v>
      </c>
      <c r="T84" s="198" t="s">
        <v>237</v>
      </c>
      <c r="U84" s="198" t="s">
        <v>237</v>
      </c>
      <c r="V84" s="198" t="s">
        <v>237</v>
      </c>
      <c r="W84" s="198" t="s">
        <v>237</v>
      </c>
      <c r="X84" s="198" t="s">
        <v>237</v>
      </c>
      <c r="Y84" s="198" t="s">
        <v>237</v>
      </c>
      <c r="Z84" s="198" t="s">
        <v>237</v>
      </c>
      <c r="AA84" s="198" t="s">
        <v>237</v>
      </c>
      <c r="AB84" s="198" t="s">
        <v>237</v>
      </c>
      <c r="AC84" s="198" t="s">
        <v>237</v>
      </c>
      <c r="AD84" s="198" t="s">
        <v>237</v>
      </c>
      <c r="AE84" s="198" t="s">
        <v>237</v>
      </c>
      <c r="AF84" s="198" t="s">
        <v>237</v>
      </c>
      <c r="AG84" s="198" t="s">
        <v>237</v>
      </c>
      <c r="AH84" s="46" t="s">
        <v>237</v>
      </c>
    </row>
    <row r="85" spans="2:34" hidden="1" outlineLevel="1">
      <c r="B85" s="87">
        <v>0</v>
      </c>
      <c r="C85" s="133">
        <v>0</v>
      </c>
      <c r="D85" s="51" t="s">
        <v>237</v>
      </c>
      <c r="E85" s="131" t="s">
        <v>237</v>
      </c>
      <c r="F85" s="131" t="s">
        <v>237</v>
      </c>
      <c r="G85" s="131" t="s">
        <v>237</v>
      </c>
      <c r="H85" s="131" t="s">
        <v>237</v>
      </c>
      <c r="I85" s="131" t="s">
        <v>237</v>
      </c>
      <c r="J85" s="131" t="s">
        <v>237</v>
      </c>
      <c r="K85" s="131" t="s">
        <v>237</v>
      </c>
      <c r="L85" s="131" t="s">
        <v>237</v>
      </c>
      <c r="M85" s="131" t="s">
        <v>237</v>
      </c>
      <c r="N85" s="131" t="s">
        <v>237</v>
      </c>
      <c r="O85" s="131" t="s">
        <v>237</v>
      </c>
      <c r="P85" s="131" t="s">
        <v>237</v>
      </c>
      <c r="Q85" s="131" t="s">
        <v>237</v>
      </c>
      <c r="R85" s="131" t="s">
        <v>237</v>
      </c>
      <c r="S85" s="131" t="s">
        <v>237</v>
      </c>
      <c r="T85" s="131" t="s">
        <v>237</v>
      </c>
      <c r="U85" s="131" t="s">
        <v>237</v>
      </c>
      <c r="V85" s="131" t="s">
        <v>237</v>
      </c>
      <c r="W85" s="131" t="s">
        <v>237</v>
      </c>
      <c r="X85" s="131" t="s">
        <v>237</v>
      </c>
      <c r="Y85" s="131" t="s">
        <v>237</v>
      </c>
      <c r="Z85" s="131" t="s">
        <v>237</v>
      </c>
      <c r="AA85" s="131" t="s">
        <v>237</v>
      </c>
      <c r="AB85" s="131" t="s">
        <v>237</v>
      </c>
      <c r="AC85" s="131" t="s">
        <v>237</v>
      </c>
      <c r="AD85" s="131" t="s">
        <v>237</v>
      </c>
      <c r="AE85" s="131" t="s">
        <v>237</v>
      </c>
      <c r="AF85" s="131" t="s">
        <v>237</v>
      </c>
      <c r="AG85" s="131" t="s">
        <v>237</v>
      </c>
      <c r="AH85" s="47" t="s">
        <v>237</v>
      </c>
    </row>
    <row r="86" spans="2:34" hidden="1" outlineLevel="1">
      <c r="B86" s="196">
        <v>0</v>
      </c>
      <c r="C86" s="197">
        <v>0</v>
      </c>
      <c r="D86" s="50" t="s">
        <v>237</v>
      </c>
      <c r="E86" s="198" t="s">
        <v>237</v>
      </c>
      <c r="F86" s="198" t="s">
        <v>237</v>
      </c>
      <c r="G86" s="198" t="s">
        <v>237</v>
      </c>
      <c r="H86" s="198" t="s">
        <v>237</v>
      </c>
      <c r="I86" s="198" t="s">
        <v>237</v>
      </c>
      <c r="J86" s="198" t="s">
        <v>237</v>
      </c>
      <c r="K86" s="198" t="s">
        <v>237</v>
      </c>
      <c r="L86" s="198" t="s">
        <v>237</v>
      </c>
      <c r="M86" s="198" t="s">
        <v>237</v>
      </c>
      <c r="N86" s="198" t="s">
        <v>237</v>
      </c>
      <c r="O86" s="198" t="s">
        <v>237</v>
      </c>
      <c r="P86" s="198" t="s">
        <v>237</v>
      </c>
      <c r="Q86" s="198" t="s">
        <v>237</v>
      </c>
      <c r="R86" s="198" t="s">
        <v>237</v>
      </c>
      <c r="S86" s="198" t="s">
        <v>237</v>
      </c>
      <c r="T86" s="198" t="s">
        <v>237</v>
      </c>
      <c r="U86" s="198" t="s">
        <v>237</v>
      </c>
      <c r="V86" s="198" t="s">
        <v>237</v>
      </c>
      <c r="W86" s="198" t="s">
        <v>237</v>
      </c>
      <c r="X86" s="198" t="s">
        <v>237</v>
      </c>
      <c r="Y86" s="198" t="s">
        <v>237</v>
      </c>
      <c r="Z86" s="198" t="s">
        <v>237</v>
      </c>
      <c r="AA86" s="198" t="s">
        <v>237</v>
      </c>
      <c r="AB86" s="198" t="s">
        <v>237</v>
      </c>
      <c r="AC86" s="198" t="s">
        <v>237</v>
      </c>
      <c r="AD86" s="198" t="s">
        <v>237</v>
      </c>
      <c r="AE86" s="198" t="s">
        <v>237</v>
      </c>
      <c r="AF86" s="198" t="s">
        <v>237</v>
      </c>
      <c r="AG86" s="198" t="s">
        <v>237</v>
      </c>
      <c r="AH86" s="46" t="s">
        <v>237</v>
      </c>
    </row>
    <row r="87" spans="2:34" hidden="1" outlineLevel="1">
      <c r="B87" s="87">
        <v>0</v>
      </c>
      <c r="C87" s="133">
        <v>0</v>
      </c>
      <c r="D87" s="51" t="s">
        <v>237</v>
      </c>
      <c r="E87" s="131" t="s">
        <v>237</v>
      </c>
      <c r="F87" s="131" t="s">
        <v>237</v>
      </c>
      <c r="G87" s="131" t="s">
        <v>237</v>
      </c>
      <c r="H87" s="131" t="s">
        <v>237</v>
      </c>
      <c r="I87" s="131" t="s">
        <v>237</v>
      </c>
      <c r="J87" s="131" t="s">
        <v>237</v>
      </c>
      <c r="K87" s="131" t="s">
        <v>237</v>
      </c>
      <c r="L87" s="131" t="s">
        <v>237</v>
      </c>
      <c r="M87" s="131" t="s">
        <v>237</v>
      </c>
      <c r="N87" s="131" t="s">
        <v>237</v>
      </c>
      <c r="O87" s="131" t="s">
        <v>237</v>
      </c>
      <c r="P87" s="131" t="s">
        <v>237</v>
      </c>
      <c r="Q87" s="131" t="s">
        <v>237</v>
      </c>
      <c r="R87" s="131" t="s">
        <v>237</v>
      </c>
      <c r="S87" s="131" t="s">
        <v>237</v>
      </c>
      <c r="T87" s="131" t="s">
        <v>237</v>
      </c>
      <c r="U87" s="131" t="s">
        <v>237</v>
      </c>
      <c r="V87" s="131" t="s">
        <v>237</v>
      </c>
      <c r="W87" s="131" t="s">
        <v>237</v>
      </c>
      <c r="X87" s="131" t="s">
        <v>237</v>
      </c>
      <c r="Y87" s="131" t="s">
        <v>237</v>
      </c>
      <c r="Z87" s="131" t="s">
        <v>237</v>
      </c>
      <c r="AA87" s="131" t="s">
        <v>237</v>
      </c>
      <c r="AB87" s="131" t="s">
        <v>237</v>
      </c>
      <c r="AC87" s="131" t="s">
        <v>237</v>
      </c>
      <c r="AD87" s="131" t="s">
        <v>237</v>
      </c>
      <c r="AE87" s="131" t="s">
        <v>237</v>
      </c>
      <c r="AF87" s="131" t="s">
        <v>237</v>
      </c>
      <c r="AG87" s="131" t="s">
        <v>237</v>
      </c>
      <c r="AH87" s="47" t="s">
        <v>237</v>
      </c>
    </row>
    <row r="88" spans="2:34" hidden="1" outlineLevel="1">
      <c r="B88" s="196">
        <v>0</v>
      </c>
      <c r="C88" s="197">
        <v>0</v>
      </c>
      <c r="D88" s="50" t="s">
        <v>237</v>
      </c>
      <c r="E88" s="198" t="s">
        <v>237</v>
      </c>
      <c r="F88" s="198" t="s">
        <v>237</v>
      </c>
      <c r="G88" s="198" t="s">
        <v>237</v>
      </c>
      <c r="H88" s="198" t="s">
        <v>237</v>
      </c>
      <c r="I88" s="198" t="s">
        <v>237</v>
      </c>
      <c r="J88" s="198" t="s">
        <v>237</v>
      </c>
      <c r="K88" s="198" t="s">
        <v>237</v>
      </c>
      <c r="L88" s="198" t="s">
        <v>237</v>
      </c>
      <c r="M88" s="198" t="s">
        <v>237</v>
      </c>
      <c r="N88" s="198" t="s">
        <v>237</v>
      </c>
      <c r="O88" s="198" t="s">
        <v>237</v>
      </c>
      <c r="P88" s="198" t="s">
        <v>237</v>
      </c>
      <c r="Q88" s="198" t="s">
        <v>237</v>
      </c>
      <c r="R88" s="198" t="s">
        <v>237</v>
      </c>
      <c r="S88" s="198" t="s">
        <v>237</v>
      </c>
      <c r="T88" s="198" t="s">
        <v>237</v>
      </c>
      <c r="U88" s="198" t="s">
        <v>237</v>
      </c>
      <c r="V88" s="198" t="s">
        <v>237</v>
      </c>
      <c r="W88" s="198" t="s">
        <v>237</v>
      </c>
      <c r="X88" s="198" t="s">
        <v>237</v>
      </c>
      <c r="Y88" s="198" t="s">
        <v>237</v>
      </c>
      <c r="Z88" s="198" t="s">
        <v>237</v>
      </c>
      <c r="AA88" s="198" t="s">
        <v>237</v>
      </c>
      <c r="AB88" s="198" t="s">
        <v>237</v>
      </c>
      <c r="AC88" s="198" t="s">
        <v>237</v>
      </c>
      <c r="AD88" s="198" t="s">
        <v>237</v>
      </c>
      <c r="AE88" s="198" t="s">
        <v>237</v>
      </c>
      <c r="AF88" s="198" t="s">
        <v>237</v>
      </c>
      <c r="AG88" s="198" t="s">
        <v>237</v>
      </c>
      <c r="AH88" s="46" t="s">
        <v>237</v>
      </c>
    </row>
    <row r="89" spans="2:34" hidden="1" outlineLevel="1">
      <c r="B89" s="87">
        <v>0</v>
      </c>
      <c r="C89" s="133">
        <v>0</v>
      </c>
      <c r="D89" s="51" t="s">
        <v>237</v>
      </c>
      <c r="E89" s="131" t="s">
        <v>237</v>
      </c>
      <c r="F89" s="131" t="s">
        <v>237</v>
      </c>
      <c r="G89" s="131" t="s">
        <v>237</v>
      </c>
      <c r="H89" s="131" t="s">
        <v>237</v>
      </c>
      <c r="I89" s="131" t="s">
        <v>237</v>
      </c>
      <c r="J89" s="131" t="s">
        <v>237</v>
      </c>
      <c r="K89" s="131" t="s">
        <v>237</v>
      </c>
      <c r="L89" s="131" t="s">
        <v>237</v>
      </c>
      <c r="M89" s="131" t="s">
        <v>237</v>
      </c>
      <c r="N89" s="131" t="s">
        <v>237</v>
      </c>
      <c r="O89" s="131" t="s">
        <v>237</v>
      </c>
      <c r="P89" s="131" t="s">
        <v>237</v>
      </c>
      <c r="Q89" s="131" t="s">
        <v>237</v>
      </c>
      <c r="R89" s="131" t="s">
        <v>237</v>
      </c>
      <c r="S89" s="131" t="s">
        <v>237</v>
      </c>
      <c r="T89" s="131" t="s">
        <v>237</v>
      </c>
      <c r="U89" s="131" t="s">
        <v>237</v>
      </c>
      <c r="V89" s="131" t="s">
        <v>237</v>
      </c>
      <c r="W89" s="131" t="s">
        <v>237</v>
      </c>
      <c r="X89" s="131" t="s">
        <v>237</v>
      </c>
      <c r="Y89" s="131" t="s">
        <v>237</v>
      </c>
      <c r="Z89" s="131" t="s">
        <v>237</v>
      </c>
      <c r="AA89" s="131" t="s">
        <v>237</v>
      </c>
      <c r="AB89" s="131" t="s">
        <v>237</v>
      </c>
      <c r="AC89" s="131" t="s">
        <v>237</v>
      </c>
      <c r="AD89" s="131" t="s">
        <v>237</v>
      </c>
      <c r="AE89" s="131" t="s">
        <v>237</v>
      </c>
      <c r="AF89" s="131" t="s">
        <v>237</v>
      </c>
      <c r="AG89" s="131" t="s">
        <v>237</v>
      </c>
      <c r="AH89" s="47" t="s">
        <v>237</v>
      </c>
    </row>
    <row r="90" spans="2:34" hidden="1" outlineLevel="1">
      <c r="B90" s="196">
        <v>0</v>
      </c>
      <c r="C90" s="197">
        <v>0</v>
      </c>
      <c r="D90" s="50" t="s">
        <v>237</v>
      </c>
      <c r="E90" s="198" t="s">
        <v>237</v>
      </c>
      <c r="F90" s="198" t="s">
        <v>237</v>
      </c>
      <c r="G90" s="198" t="s">
        <v>237</v>
      </c>
      <c r="H90" s="198" t="s">
        <v>237</v>
      </c>
      <c r="I90" s="198" t="s">
        <v>237</v>
      </c>
      <c r="J90" s="198" t="s">
        <v>237</v>
      </c>
      <c r="K90" s="198" t="s">
        <v>237</v>
      </c>
      <c r="L90" s="198" t="s">
        <v>237</v>
      </c>
      <c r="M90" s="198" t="s">
        <v>237</v>
      </c>
      <c r="N90" s="198" t="s">
        <v>237</v>
      </c>
      <c r="O90" s="198" t="s">
        <v>237</v>
      </c>
      <c r="P90" s="198" t="s">
        <v>237</v>
      </c>
      <c r="Q90" s="198" t="s">
        <v>237</v>
      </c>
      <c r="R90" s="198" t="s">
        <v>237</v>
      </c>
      <c r="S90" s="198" t="s">
        <v>237</v>
      </c>
      <c r="T90" s="198" t="s">
        <v>237</v>
      </c>
      <c r="U90" s="198" t="s">
        <v>237</v>
      </c>
      <c r="V90" s="198" t="s">
        <v>237</v>
      </c>
      <c r="W90" s="198" t="s">
        <v>237</v>
      </c>
      <c r="X90" s="198" t="s">
        <v>237</v>
      </c>
      <c r="Y90" s="198" t="s">
        <v>237</v>
      </c>
      <c r="Z90" s="198" t="s">
        <v>237</v>
      </c>
      <c r="AA90" s="198" t="s">
        <v>237</v>
      </c>
      <c r="AB90" s="198" t="s">
        <v>237</v>
      </c>
      <c r="AC90" s="198" t="s">
        <v>237</v>
      </c>
      <c r="AD90" s="198" t="s">
        <v>237</v>
      </c>
      <c r="AE90" s="198" t="s">
        <v>237</v>
      </c>
      <c r="AF90" s="198" t="s">
        <v>237</v>
      </c>
      <c r="AG90" s="198" t="s">
        <v>237</v>
      </c>
      <c r="AH90" s="46" t="s">
        <v>237</v>
      </c>
    </row>
    <row r="91" spans="2:34" hidden="1" outlineLevel="1">
      <c r="B91" s="87">
        <v>0</v>
      </c>
      <c r="C91" s="133">
        <v>0</v>
      </c>
      <c r="D91" s="51" t="s">
        <v>237</v>
      </c>
      <c r="E91" s="131" t="s">
        <v>237</v>
      </c>
      <c r="F91" s="131" t="s">
        <v>237</v>
      </c>
      <c r="G91" s="131" t="s">
        <v>237</v>
      </c>
      <c r="H91" s="131" t="s">
        <v>237</v>
      </c>
      <c r="I91" s="131" t="s">
        <v>237</v>
      </c>
      <c r="J91" s="131" t="s">
        <v>237</v>
      </c>
      <c r="K91" s="131" t="s">
        <v>237</v>
      </c>
      <c r="L91" s="131" t="s">
        <v>237</v>
      </c>
      <c r="M91" s="131" t="s">
        <v>237</v>
      </c>
      <c r="N91" s="131" t="s">
        <v>237</v>
      </c>
      <c r="O91" s="131" t="s">
        <v>237</v>
      </c>
      <c r="P91" s="131" t="s">
        <v>237</v>
      </c>
      <c r="Q91" s="131" t="s">
        <v>237</v>
      </c>
      <c r="R91" s="131" t="s">
        <v>237</v>
      </c>
      <c r="S91" s="131" t="s">
        <v>237</v>
      </c>
      <c r="T91" s="131" t="s">
        <v>237</v>
      </c>
      <c r="U91" s="131" t="s">
        <v>237</v>
      </c>
      <c r="V91" s="131" t="s">
        <v>237</v>
      </c>
      <c r="W91" s="131" t="s">
        <v>237</v>
      </c>
      <c r="X91" s="131" t="s">
        <v>237</v>
      </c>
      <c r="Y91" s="131" t="s">
        <v>237</v>
      </c>
      <c r="Z91" s="131" t="s">
        <v>237</v>
      </c>
      <c r="AA91" s="131" t="s">
        <v>237</v>
      </c>
      <c r="AB91" s="131" t="s">
        <v>237</v>
      </c>
      <c r="AC91" s="131" t="s">
        <v>237</v>
      </c>
      <c r="AD91" s="131" t="s">
        <v>237</v>
      </c>
      <c r="AE91" s="131" t="s">
        <v>237</v>
      </c>
      <c r="AF91" s="131" t="s">
        <v>237</v>
      </c>
      <c r="AG91" s="131" t="s">
        <v>237</v>
      </c>
      <c r="AH91" s="47" t="s">
        <v>237</v>
      </c>
    </row>
    <row r="92" spans="2:34" hidden="1" outlineLevel="1">
      <c r="B92" s="196">
        <v>0</v>
      </c>
      <c r="C92" s="197">
        <v>0</v>
      </c>
      <c r="D92" s="50" t="s">
        <v>237</v>
      </c>
      <c r="E92" s="198" t="s">
        <v>237</v>
      </c>
      <c r="F92" s="198" t="s">
        <v>237</v>
      </c>
      <c r="G92" s="198" t="s">
        <v>237</v>
      </c>
      <c r="H92" s="198" t="s">
        <v>237</v>
      </c>
      <c r="I92" s="198" t="s">
        <v>237</v>
      </c>
      <c r="J92" s="198" t="s">
        <v>237</v>
      </c>
      <c r="K92" s="198" t="s">
        <v>237</v>
      </c>
      <c r="L92" s="198" t="s">
        <v>237</v>
      </c>
      <c r="M92" s="198" t="s">
        <v>237</v>
      </c>
      <c r="N92" s="198" t="s">
        <v>237</v>
      </c>
      <c r="O92" s="198" t="s">
        <v>237</v>
      </c>
      <c r="P92" s="198" t="s">
        <v>237</v>
      </c>
      <c r="Q92" s="198" t="s">
        <v>237</v>
      </c>
      <c r="R92" s="198" t="s">
        <v>237</v>
      </c>
      <c r="S92" s="198" t="s">
        <v>237</v>
      </c>
      <c r="T92" s="198" t="s">
        <v>237</v>
      </c>
      <c r="U92" s="198" t="s">
        <v>237</v>
      </c>
      <c r="V92" s="198" t="s">
        <v>237</v>
      </c>
      <c r="W92" s="198" t="s">
        <v>237</v>
      </c>
      <c r="X92" s="198" t="s">
        <v>237</v>
      </c>
      <c r="Y92" s="198" t="s">
        <v>237</v>
      </c>
      <c r="Z92" s="198" t="s">
        <v>237</v>
      </c>
      <c r="AA92" s="198" t="s">
        <v>237</v>
      </c>
      <c r="AB92" s="198" t="s">
        <v>237</v>
      </c>
      <c r="AC92" s="198" t="s">
        <v>237</v>
      </c>
      <c r="AD92" s="198" t="s">
        <v>237</v>
      </c>
      <c r="AE92" s="198" t="s">
        <v>237</v>
      </c>
      <c r="AF92" s="198" t="s">
        <v>237</v>
      </c>
      <c r="AG92" s="198" t="s">
        <v>237</v>
      </c>
      <c r="AH92" s="46" t="s">
        <v>237</v>
      </c>
    </row>
    <row r="93" spans="2:34" hidden="1" outlineLevel="1">
      <c r="B93" s="87">
        <v>0</v>
      </c>
      <c r="C93" s="133">
        <v>0</v>
      </c>
      <c r="D93" s="51" t="s">
        <v>237</v>
      </c>
      <c r="E93" s="131" t="s">
        <v>237</v>
      </c>
      <c r="F93" s="131" t="s">
        <v>237</v>
      </c>
      <c r="G93" s="131" t="s">
        <v>237</v>
      </c>
      <c r="H93" s="131" t="s">
        <v>237</v>
      </c>
      <c r="I93" s="131" t="s">
        <v>237</v>
      </c>
      <c r="J93" s="131" t="s">
        <v>237</v>
      </c>
      <c r="K93" s="131" t="s">
        <v>237</v>
      </c>
      <c r="L93" s="131" t="s">
        <v>237</v>
      </c>
      <c r="M93" s="131" t="s">
        <v>237</v>
      </c>
      <c r="N93" s="131" t="s">
        <v>237</v>
      </c>
      <c r="O93" s="131" t="s">
        <v>237</v>
      </c>
      <c r="P93" s="131" t="s">
        <v>237</v>
      </c>
      <c r="Q93" s="131" t="s">
        <v>237</v>
      </c>
      <c r="R93" s="131" t="s">
        <v>237</v>
      </c>
      <c r="S93" s="131" t="s">
        <v>237</v>
      </c>
      <c r="T93" s="131" t="s">
        <v>237</v>
      </c>
      <c r="U93" s="131" t="s">
        <v>237</v>
      </c>
      <c r="V93" s="131" t="s">
        <v>237</v>
      </c>
      <c r="W93" s="131" t="s">
        <v>237</v>
      </c>
      <c r="X93" s="131" t="s">
        <v>237</v>
      </c>
      <c r="Y93" s="131" t="s">
        <v>237</v>
      </c>
      <c r="Z93" s="131" t="s">
        <v>237</v>
      </c>
      <c r="AA93" s="131" t="s">
        <v>237</v>
      </c>
      <c r="AB93" s="131" t="s">
        <v>237</v>
      </c>
      <c r="AC93" s="131" t="s">
        <v>237</v>
      </c>
      <c r="AD93" s="131" t="s">
        <v>237</v>
      </c>
      <c r="AE93" s="131" t="s">
        <v>237</v>
      </c>
      <c r="AF93" s="131" t="s">
        <v>237</v>
      </c>
      <c r="AG93" s="131" t="s">
        <v>237</v>
      </c>
      <c r="AH93" s="47" t="s">
        <v>237</v>
      </c>
    </row>
    <row r="94" spans="2:34" hidden="1" outlineLevel="1">
      <c r="B94" s="196">
        <v>0</v>
      </c>
      <c r="C94" s="197">
        <v>0</v>
      </c>
      <c r="D94" s="50" t="s">
        <v>237</v>
      </c>
      <c r="E94" s="198" t="s">
        <v>237</v>
      </c>
      <c r="F94" s="198" t="s">
        <v>237</v>
      </c>
      <c r="G94" s="198" t="s">
        <v>237</v>
      </c>
      <c r="H94" s="198" t="s">
        <v>237</v>
      </c>
      <c r="I94" s="198" t="s">
        <v>237</v>
      </c>
      <c r="J94" s="198" t="s">
        <v>237</v>
      </c>
      <c r="K94" s="198" t="s">
        <v>237</v>
      </c>
      <c r="L94" s="198" t="s">
        <v>237</v>
      </c>
      <c r="M94" s="198" t="s">
        <v>237</v>
      </c>
      <c r="N94" s="198" t="s">
        <v>237</v>
      </c>
      <c r="O94" s="198" t="s">
        <v>237</v>
      </c>
      <c r="P94" s="198" t="s">
        <v>237</v>
      </c>
      <c r="Q94" s="198" t="s">
        <v>237</v>
      </c>
      <c r="R94" s="198" t="s">
        <v>237</v>
      </c>
      <c r="S94" s="198" t="s">
        <v>237</v>
      </c>
      <c r="T94" s="198" t="s">
        <v>237</v>
      </c>
      <c r="U94" s="198" t="s">
        <v>237</v>
      </c>
      <c r="V94" s="198" t="s">
        <v>237</v>
      </c>
      <c r="W94" s="198" t="s">
        <v>237</v>
      </c>
      <c r="X94" s="198" t="s">
        <v>237</v>
      </c>
      <c r="Y94" s="198" t="s">
        <v>237</v>
      </c>
      <c r="Z94" s="198" t="s">
        <v>237</v>
      </c>
      <c r="AA94" s="198" t="s">
        <v>237</v>
      </c>
      <c r="AB94" s="198" t="s">
        <v>237</v>
      </c>
      <c r="AC94" s="198" t="s">
        <v>237</v>
      </c>
      <c r="AD94" s="198" t="s">
        <v>237</v>
      </c>
      <c r="AE94" s="198" t="s">
        <v>237</v>
      </c>
      <c r="AF94" s="198" t="s">
        <v>237</v>
      </c>
      <c r="AG94" s="198" t="s">
        <v>237</v>
      </c>
      <c r="AH94" s="46" t="s">
        <v>237</v>
      </c>
    </row>
    <row r="95" spans="2:34" hidden="1" outlineLevel="1">
      <c r="B95" s="87">
        <v>0</v>
      </c>
      <c r="C95" s="133">
        <v>0</v>
      </c>
      <c r="D95" s="51" t="s">
        <v>237</v>
      </c>
      <c r="E95" s="131" t="s">
        <v>237</v>
      </c>
      <c r="F95" s="131" t="s">
        <v>237</v>
      </c>
      <c r="G95" s="131" t="s">
        <v>237</v>
      </c>
      <c r="H95" s="131" t="s">
        <v>237</v>
      </c>
      <c r="I95" s="131" t="s">
        <v>237</v>
      </c>
      <c r="J95" s="131" t="s">
        <v>237</v>
      </c>
      <c r="K95" s="131" t="s">
        <v>237</v>
      </c>
      <c r="L95" s="131" t="s">
        <v>237</v>
      </c>
      <c r="M95" s="131" t="s">
        <v>237</v>
      </c>
      <c r="N95" s="131" t="s">
        <v>237</v>
      </c>
      <c r="O95" s="131" t="s">
        <v>237</v>
      </c>
      <c r="P95" s="131" t="s">
        <v>237</v>
      </c>
      <c r="Q95" s="131" t="s">
        <v>237</v>
      </c>
      <c r="R95" s="131" t="s">
        <v>237</v>
      </c>
      <c r="S95" s="131" t="s">
        <v>237</v>
      </c>
      <c r="T95" s="131" t="s">
        <v>237</v>
      </c>
      <c r="U95" s="131" t="s">
        <v>237</v>
      </c>
      <c r="V95" s="131" t="s">
        <v>237</v>
      </c>
      <c r="W95" s="131" t="s">
        <v>237</v>
      </c>
      <c r="X95" s="131" t="s">
        <v>237</v>
      </c>
      <c r="Y95" s="131" t="s">
        <v>237</v>
      </c>
      <c r="Z95" s="131" t="s">
        <v>237</v>
      </c>
      <c r="AA95" s="131" t="s">
        <v>237</v>
      </c>
      <c r="AB95" s="131" t="s">
        <v>237</v>
      </c>
      <c r="AC95" s="131" t="s">
        <v>237</v>
      </c>
      <c r="AD95" s="131" t="s">
        <v>237</v>
      </c>
      <c r="AE95" s="131" t="s">
        <v>237</v>
      </c>
      <c r="AF95" s="131" t="s">
        <v>237</v>
      </c>
      <c r="AG95" s="131" t="s">
        <v>237</v>
      </c>
      <c r="AH95" s="47" t="s">
        <v>237</v>
      </c>
    </row>
    <row r="96" spans="2:34" hidden="1" outlineLevel="1">
      <c r="B96" s="196">
        <v>0</v>
      </c>
      <c r="C96" s="197">
        <v>0</v>
      </c>
      <c r="D96" s="50" t="s">
        <v>237</v>
      </c>
      <c r="E96" s="198" t="s">
        <v>237</v>
      </c>
      <c r="F96" s="198" t="s">
        <v>237</v>
      </c>
      <c r="G96" s="198" t="s">
        <v>237</v>
      </c>
      <c r="H96" s="198" t="s">
        <v>237</v>
      </c>
      <c r="I96" s="198" t="s">
        <v>237</v>
      </c>
      <c r="J96" s="198" t="s">
        <v>237</v>
      </c>
      <c r="K96" s="198" t="s">
        <v>237</v>
      </c>
      <c r="L96" s="198" t="s">
        <v>237</v>
      </c>
      <c r="M96" s="198" t="s">
        <v>237</v>
      </c>
      <c r="N96" s="198" t="s">
        <v>237</v>
      </c>
      <c r="O96" s="198" t="s">
        <v>237</v>
      </c>
      <c r="P96" s="198" t="s">
        <v>237</v>
      </c>
      <c r="Q96" s="198" t="s">
        <v>237</v>
      </c>
      <c r="R96" s="198" t="s">
        <v>237</v>
      </c>
      <c r="S96" s="198" t="s">
        <v>237</v>
      </c>
      <c r="T96" s="198" t="s">
        <v>237</v>
      </c>
      <c r="U96" s="198" t="s">
        <v>237</v>
      </c>
      <c r="V96" s="198" t="s">
        <v>237</v>
      </c>
      <c r="W96" s="198" t="s">
        <v>237</v>
      </c>
      <c r="X96" s="198" t="s">
        <v>237</v>
      </c>
      <c r="Y96" s="198" t="s">
        <v>237</v>
      </c>
      <c r="Z96" s="198" t="s">
        <v>237</v>
      </c>
      <c r="AA96" s="198" t="s">
        <v>237</v>
      </c>
      <c r="AB96" s="198" t="s">
        <v>237</v>
      </c>
      <c r="AC96" s="198" t="s">
        <v>237</v>
      </c>
      <c r="AD96" s="198" t="s">
        <v>237</v>
      </c>
      <c r="AE96" s="198" t="s">
        <v>237</v>
      </c>
      <c r="AF96" s="198" t="s">
        <v>237</v>
      </c>
      <c r="AG96" s="198" t="s">
        <v>237</v>
      </c>
      <c r="AH96" s="46" t="s">
        <v>237</v>
      </c>
    </row>
    <row r="97" spans="2:34" hidden="1" outlineLevel="1">
      <c r="B97" s="87">
        <v>0</v>
      </c>
      <c r="C97" s="133">
        <v>0</v>
      </c>
      <c r="D97" s="51" t="s">
        <v>237</v>
      </c>
      <c r="E97" s="131" t="s">
        <v>237</v>
      </c>
      <c r="F97" s="131" t="s">
        <v>237</v>
      </c>
      <c r="G97" s="131" t="s">
        <v>237</v>
      </c>
      <c r="H97" s="131" t="s">
        <v>237</v>
      </c>
      <c r="I97" s="131" t="s">
        <v>237</v>
      </c>
      <c r="J97" s="131" t="s">
        <v>237</v>
      </c>
      <c r="K97" s="131" t="s">
        <v>237</v>
      </c>
      <c r="L97" s="131" t="s">
        <v>237</v>
      </c>
      <c r="M97" s="131" t="s">
        <v>237</v>
      </c>
      <c r="N97" s="131" t="s">
        <v>237</v>
      </c>
      <c r="O97" s="131" t="s">
        <v>237</v>
      </c>
      <c r="P97" s="131" t="s">
        <v>237</v>
      </c>
      <c r="Q97" s="131" t="s">
        <v>237</v>
      </c>
      <c r="R97" s="131" t="s">
        <v>237</v>
      </c>
      <c r="S97" s="131" t="s">
        <v>237</v>
      </c>
      <c r="T97" s="131" t="s">
        <v>237</v>
      </c>
      <c r="U97" s="131" t="s">
        <v>237</v>
      </c>
      <c r="V97" s="131" t="s">
        <v>237</v>
      </c>
      <c r="W97" s="131" t="s">
        <v>237</v>
      </c>
      <c r="X97" s="131" t="s">
        <v>237</v>
      </c>
      <c r="Y97" s="131" t="s">
        <v>237</v>
      </c>
      <c r="Z97" s="131" t="s">
        <v>237</v>
      </c>
      <c r="AA97" s="131" t="s">
        <v>237</v>
      </c>
      <c r="AB97" s="131" t="s">
        <v>237</v>
      </c>
      <c r="AC97" s="131" t="s">
        <v>237</v>
      </c>
      <c r="AD97" s="131" t="s">
        <v>237</v>
      </c>
      <c r="AE97" s="131" t="s">
        <v>237</v>
      </c>
      <c r="AF97" s="131" t="s">
        <v>237</v>
      </c>
      <c r="AG97" s="131" t="s">
        <v>237</v>
      </c>
      <c r="AH97" s="47" t="s">
        <v>237</v>
      </c>
    </row>
    <row r="98" spans="2:34" hidden="1" outlineLevel="1">
      <c r="B98" s="196">
        <v>0</v>
      </c>
      <c r="C98" s="197">
        <v>0</v>
      </c>
      <c r="D98" s="50" t="s">
        <v>237</v>
      </c>
      <c r="E98" s="198" t="s">
        <v>237</v>
      </c>
      <c r="F98" s="198" t="s">
        <v>237</v>
      </c>
      <c r="G98" s="198" t="s">
        <v>237</v>
      </c>
      <c r="H98" s="198" t="s">
        <v>237</v>
      </c>
      <c r="I98" s="198" t="s">
        <v>237</v>
      </c>
      <c r="J98" s="198" t="s">
        <v>237</v>
      </c>
      <c r="K98" s="198" t="s">
        <v>237</v>
      </c>
      <c r="L98" s="198" t="s">
        <v>237</v>
      </c>
      <c r="M98" s="198" t="s">
        <v>237</v>
      </c>
      <c r="N98" s="198" t="s">
        <v>237</v>
      </c>
      <c r="O98" s="198" t="s">
        <v>237</v>
      </c>
      <c r="P98" s="198" t="s">
        <v>237</v>
      </c>
      <c r="Q98" s="198" t="s">
        <v>237</v>
      </c>
      <c r="R98" s="198" t="s">
        <v>237</v>
      </c>
      <c r="S98" s="198" t="s">
        <v>237</v>
      </c>
      <c r="T98" s="198" t="s">
        <v>237</v>
      </c>
      <c r="U98" s="198" t="s">
        <v>237</v>
      </c>
      <c r="V98" s="198" t="s">
        <v>237</v>
      </c>
      <c r="W98" s="198" t="s">
        <v>237</v>
      </c>
      <c r="X98" s="198" t="s">
        <v>237</v>
      </c>
      <c r="Y98" s="198" t="s">
        <v>237</v>
      </c>
      <c r="Z98" s="198" t="s">
        <v>237</v>
      </c>
      <c r="AA98" s="198" t="s">
        <v>237</v>
      </c>
      <c r="AB98" s="198" t="s">
        <v>237</v>
      </c>
      <c r="AC98" s="198" t="s">
        <v>237</v>
      </c>
      <c r="AD98" s="198" t="s">
        <v>237</v>
      </c>
      <c r="AE98" s="198" t="s">
        <v>237</v>
      </c>
      <c r="AF98" s="198" t="s">
        <v>237</v>
      </c>
      <c r="AG98" s="198" t="s">
        <v>237</v>
      </c>
      <c r="AH98" s="46" t="s">
        <v>237</v>
      </c>
    </row>
    <row r="99" spans="2:34" hidden="1" outlineLevel="1">
      <c r="B99" s="87">
        <v>0</v>
      </c>
      <c r="C99" s="133">
        <v>0</v>
      </c>
      <c r="D99" s="51" t="s">
        <v>237</v>
      </c>
      <c r="E99" s="131" t="s">
        <v>237</v>
      </c>
      <c r="F99" s="131" t="s">
        <v>237</v>
      </c>
      <c r="G99" s="131" t="s">
        <v>237</v>
      </c>
      <c r="H99" s="131" t="s">
        <v>237</v>
      </c>
      <c r="I99" s="131" t="s">
        <v>237</v>
      </c>
      <c r="J99" s="131" t="s">
        <v>237</v>
      </c>
      <c r="K99" s="131" t="s">
        <v>237</v>
      </c>
      <c r="L99" s="131" t="s">
        <v>237</v>
      </c>
      <c r="M99" s="131" t="s">
        <v>237</v>
      </c>
      <c r="N99" s="131" t="s">
        <v>237</v>
      </c>
      <c r="O99" s="131" t="s">
        <v>237</v>
      </c>
      <c r="P99" s="131" t="s">
        <v>237</v>
      </c>
      <c r="Q99" s="131" t="s">
        <v>237</v>
      </c>
      <c r="R99" s="131" t="s">
        <v>237</v>
      </c>
      <c r="S99" s="131" t="s">
        <v>237</v>
      </c>
      <c r="T99" s="131" t="s">
        <v>237</v>
      </c>
      <c r="U99" s="131" t="s">
        <v>237</v>
      </c>
      <c r="V99" s="131" t="s">
        <v>237</v>
      </c>
      <c r="W99" s="131" t="s">
        <v>237</v>
      </c>
      <c r="X99" s="131" t="s">
        <v>237</v>
      </c>
      <c r="Y99" s="131" t="s">
        <v>237</v>
      </c>
      <c r="Z99" s="131" t="s">
        <v>237</v>
      </c>
      <c r="AA99" s="131" t="s">
        <v>237</v>
      </c>
      <c r="AB99" s="131" t="s">
        <v>237</v>
      </c>
      <c r="AC99" s="131" t="s">
        <v>237</v>
      </c>
      <c r="AD99" s="131" t="s">
        <v>237</v>
      </c>
      <c r="AE99" s="131" t="s">
        <v>237</v>
      </c>
      <c r="AF99" s="131" t="s">
        <v>237</v>
      </c>
      <c r="AG99" s="131" t="s">
        <v>237</v>
      </c>
      <c r="AH99" s="47" t="s">
        <v>237</v>
      </c>
    </row>
    <row r="100" spans="2:34" hidden="1" outlineLevel="1">
      <c r="B100" s="196">
        <v>0</v>
      </c>
      <c r="C100" s="197">
        <v>0</v>
      </c>
      <c r="D100" s="50" t="s">
        <v>237</v>
      </c>
      <c r="E100" s="198" t="s">
        <v>237</v>
      </c>
      <c r="F100" s="198" t="s">
        <v>237</v>
      </c>
      <c r="G100" s="198" t="s">
        <v>237</v>
      </c>
      <c r="H100" s="198" t="s">
        <v>237</v>
      </c>
      <c r="I100" s="198" t="s">
        <v>237</v>
      </c>
      <c r="J100" s="198" t="s">
        <v>237</v>
      </c>
      <c r="K100" s="198" t="s">
        <v>237</v>
      </c>
      <c r="L100" s="198" t="s">
        <v>237</v>
      </c>
      <c r="M100" s="198" t="s">
        <v>237</v>
      </c>
      <c r="N100" s="198" t="s">
        <v>237</v>
      </c>
      <c r="O100" s="198" t="s">
        <v>237</v>
      </c>
      <c r="P100" s="198" t="s">
        <v>237</v>
      </c>
      <c r="Q100" s="198" t="s">
        <v>237</v>
      </c>
      <c r="R100" s="198" t="s">
        <v>237</v>
      </c>
      <c r="S100" s="198" t="s">
        <v>237</v>
      </c>
      <c r="T100" s="198" t="s">
        <v>237</v>
      </c>
      <c r="U100" s="198" t="s">
        <v>237</v>
      </c>
      <c r="V100" s="198" t="s">
        <v>237</v>
      </c>
      <c r="W100" s="198" t="s">
        <v>237</v>
      </c>
      <c r="X100" s="198" t="s">
        <v>237</v>
      </c>
      <c r="Y100" s="198" t="s">
        <v>237</v>
      </c>
      <c r="Z100" s="198" t="s">
        <v>237</v>
      </c>
      <c r="AA100" s="198" t="s">
        <v>237</v>
      </c>
      <c r="AB100" s="198" t="s">
        <v>237</v>
      </c>
      <c r="AC100" s="198" t="s">
        <v>237</v>
      </c>
      <c r="AD100" s="198" t="s">
        <v>237</v>
      </c>
      <c r="AE100" s="198" t="s">
        <v>237</v>
      </c>
      <c r="AF100" s="198" t="s">
        <v>237</v>
      </c>
      <c r="AG100" s="198" t="s">
        <v>237</v>
      </c>
      <c r="AH100" s="46" t="s">
        <v>237</v>
      </c>
    </row>
    <row r="101" spans="2:34" hidden="1" outlineLevel="1">
      <c r="B101" s="87">
        <v>0</v>
      </c>
      <c r="C101" s="133">
        <v>0</v>
      </c>
      <c r="D101" s="51" t="s">
        <v>237</v>
      </c>
      <c r="E101" s="131" t="s">
        <v>237</v>
      </c>
      <c r="F101" s="131" t="s">
        <v>237</v>
      </c>
      <c r="G101" s="131" t="s">
        <v>237</v>
      </c>
      <c r="H101" s="131" t="s">
        <v>237</v>
      </c>
      <c r="I101" s="131" t="s">
        <v>237</v>
      </c>
      <c r="J101" s="131" t="s">
        <v>237</v>
      </c>
      <c r="K101" s="131" t="s">
        <v>237</v>
      </c>
      <c r="L101" s="131" t="s">
        <v>237</v>
      </c>
      <c r="M101" s="131" t="s">
        <v>237</v>
      </c>
      <c r="N101" s="131" t="s">
        <v>237</v>
      </c>
      <c r="O101" s="131" t="s">
        <v>237</v>
      </c>
      <c r="P101" s="131" t="s">
        <v>237</v>
      </c>
      <c r="Q101" s="131" t="s">
        <v>237</v>
      </c>
      <c r="R101" s="131" t="s">
        <v>237</v>
      </c>
      <c r="S101" s="131" t="s">
        <v>237</v>
      </c>
      <c r="T101" s="131" t="s">
        <v>237</v>
      </c>
      <c r="U101" s="131" t="s">
        <v>237</v>
      </c>
      <c r="V101" s="131" t="s">
        <v>237</v>
      </c>
      <c r="W101" s="131" t="s">
        <v>237</v>
      </c>
      <c r="X101" s="131" t="s">
        <v>237</v>
      </c>
      <c r="Y101" s="131" t="s">
        <v>237</v>
      </c>
      <c r="Z101" s="131" t="s">
        <v>237</v>
      </c>
      <c r="AA101" s="131" t="s">
        <v>237</v>
      </c>
      <c r="AB101" s="131" t="s">
        <v>237</v>
      </c>
      <c r="AC101" s="131" t="s">
        <v>237</v>
      </c>
      <c r="AD101" s="131" t="s">
        <v>237</v>
      </c>
      <c r="AE101" s="131" t="s">
        <v>237</v>
      </c>
      <c r="AF101" s="131" t="s">
        <v>237</v>
      </c>
      <c r="AG101" s="131" t="s">
        <v>237</v>
      </c>
      <c r="AH101" s="47" t="s">
        <v>237</v>
      </c>
    </row>
    <row r="102" spans="2:34" hidden="1" outlineLevel="1">
      <c r="B102" s="196">
        <v>0</v>
      </c>
      <c r="C102" s="197">
        <v>0</v>
      </c>
      <c r="D102" s="50" t="s">
        <v>237</v>
      </c>
      <c r="E102" s="198" t="s">
        <v>237</v>
      </c>
      <c r="F102" s="198" t="s">
        <v>237</v>
      </c>
      <c r="G102" s="198" t="s">
        <v>237</v>
      </c>
      <c r="H102" s="198" t="s">
        <v>237</v>
      </c>
      <c r="I102" s="198" t="s">
        <v>237</v>
      </c>
      <c r="J102" s="198" t="s">
        <v>237</v>
      </c>
      <c r="K102" s="198" t="s">
        <v>237</v>
      </c>
      <c r="L102" s="198" t="s">
        <v>237</v>
      </c>
      <c r="M102" s="198" t="s">
        <v>237</v>
      </c>
      <c r="N102" s="198" t="s">
        <v>237</v>
      </c>
      <c r="O102" s="198" t="s">
        <v>237</v>
      </c>
      <c r="P102" s="198" t="s">
        <v>237</v>
      </c>
      <c r="Q102" s="198" t="s">
        <v>237</v>
      </c>
      <c r="R102" s="198" t="s">
        <v>237</v>
      </c>
      <c r="S102" s="198" t="s">
        <v>237</v>
      </c>
      <c r="T102" s="198" t="s">
        <v>237</v>
      </c>
      <c r="U102" s="198" t="s">
        <v>237</v>
      </c>
      <c r="V102" s="198" t="s">
        <v>237</v>
      </c>
      <c r="W102" s="198" t="s">
        <v>237</v>
      </c>
      <c r="X102" s="198" t="s">
        <v>237</v>
      </c>
      <c r="Y102" s="198" t="s">
        <v>237</v>
      </c>
      <c r="Z102" s="198" t="s">
        <v>237</v>
      </c>
      <c r="AA102" s="198" t="s">
        <v>237</v>
      </c>
      <c r="AB102" s="198" t="s">
        <v>237</v>
      </c>
      <c r="AC102" s="198" t="s">
        <v>237</v>
      </c>
      <c r="AD102" s="198" t="s">
        <v>237</v>
      </c>
      <c r="AE102" s="198" t="s">
        <v>237</v>
      </c>
      <c r="AF102" s="198" t="s">
        <v>237</v>
      </c>
      <c r="AG102" s="198" t="s">
        <v>237</v>
      </c>
      <c r="AH102" s="46" t="s">
        <v>237</v>
      </c>
    </row>
    <row r="103" spans="2:34" hidden="1" outlineLevel="1">
      <c r="B103" s="87">
        <v>0</v>
      </c>
      <c r="C103" s="133">
        <v>0</v>
      </c>
      <c r="D103" s="51" t="s">
        <v>237</v>
      </c>
      <c r="E103" s="131" t="s">
        <v>237</v>
      </c>
      <c r="F103" s="131" t="s">
        <v>237</v>
      </c>
      <c r="G103" s="131" t="s">
        <v>237</v>
      </c>
      <c r="H103" s="131" t="s">
        <v>237</v>
      </c>
      <c r="I103" s="131" t="s">
        <v>237</v>
      </c>
      <c r="J103" s="131" t="s">
        <v>237</v>
      </c>
      <c r="K103" s="131" t="s">
        <v>237</v>
      </c>
      <c r="L103" s="131" t="s">
        <v>237</v>
      </c>
      <c r="M103" s="131" t="s">
        <v>237</v>
      </c>
      <c r="N103" s="131" t="s">
        <v>237</v>
      </c>
      <c r="O103" s="131" t="s">
        <v>237</v>
      </c>
      <c r="P103" s="131" t="s">
        <v>237</v>
      </c>
      <c r="Q103" s="131" t="s">
        <v>237</v>
      </c>
      <c r="R103" s="131" t="s">
        <v>237</v>
      </c>
      <c r="S103" s="131" t="s">
        <v>237</v>
      </c>
      <c r="T103" s="131" t="s">
        <v>237</v>
      </c>
      <c r="U103" s="131" t="s">
        <v>237</v>
      </c>
      <c r="V103" s="131" t="s">
        <v>237</v>
      </c>
      <c r="W103" s="131" t="s">
        <v>237</v>
      </c>
      <c r="X103" s="131" t="s">
        <v>237</v>
      </c>
      <c r="Y103" s="131" t="s">
        <v>237</v>
      </c>
      <c r="Z103" s="131" t="s">
        <v>237</v>
      </c>
      <c r="AA103" s="131" t="s">
        <v>237</v>
      </c>
      <c r="AB103" s="131" t="s">
        <v>237</v>
      </c>
      <c r="AC103" s="131" t="s">
        <v>237</v>
      </c>
      <c r="AD103" s="131" t="s">
        <v>237</v>
      </c>
      <c r="AE103" s="131" t="s">
        <v>237</v>
      </c>
      <c r="AF103" s="131" t="s">
        <v>237</v>
      </c>
      <c r="AG103" s="131" t="s">
        <v>237</v>
      </c>
      <c r="AH103" s="47" t="s">
        <v>237</v>
      </c>
    </row>
    <row r="104" spans="2:34" hidden="1" outlineLevel="1">
      <c r="B104" s="196">
        <v>0</v>
      </c>
      <c r="C104" s="197">
        <v>0</v>
      </c>
      <c r="D104" s="50" t="s">
        <v>237</v>
      </c>
      <c r="E104" s="198" t="s">
        <v>237</v>
      </c>
      <c r="F104" s="198" t="s">
        <v>237</v>
      </c>
      <c r="G104" s="198" t="s">
        <v>237</v>
      </c>
      <c r="H104" s="198" t="s">
        <v>237</v>
      </c>
      <c r="I104" s="198" t="s">
        <v>237</v>
      </c>
      <c r="J104" s="198" t="s">
        <v>237</v>
      </c>
      <c r="K104" s="198" t="s">
        <v>237</v>
      </c>
      <c r="L104" s="198" t="s">
        <v>237</v>
      </c>
      <c r="M104" s="198" t="s">
        <v>237</v>
      </c>
      <c r="N104" s="198" t="s">
        <v>237</v>
      </c>
      <c r="O104" s="198" t="s">
        <v>237</v>
      </c>
      <c r="P104" s="198" t="s">
        <v>237</v>
      </c>
      <c r="Q104" s="198" t="s">
        <v>237</v>
      </c>
      <c r="R104" s="198" t="s">
        <v>237</v>
      </c>
      <c r="S104" s="198" t="s">
        <v>237</v>
      </c>
      <c r="T104" s="198" t="s">
        <v>237</v>
      </c>
      <c r="U104" s="198" t="s">
        <v>237</v>
      </c>
      <c r="V104" s="198" t="s">
        <v>237</v>
      </c>
      <c r="W104" s="198" t="s">
        <v>237</v>
      </c>
      <c r="X104" s="198" t="s">
        <v>237</v>
      </c>
      <c r="Y104" s="198" t="s">
        <v>237</v>
      </c>
      <c r="Z104" s="198" t="s">
        <v>237</v>
      </c>
      <c r="AA104" s="198" t="s">
        <v>237</v>
      </c>
      <c r="AB104" s="198" t="s">
        <v>237</v>
      </c>
      <c r="AC104" s="198" t="s">
        <v>237</v>
      </c>
      <c r="AD104" s="198" t="s">
        <v>237</v>
      </c>
      <c r="AE104" s="198" t="s">
        <v>237</v>
      </c>
      <c r="AF104" s="198" t="s">
        <v>237</v>
      </c>
      <c r="AG104" s="198" t="s">
        <v>237</v>
      </c>
      <c r="AH104" s="46" t="s">
        <v>237</v>
      </c>
    </row>
    <row r="105" spans="2:34" hidden="1" outlineLevel="1">
      <c r="B105" s="87">
        <v>0</v>
      </c>
      <c r="C105" s="133">
        <v>0</v>
      </c>
      <c r="D105" s="51" t="s">
        <v>237</v>
      </c>
      <c r="E105" s="131" t="s">
        <v>237</v>
      </c>
      <c r="F105" s="131" t="s">
        <v>237</v>
      </c>
      <c r="G105" s="131" t="s">
        <v>237</v>
      </c>
      <c r="H105" s="131" t="s">
        <v>237</v>
      </c>
      <c r="I105" s="131" t="s">
        <v>237</v>
      </c>
      <c r="J105" s="131" t="s">
        <v>237</v>
      </c>
      <c r="K105" s="131" t="s">
        <v>237</v>
      </c>
      <c r="L105" s="131" t="s">
        <v>237</v>
      </c>
      <c r="M105" s="131" t="s">
        <v>237</v>
      </c>
      <c r="N105" s="131" t="s">
        <v>237</v>
      </c>
      <c r="O105" s="131" t="s">
        <v>237</v>
      </c>
      <c r="P105" s="131" t="s">
        <v>237</v>
      </c>
      <c r="Q105" s="131" t="s">
        <v>237</v>
      </c>
      <c r="R105" s="131" t="s">
        <v>237</v>
      </c>
      <c r="S105" s="131" t="s">
        <v>237</v>
      </c>
      <c r="T105" s="131" t="s">
        <v>237</v>
      </c>
      <c r="U105" s="131" t="s">
        <v>237</v>
      </c>
      <c r="V105" s="131" t="s">
        <v>237</v>
      </c>
      <c r="W105" s="131" t="s">
        <v>237</v>
      </c>
      <c r="X105" s="131" t="s">
        <v>237</v>
      </c>
      <c r="Y105" s="131" t="s">
        <v>237</v>
      </c>
      <c r="Z105" s="131" t="s">
        <v>237</v>
      </c>
      <c r="AA105" s="131" t="s">
        <v>237</v>
      </c>
      <c r="AB105" s="131" t="s">
        <v>237</v>
      </c>
      <c r="AC105" s="131" t="s">
        <v>237</v>
      </c>
      <c r="AD105" s="131" t="s">
        <v>237</v>
      </c>
      <c r="AE105" s="131" t="s">
        <v>237</v>
      </c>
      <c r="AF105" s="131" t="s">
        <v>237</v>
      </c>
      <c r="AG105" s="131" t="s">
        <v>237</v>
      </c>
      <c r="AH105" s="47" t="s">
        <v>237</v>
      </c>
    </row>
    <row r="106" spans="2:34" hidden="1" outlineLevel="1">
      <c r="B106" s="196">
        <v>0</v>
      </c>
      <c r="C106" s="197">
        <v>0</v>
      </c>
      <c r="D106" s="50" t="s">
        <v>237</v>
      </c>
      <c r="E106" s="198" t="s">
        <v>237</v>
      </c>
      <c r="F106" s="198" t="s">
        <v>237</v>
      </c>
      <c r="G106" s="198" t="s">
        <v>237</v>
      </c>
      <c r="H106" s="198" t="s">
        <v>237</v>
      </c>
      <c r="I106" s="198" t="s">
        <v>237</v>
      </c>
      <c r="J106" s="198" t="s">
        <v>237</v>
      </c>
      <c r="K106" s="198" t="s">
        <v>237</v>
      </c>
      <c r="L106" s="198" t="s">
        <v>237</v>
      </c>
      <c r="M106" s="198" t="s">
        <v>237</v>
      </c>
      <c r="N106" s="198" t="s">
        <v>237</v>
      </c>
      <c r="O106" s="198" t="s">
        <v>237</v>
      </c>
      <c r="P106" s="198" t="s">
        <v>237</v>
      </c>
      <c r="Q106" s="198" t="s">
        <v>237</v>
      </c>
      <c r="R106" s="198" t="s">
        <v>237</v>
      </c>
      <c r="S106" s="198" t="s">
        <v>237</v>
      </c>
      <c r="T106" s="198" t="s">
        <v>237</v>
      </c>
      <c r="U106" s="198" t="s">
        <v>237</v>
      </c>
      <c r="V106" s="198" t="s">
        <v>237</v>
      </c>
      <c r="W106" s="198" t="s">
        <v>237</v>
      </c>
      <c r="X106" s="198" t="s">
        <v>237</v>
      </c>
      <c r="Y106" s="198" t="s">
        <v>237</v>
      </c>
      <c r="Z106" s="198" t="s">
        <v>237</v>
      </c>
      <c r="AA106" s="198" t="s">
        <v>237</v>
      </c>
      <c r="AB106" s="198" t="s">
        <v>237</v>
      </c>
      <c r="AC106" s="198" t="s">
        <v>237</v>
      </c>
      <c r="AD106" s="198" t="s">
        <v>237</v>
      </c>
      <c r="AE106" s="198" t="s">
        <v>237</v>
      </c>
      <c r="AF106" s="198" t="s">
        <v>237</v>
      </c>
      <c r="AG106" s="198" t="s">
        <v>237</v>
      </c>
      <c r="AH106" s="46" t="s">
        <v>237</v>
      </c>
    </row>
    <row r="107" spans="2:34" collapsed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E376-79B8-4235-A56D-692FDBE9EC7C}">
  <dimension ref="A2:AH107"/>
  <sheetViews>
    <sheetView workbookViewId="0"/>
  </sheetViews>
  <sheetFormatPr defaultColWidth="9" defaultRowHeight="14.4" outlineLevelRow="1"/>
  <cols>
    <col min="1" max="1" width="9" style="3"/>
    <col min="2" max="2" width="9" style="6"/>
    <col min="3" max="3" width="9" style="3"/>
    <col min="4" max="34" width="6.59765625" style="3" customWidth="1"/>
    <col min="35" max="16384" width="9" style="3"/>
  </cols>
  <sheetData>
    <row r="2" spans="2:34">
      <c r="B2" s="236" t="s">
        <v>416</v>
      </c>
    </row>
    <row r="4" spans="2:34" ht="43.2">
      <c r="B4" s="424" t="s">
        <v>124</v>
      </c>
      <c r="C4" s="424" t="s">
        <v>14</v>
      </c>
      <c r="D4" s="426">
        <v>1994</v>
      </c>
      <c r="E4" s="426">
        <v>1995</v>
      </c>
      <c r="F4" s="426">
        <v>1996</v>
      </c>
      <c r="G4" s="426">
        <v>1997</v>
      </c>
      <c r="H4" s="426">
        <v>1998</v>
      </c>
      <c r="I4" s="426">
        <v>1999</v>
      </c>
      <c r="J4" s="426">
        <v>2000</v>
      </c>
      <c r="K4" s="426">
        <v>2001</v>
      </c>
      <c r="L4" s="426">
        <v>2002</v>
      </c>
      <c r="M4" s="426">
        <v>2003</v>
      </c>
      <c r="N4" s="426">
        <v>2004</v>
      </c>
      <c r="O4" s="426">
        <v>2005</v>
      </c>
      <c r="P4" s="426">
        <v>2006</v>
      </c>
      <c r="Q4" s="426">
        <v>2007</v>
      </c>
      <c r="R4" s="426">
        <v>2008</v>
      </c>
      <c r="S4" s="426">
        <v>2009</v>
      </c>
      <c r="T4" s="426">
        <v>2010</v>
      </c>
      <c r="U4" s="426">
        <v>2011</v>
      </c>
      <c r="V4" s="426">
        <v>2012</v>
      </c>
      <c r="W4" s="426">
        <v>2013</v>
      </c>
      <c r="X4" s="426">
        <v>2014</v>
      </c>
      <c r="Y4" s="426">
        <v>2015</v>
      </c>
      <c r="Z4" s="426">
        <v>2016</v>
      </c>
      <c r="AA4" s="426">
        <v>2017</v>
      </c>
      <c r="AB4" s="426">
        <v>2018</v>
      </c>
      <c r="AC4" s="426">
        <v>2019</v>
      </c>
      <c r="AD4" s="426">
        <v>2020</v>
      </c>
      <c r="AE4" s="426">
        <v>2021</v>
      </c>
      <c r="AF4" s="426">
        <v>2022</v>
      </c>
      <c r="AG4" s="426">
        <v>2023</v>
      </c>
      <c r="AH4" s="426">
        <v>2024</v>
      </c>
    </row>
    <row r="5" spans="2:34">
      <c r="B5" s="427" t="s">
        <v>251</v>
      </c>
      <c r="C5" s="477">
        <v>0.79358467713729619</v>
      </c>
      <c r="D5" s="263" t="s">
        <v>237</v>
      </c>
      <c r="E5" s="263" t="s">
        <v>237</v>
      </c>
      <c r="F5" s="263" t="s">
        <v>237</v>
      </c>
      <c r="G5" s="263" t="s">
        <v>237</v>
      </c>
      <c r="H5" s="263">
        <v>0.9559223130166028</v>
      </c>
      <c r="I5" s="263" t="s">
        <v>237</v>
      </c>
      <c r="J5" s="263" t="s">
        <v>237</v>
      </c>
      <c r="K5" s="263" t="s">
        <v>237</v>
      </c>
      <c r="L5" s="263" t="s">
        <v>237</v>
      </c>
      <c r="M5" s="263" t="s">
        <v>237</v>
      </c>
      <c r="N5" s="263" t="s">
        <v>237</v>
      </c>
      <c r="O5" s="263" t="s">
        <v>237</v>
      </c>
      <c r="P5" s="263" t="s">
        <v>237</v>
      </c>
      <c r="Q5" s="263" t="s">
        <v>237</v>
      </c>
      <c r="R5" s="263" t="s">
        <v>237</v>
      </c>
      <c r="S5" s="263" t="s">
        <v>237</v>
      </c>
      <c r="T5" s="263">
        <v>0.93971723701673904</v>
      </c>
      <c r="U5" s="263" t="s">
        <v>237</v>
      </c>
      <c r="V5" s="263">
        <v>0.95850156881342419</v>
      </c>
      <c r="W5" s="263">
        <v>0.43406454667542682</v>
      </c>
      <c r="X5" s="263">
        <v>0.85133131200280965</v>
      </c>
      <c r="Y5" s="263">
        <v>0.58300732860311122</v>
      </c>
      <c r="Z5" s="263">
        <v>0.77304519654668935</v>
      </c>
      <c r="AA5" s="263">
        <v>0.80303189075868775</v>
      </c>
      <c r="AB5" s="263" t="s">
        <v>237</v>
      </c>
      <c r="AC5" s="263" t="s">
        <v>237</v>
      </c>
      <c r="AD5" s="263" t="s">
        <v>237</v>
      </c>
      <c r="AE5" s="263" t="s">
        <v>237</v>
      </c>
      <c r="AF5" s="263" t="s">
        <v>237</v>
      </c>
      <c r="AG5" s="263" t="s">
        <v>237</v>
      </c>
      <c r="AH5" s="263" t="s">
        <v>237</v>
      </c>
    </row>
    <row r="6" spans="2:34">
      <c r="B6" s="429" t="s">
        <v>252</v>
      </c>
      <c r="C6" s="478">
        <v>0.61755172688155413</v>
      </c>
      <c r="D6" s="260" t="s">
        <v>237</v>
      </c>
      <c r="E6" s="260" t="s">
        <v>237</v>
      </c>
      <c r="F6" s="260" t="s">
        <v>237</v>
      </c>
      <c r="G6" s="260" t="s">
        <v>237</v>
      </c>
      <c r="H6" s="260" t="s">
        <v>237</v>
      </c>
      <c r="I6" s="260" t="s">
        <v>237</v>
      </c>
      <c r="J6" s="260" t="s">
        <v>237</v>
      </c>
      <c r="K6" s="260" t="s">
        <v>237</v>
      </c>
      <c r="L6" s="260" t="s">
        <v>237</v>
      </c>
      <c r="M6" s="260" t="s">
        <v>237</v>
      </c>
      <c r="N6" s="260" t="s">
        <v>237</v>
      </c>
      <c r="O6" s="260" t="s">
        <v>237</v>
      </c>
      <c r="P6" s="260" t="s">
        <v>237</v>
      </c>
      <c r="Q6" s="260" t="s">
        <v>237</v>
      </c>
      <c r="R6" s="260" t="s">
        <v>237</v>
      </c>
      <c r="S6" s="260" t="s">
        <v>237</v>
      </c>
      <c r="T6" s="260">
        <v>0.53626108890840563</v>
      </c>
      <c r="U6" s="260">
        <v>0.78025562773913038</v>
      </c>
      <c r="V6" s="260" t="s">
        <v>237</v>
      </c>
      <c r="W6" s="260">
        <v>0</v>
      </c>
      <c r="X6" s="260" t="s">
        <v>237</v>
      </c>
      <c r="Y6" s="260">
        <v>0.81226037799384276</v>
      </c>
      <c r="Z6" s="260">
        <v>0.1113619238396482</v>
      </c>
      <c r="AA6" s="260" t="s">
        <v>237</v>
      </c>
      <c r="AB6" s="260" t="s">
        <v>237</v>
      </c>
      <c r="AC6" s="260">
        <v>0.6861413500054957</v>
      </c>
      <c r="AD6" s="260">
        <v>0.93272018368148268</v>
      </c>
      <c r="AE6" s="260" t="s">
        <v>237</v>
      </c>
      <c r="AF6" s="260" t="s">
        <v>237</v>
      </c>
      <c r="AG6" s="260">
        <v>1</v>
      </c>
      <c r="AH6" s="260" t="s">
        <v>237</v>
      </c>
    </row>
    <row r="7" spans="2:34">
      <c r="B7" s="427" t="s">
        <v>253</v>
      </c>
      <c r="C7" s="477">
        <v>0.75259162918931422</v>
      </c>
      <c r="D7" s="263" t="s">
        <v>237</v>
      </c>
      <c r="E7" s="263">
        <v>0.97385853133172118</v>
      </c>
      <c r="F7" s="263" t="s">
        <v>237</v>
      </c>
      <c r="G7" s="263">
        <v>0.47933775313761312</v>
      </c>
      <c r="H7" s="263">
        <v>1</v>
      </c>
      <c r="I7" s="263">
        <v>0.2106004103910761</v>
      </c>
      <c r="J7" s="263">
        <v>0.37536914882540801</v>
      </c>
      <c r="K7" s="263">
        <v>0.1017932594278899</v>
      </c>
      <c r="L7" s="263">
        <v>0.80378614734322706</v>
      </c>
      <c r="M7" s="263">
        <v>0.8776508803760491</v>
      </c>
      <c r="N7" s="263" t="s">
        <v>237</v>
      </c>
      <c r="O7" s="263">
        <v>0.96026297271034433</v>
      </c>
      <c r="P7" s="263" t="s">
        <v>237</v>
      </c>
      <c r="Q7" s="263" t="s">
        <v>237</v>
      </c>
      <c r="R7" s="263">
        <v>0.8904333532936789</v>
      </c>
      <c r="S7" s="263" t="s">
        <v>237</v>
      </c>
      <c r="T7" s="263" t="s">
        <v>237</v>
      </c>
      <c r="U7" s="263" t="s">
        <v>237</v>
      </c>
      <c r="V7" s="263" t="s">
        <v>237</v>
      </c>
      <c r="W7" s="263">
        <v>0.9089631663646256</v>
      </c>
      <c r="X7" s="263" t="s">
        <v>237</v>
      </c>
      <c r="Y7" s="263" t="s">
        <v>237</v>
      </c>
      <c r="Z7" s="263" t="s">
        <v>237</v>
      </c>
      <c r="AA7" s="263" t="s">
        <v>237</v>
      </c>
      <c r="AB7" s="263">
        <v>0</v>
      </c>
      <c r="AC7" s="263">
        <v>0.97754446650318416</v>
      </c>
      <c r="AD7" s="263">
        <v>0.97213682837546733</v>
      </c>
      <c r="AE7" s="263" t="s">
        <v>237</v>
      </c>
      <c r="AF7" s="263" t="s">
        <v>237</v>
      </c>
      <c r="AG7" s="263" t="s">
        <v>237</v>
      </c>
      <c r="AH7" s="263">
        <v>0.98467422291463969</v>
      </c>
    </row>
    <row r="8" spans="2:34">
      <c r="B8" s="429" t="s">
        <v>254</v>
      </c>
      <c r="C8" s="478">
        <v>0.56062522650776991</v>
      </c>
      <c r="D8" s="260" t="s">
        <v>237</v>
      </c>
      <c r="E8" s="260" t="s">
        <v>237</v>
      </c>
      <c r="F8" s="260" t="s">
        <v>237</v>
      </c>
      <c r="G8" s="260" t="s">
        <v>237</v>
      </c>
      <c r="H8" s="260" t="s">
        <v>237</v>
      </c>
      <c r="I8" s="260" t="s">
        <v>237</v>
      </c>
      <c r="J8" s="260" t="s">
        <v>237</v>
      </c>
      <c r="K8" s="260" t="s">
        <v>237</v>
      </c>
      <c r="L8" s="260" t="s">
        <v>237</v>
      </c>
      <c r="M8" s="260" t="s">
        <v>237</v>
      </c>
      <c r="N8" s="260" t="s">
        <v>237</v>
      </c>
      <c r="O8" s="260" t="s">
        <v>237</v>
      </c>
      <c r="P8" s="260" t="s">
        <v>237</v>
      </c>
      <c r="Q8" s="260" t="s">
        <v>237</v>
      </c>
      <c r="R8" s="260" t="s">
        <v>237</v>
      </c>
      <c r="S8" s="260" t="s">
        <v>237</v>
      </c>
      <c r="T8" s="260">
        <v>3.7830514310139521E-2</v>
      </c>
      <c r="U8" s="260" t="s">
        <v>237</v>
      </c>
      <c r="V8" s="260">
        <v>0.60425485639841836</v>
      </c>
      <c r="W8" s="260">
        <v>0.41543890385500631</v>
      </c>
      <c r="X8" s="260" t="s">
        <v>237</v>
      </c>
      <c r="Y8" s="260" t="s">
        <v>237</v>
      </c>
      <c r="Z8" s="260">
        <v>0.82059488716759521</v>
      </c>
      <c r="AA8" s="260">
        <v>0.68250434914132985</v>
      </c>
      <c r="AB8" s="260">
        <v>0.7341172471572226</v>
      </c>
      <c r="AC8" s="260" t="s">
        <v>237</v>
      </c>
      <c r="AD8" s="260">
        <v>0.79388895644812663</v>
      </c>
      <c r="AE8" s="260" t="s">
        <v>237</v>
      </c>
      <c r="AF8" s="260" t="s">
        <v>237</v>
      </c>
      <c r="AG8" s="260" t="s">
        <v>237</v>
      </c>
      <c r="AH8" s="260" t="s">
        <v>237</v>
      </c>
    </row>
    <row r="9" spans="2:34">
      <c r="B9" s="427" t="s">
        <v>255</v>
      </c>
      <c r="C9" s="477">
        <v>0.65570182671189758</v>
      </c>
      <c r="D9" s="263" t="s">
        <v>237</v>
      </c>
      <c r="E9" s="263" t="s">
        <v>237</v>
      </c>
      <c r="F9" s="263" t="s">
        <v>237</v>
      </c>
      <c r="G9" s="263" t="s">
        <v>237</v>
      </c>
      <c r="H9" s="263" t="s">
        <v>237</v>
      </c>
      <c r="I9" s="263" t="s">
        <v>237</v>
      </c>
      <c r="J9" s="263">
        <v>0.41642811333073321</v>
      </c>
      <c r="K9" s="263">
        <v>0.79356221726462062</v>
      </c>
      <c r="L9" s="263" t="s">
        <v>237</v>
      </c>
      <c r="M9" s="263" t="s">
        <v>237</v>
      </c>
      <c r="N9" s="263" t="s">
        <v>237</v>
      </c>
      <c r="O9" s="263" t="s">
        <v>237</v>
      </c>
      <c r="P9" s="263" t="s">
        <v>237</v>
      </c>
      <c r="Q9" s="263" t="s">
        <v>237</v>
      </c>
      <c r="R9" s="263" t="s">
        <v>237</v>
      </c>
      <c r="S9" s="263" t="s">
        <v>237</v>
      </c>
      <c r="T9" s="263">
        <v>0.94059822984450459</v>
      </c>
      <c r="U9" s="263" t="s">
        <v>237</v>
      </c>
      <c r="V9" s="263">
        <v>1</v>
      </c>
      <c r="W9" s="263" t="s">
        <v>237</v>
      </c>
      <c r="X9" s="263">
        <v>0.41970651645426349</v>
      </c>
      <c r="Y9" s="263" t="s">
        <v>237</v>
      </c>
      <c r="Z9" s="263" t="s">
        <v>237</v>
      </c>
      <c r="AA9" s="263" t="s">
        <v>237</v>
      </c>
      <c r="AB9" s="263" t="s">
        <v>237</v>
      </c>
      <c r="AC9" s="263" t="s">
        <v>237</v>
      </c>
      <c r="AD9" s="263" t="s">
        <v>237</v>
      </c>
      <c r="AE9" s="263" t="s">
        <v>237</v>
      </c>
      <c r="AF9" s="263" t="s">
        <v>237</v>
      </c>
      <c r="AG9" s="263" t="s">
        <v>237</v>
      </c>
      <c r="AH9" s="263" t="s">
        <v>237</v>
      </c>
    </row>
    <row r="10" spans="2:34">
      <c r="B10" s="429" t="s">
        <v>257</v>
      </c>
      <c r="C10" s="478">
        <v>0.81663756278412658</v>
      </c>
      <c r="D10" s="260" t="s">
        <v>237</v>
      </c>
      <c r="E10" s="260" t="s">
        <v>237</v>
      </c>
      <c r="F10" s="260" t="s">
        <v>237</v>
      </c>
      <c r="G10" s="260" t="s">
        <v>237</v>
      </c>
      <c r="H10" s="260" t="s">
        <v>237</v>
      </c>
      <c r="I10" s="260" t="s">
        <v>237</v>
      </c>
      <c r="J10" s="260">
        <v>0.95241905084144729</v>
      </c>
      <c r="K10" s="260" t="s">
        <v>237</v>
      </c>
      <c r="L10" s="260" t="s">
        <v>237</v>
      </c>
      <c r="M10" s="260" t="s">
        <v>237</v>
      </c>
      <c r="N10" s="260">
        <v>0.50455456845806501</v>
      </c>
      <c r="O10" s="260">
        <v>0.60885117006874201</v>
      </c>
      <c r="P10" s="260">
        <v>0.62661209906661808</v>
      </c>
      <c r="Q10" s="260">
        <v>1</v>
      </c>
      <c r="R10" s="260">
        <v>0.96953209514033234</v>
      </c>
      <c r="S10" s="260">
        <v>1</v>
      </c>
      <c r="T10" s="260" t="s">
        <v>237</v>
      </c>
      <c r="U10" s="260">
        <v>1</v>
      </c>
      <c r="V10" s="260">
        <v>0.97742270994991931</v>
      </c>
      <c r="W10" s="260">
        <v>0.9088023102127335</v>
      </c>
      <c r="X10" s="260" t="s">
        <v>237</v>
      </c>
      <c r="Y10" s="260" t="s">
        <v>237</v>
      </c>
      <c r="Z10" s="260" t="s">
        <v>237</v>
      </c>
      <c r="AA10" s="260">
        <v>0.31301163653247338</v>
      </c>
      <c r="AB10" s="260" t="s">
        <v>237</v>
      </c>
      <c r="AC10" s="260" t="s">
        <v>237</v>
      </c>
      <c r="AD10" s="260" t="s">
        <v>237</v>
      </c>
      <c r="AE10" s="260" t="s">
        <v>237</v>
      </c>
      <c r="AF10" s="260" t="s">
        <v>237</v>
      </c>
      <c r="AG10" s="260" t="s">
        <v>237</v>
      </c>
      <c r="AH10" s="260">
        <v>1</v>
      </c>
    </row>
    <row r="11" spans="2:34">
      <c r="B11" s="427" t="s">
        <v>258</v>
      </c>
      <c r="C11" s="477">
        <v>0.8435368378068685</v>
      </c>
      <c r="D11" s="263" t="s">
        <v>237</v>
      </c>
      <c r="E11" s="263" t="s">
        <v>237</v>
      </c>
      <c r="F11" s="263" t="s">
        <v>237</v>
      </c>
      <c r="G11" s="263" t="s">
        <v>237</v>
      </c>
      <c r="H11" s="263">
        <v>0.31323821812122588</v>
      </c>
      <c r="I11" s="263">
        <v>0.76389699110011899</v>
      </c>
      <c r="J11" s="263">
        <v>0.80371995985154077</v>
      </c>
      <c r="K11" s="263" t="s">
        <v>237</v>
      </c>
      <c r="L11" s="263" t="s">
        <v>237</v>
      </c>
      <c r="M11" s="263">
        <v>0.86711802264048332</v>
      </c>
      <c r="N11" s="263" t="s">
        <v>237</v>
      </c>
      <c r="O11" s="263" t="s">
        <v>237</v>
      </c>
      <c r="P11" s="263" t="s">
        <v>237</v>
      </c>
      <c r="Q11" s="263" t="s">
        <v>237</v>
      </c>
      <c r="R11" s="263">
        <v>0.84362137296787121</v>
      </c>
      <c r="S11" s="263" t="s">
        <v>237</v>
      </c>
      <c r="T11" s="263" t="s">
        <v>237</v>
      </c>
      <c r="U11" s="263">
        <v>0.94616935751761455</v>
      </c>
      <c r="V11" s="263">
        <v>0.80109094229240319</v>
      </c>
      <c r="W11" s="263">
        <v>0.81231204742795771</v>
      </c>
      <c r="X11" s="263">
        <v>0.86204970412289439</v>
      </c>
      <c r="Y11" s="263" t="s">
        <v>237</v>
      </c>
      <c r="Z11" s="263">
        <v>0.63576628623990894</v>
      </c>
      <c r="AA11" s="263">
        <v>1</v>
      </c>
      <c r="AB11" s="263" t="s">
        <v>237</v>
      </c>
      <c r="AC11" s="263" t="s">
        <v>237</v>
      </c>
      <c r="AD11" s="263">
        <v>1</v>
      </c>
      <c r="AE11" s="263" t="s">
        <v>237</v>
      </c>
      <c r="AF11" s="263" t="s">
        <v>237</v>
      </c>
      <c r="AG11" s="263" t="s">
        <v>237</v>
      </c>
      <c r="AH11" s="263" t="s">
        <v>237</v>
      </c>
    </row>
    <row r="12" spans="2:34">
      <c r="B12" s="429" t="s">
        <v>259</v>
      </c>
      <c r="C12" s="478">
        <v>0.67322005340553048</v>
      </c>
      <c r="D12" s="260" t="s">
        <v>237</v>
      </c>
      <c r="E12" s="260" t="s">
        <v>237</v>
      </c>
      <c r="F12" s="260" t="s">
        <v>237</v>
      </c>
      <c r="G12" s="260" t="s">
        <v>237</v>
      </c>
      <c r="H12" s="260" t="s">
        <v>237</v>
      </c>
      <c r="I12" s="260" t="s">
        <v>237</v>
      </c>
      <c r="J12" s="260">
        <v>0.82850703129385184</v>
      </c>
      <c r="K12" s="260">
        <v>0.63212413302687542</v>
      </c>
      <c r="L12" s="260" t="s">
        <v>237</v>
      </c>
      <c r="M12" s="260">
        <v>0.82589806385634423</v>
      </c>
      <c r="N12" s="260" t="s">
        <v>237</v>
      </c>
      <c r="O12" s="260" t="s">
        <v>237</v>
      </c>
      <c r="P12" s="260" t="s">
        <v>237</v>
      </c>
      <c r="Q12" s="260">
        <v>0.72951806245342787</v>
      </c>
      <c r="R12" s="260" t="s">
        <v>237</v>
      </c>
      <c r="S12" s="260" t="s">
        <v>237</v>
      </c>
      <c r="T12" s="260">
        <v>2.3348152152456499E-2</v>
      </c>
      <c r="U12" s="260">
        <v>5.8682358388895241E-3</v>
      </c>
      <c r="V12" s="260">
        <v>0.91780141859917508</v>
      </c>
      <c r="W12" s="260" t="s">
        <v>237</v>
      </c>
      <c r="X12" s="260" t="s">
        <v>237</v>
      </c>
      <c r="Y12" s="260" t="s">
        <v>237</v>
      </c>
      <c r="Z12" s="260">
        <v>0.77304924020006072</v>
      </c>
      <c r="AA12" s="260" t="s">
        <v>237</v>
      </c>
      <c r="AB12" s="260" t="s">
        <v>237</v>
      </c>
      <c r="AC12" s="260" t="s">
        <v>237</v>
      </c>
      <c r="AD12" s="260" t="s">
        <v>237</v>
      </c>
      <c r="AE12" s="260" t="s">
        <v>237</v>
      </c>
      <c r="AF12" s="260" t="s">
        <v>237</v>
      </c>
      <c r="AG12" s="260" t="s">
        <v>237</v>
      </c>
      <c r="AH12" s="260">
        <v>0.9996990662203159</v>
      </c>
    </row>
    <row r="13" spans="2:34">
      <c r="B13" s="427" t="s">
        <v>261</v>
      </c>
      <c r="C13" s="477">
        <v>0.70549442813094043</v>
      </c>
      <c r="D13" s="263" t="s">
        <v>237</v>
      </c>
      <c r="E13" s="263" t="s">
        <v>237</v>
      </c>
      <c r="F13" s="263" t="s">
        <v>237</v>
      </c>
      <c r="G13" s="263">
        <v>0.34780740077959432</v>
      </c>
      <c r="H13" s="263" t="s">
        <v>237</v>
      </c>
      <c r="I13" s="263" t="s">
        <v>237</v>
      </c>
      <c r="J13" s="263">
        <v>0.15110838359028561</v>
      </c>
      <c r="K13" s="263" t="s">
        <v>237</v>
      </c>
      <c r="L13" s="263">
        <v>0.60106480663009298</v>
      </c>
      <c r="M13" s="263">
        <v>0.97996615680361987</v>
      </c>
      <c r="N13" s="263">
        <v>1</v>
      </c>
      <c r="O13" s="263">
        <v>1</v>
      </c>
      <c r="P13" s="263" t="s">
        <v>237</v>
      </c>
      <c r="Q13" s="263">
        <v>1</v>
      </c>
      <c r="R13" s="263" t="s">
        <v>237</v>
      </c>
      <c r="S13" s="263">
        <v>0.5</v>
      </c>
      <c r="T13" s="263" t="s">
        <v>237</v>
      </c>
      <c r="U13" s="263" t="s">
        <v>237</v>
      </c>
      <c r="V13" s="263">
        <v>0.93534134638696076</v>
      </c>
      <c r="W13" s="263">
        <v>0.80320426217939822</v>
      </c>
      <c r="X13" s="263">
        <v>0.1503490492989083</v>
      </c>
      <c r="Y13" s="263">
        <v>0.86816580591954451</v>
      </c>
      <c r="Z13" s="263">
        <v>0.62457559015127639</v>
      </c>
      <c r="AA13" s="263">
        <v>0.23300626077787731</v>
      </c>
      <c r="AB13" s="263" t="s">
        <v>237</v>
      </c>
      <c r="AC13" s="263" t="s">
        <v>237</v>
      </c>
      <c r="AD13" s="263">
        <v>0.99007855301683034</v>
      </c>
      <c r="AE13" s="263">
        <v>1</v>
      </c>
      <c r="AF13" s="263" t="s">
        <v>237</v>
      </c>
      <c r="AG13" s="263" t="s">
        <v>237</v>
      </c>
      <c r="AH13" s="263" t="s">
        <v>237</v>
      </c>
    </row>
    <row r="14" spans="2:34">
      <c r="B14" s="429" t="s">
        <v>265</v>
      </c>
      <c r="C14" s="478">
        <v>0.90651238907403009</v>
      </c>
      <c r="D14" s="260">
        <v>0.98282225967544956</v>
      </c>
      <c r="E14" s="260" t="s">
        <v>237</v>
      </c>
      <c r="F14" s="260" t="s">
        <v>237</v>
      </c>
      <c r="G14" s="260">
        <v>0.87926618049421057</v>
      </c>
      <c r="H14" s="260">
        <v>0.96692421398003525</v>
      </c>
      <c r="I14" s="260">
        <v>0.97972116688856858</v>
      </c>
      <c r="J14" s="260">
        <v>0.8441615667229373</v>
      </c>
      <c r="K14" s="260">
        <v>0.5931347481895819</v>
      </c>
      <c r="L14" s="260">
        <v>0.60180034311561803</v>
      </c>
      <c r="M14" s="260">
        <v>0.98409027242813707</v>
      </c>
      <c r="N14" s="260">
        <v>1</v>
      </c>
      <c r="O14" s="260" t="s">
        <v>237</v>
      </c>
      <c r="P14" s="260">
        <v>0.57386176464151106</v>
      </c>
      <c r="Q14" s="260">
        <v>0.97843639769865709</v>
      </c>
      <c r="R14" s="260">
        <v>0.99612609559758214</v>
      </c>
      <c r="S14" s="260" t="s">
        <v>237</v>
      </c>
      <c r="T14" s="260">
        <v>1</v>
      </c>
      <c r="U14" s="260">
        <v>1</v>
      </c>
      <c r="V14" s="260" t="s">
        <v>237</v>
      </c>
      <c r="W14" s="260">
        <v>1</v>
      </c>
      <c r="X14" s="260">
        <v>0.99520136911300394</v>
      </c>
      <c r="Y14" s="260">
        <v>0.99922906333417072</v>
      </c>
      <c r="Z14" s="260">
        <v>0.90433702404133398</v>
      </c>
      <c r="AA14" s="260" t="s">
        <v>237</v>
      </c>
      <c r="AB14" s="260" t="s">
        <v>237</v>
      </c>
      <c r="AC14" s="260">
        <v>0.88052685980656631</v>
      </c>
      <c r="AD14" s="260">
        <v>0.98578497861693226</v>
      </c>
      <c r="AE14" s="260" t="s">
        <v>237</v>
      </c>
      <c r="AF14" s="260">
        <v>0.99370282775368024</v>
      </c>
      <c r="AG14" s="260">
        <v>0.99604368994988002</v>
      </c>
      <c r="AH14" s="260" t="s">
        <v>237</v>
      </c>
    </row>
    <row r="15" spans="2:34">
      <c r="B15" s="427" t="s">
        <v>266</v>
      </c>
      <c r="C15" s="477">
        <v>0.44638474771326941</v>
      </c>
      <c r="D15" s="263" t="s">
        <v>237</v>
      </c>
      <c r="E15" s="263" t="s">
        <v>237</v>
      </c>
      <c r="F15" s="263" t="s">
        <v>237</v>
      </c>
      <c r="G15" s="263" t="s">
        <v>237</v>
      </c>
      <c r="H15" s="263" t="s">
        <v>237</v>
      </c>
      <c r="I15" s="263" t="s">
        <v>237</v>
      </c>
      <c r="J15" s="263" t="s">
        <v>237</v>
      </c>
      <c r="K15" s="263" t="s">
        <v>237</v>
      </c>
      <c r="L15" s="263" t="s">
        <v>237</v>
      </c>
      <c r="M15" s="263" t="s">
        <v>237</v>
      </c>
      <c r="N15" s="263" t="s">
        <v>237</v>
      </c>
      <c r="O15" s="263" t="s">
        <v>237</v>
      </c>
      <c r="P15" s="263" t="s">
        <v>237</v>
      </c>
      <c r="Q15" s="263" t="s">
        <v>237</v>
      </c>
      <c r="R15" s="263" t="s">
        <v>237</v>
      </c>
      <c r="S15" s="263" t="s">
        <v>237</v>
      </c>
      <c r="T15" s="263" t="s">
        <v>237</v>
      </c>
      <c r="U15" s="263" t="s">
        <v>237</v>
      </c>
      <c r="V15" s="263" t="s">
        <v>237</v>
      </c>
      <c r="W15" s="263" t="s">
        <v>237</v>
      </c>
      <c r="X15" s="263" t="s">
        <v>237</v>
      </c>
      <c r="Y15" s="263" t="s">
        <v>237</v>
      </c>
      <c r="Z15" s="263">
        <v>0.48785062041105548</v>
      </c>
      <c r="AA15" s="263">
        <v>0.30684117789522219</v>
      </c>
      <c r="AB15" s="263">
        <v>0.19967259100755921</v>
      </c>
      <c r="AC15" s="263">
        <v>0.88632321491856403</v>
      </c>
      <c r="AD15" s="263">
        <v>0.20051859526749091</v>
      </c>
      <c r="AE15" s="263" t="s">
        <v>237</v>
      </c>
      <c r="AF15" s="263" t="s">
        <v>237</v>
      </c>
      <c r="AG15" s="263" t="s">
        <v>237</v>
      </c>
      <c r="AH15" s="263" t="s">
        <v>237</v>
      </c>
    </row>
    <row r="16" spans="2:34">
      <c r="B16" s="429" t="s">
        <v>267</v>
      </c>
      <c r="C16" s="478">
        <v>0.68327130690670335</v>
      </c>
      <c r="D16" s="260" t="s">
        <v>237</v>
      </c>
      <c r="E16" s="260" t="s">
        <v>237</v>
      </c>
      <c r="F16" s="260">
        <v>1</v>
      </c>
      <c r="G16" s="260" t="s">
        <v>237</v>
      </c>
      <c r="H16" s="260" t="s">
        <v>237</v>
      </c>
      <c r="I16" s="260">
        <v>1</v>
      </c>
      <c r="J16" s="260" t="s">
        <v>237</v>
      </c>
      <c r="K16" s="260" t="s">
        <v>237</v>
      </c>
      <c r="L16" s="260" t="s">
        <v>237</v>
      </c>
      <c r="M16" s="260" t="s">
        <v>237</v>
      </c>
      <c r="N16" s="260">
        <v>1</v>
      </c>
      <c r="O16" s="260" t="s">
        <v>237</v>
      </c>
      <c r="P16" s="260">
        <v>1</v>
      </c>
      <c r="Q16" s="260">
        <v>1</v>
      </c>
      <c r="R16" s="260" t="s">
        <v>237</v>
      </c>
      <c r="S16" s="260" t="s">
        <v>237</v>
      </c>
      <c r="T16" s="260">
        <v>8.4487902833871545E-2</v>
      </c>
      <c r="U16" s="260" t="s">
        <v>237</v>
      </c>
      <c r="V16" s="260" t="s">
        <v>237</v>
      </c>
      <c r="W16" s="260" t="s">
        <v>237</v>
      </c>
      <c r="X16" s="260" t="s">
        <v>237</v>
      </c>
      <c r="Y16" s="260" t="s">
        <v>237</v>
      </c>
      <c r="Z16" s="260">
        <v>0.14383215771328831</v>
      </c>
      <c r="AA16" s="260" t="s">
        <v>237</v>
      </c>
      <c r="AB16" s="260" t="s">
        <v>237</v>
      </c>
      <c r="AC16" s="260" t="s">
        <v>237</v>
      </c>
      <c r="AD16" s="260" t="s">
        <v>237</v>
      </c>
      <c r="AE16" s="260" t="s">
        <v>237</v>
      </c>
      <c r="AF16" s="260" t="s">
        <v>237</v>
      </c>
      <c r="AG16" s="260" t="s">
        <v>237</v>
      </c>
      <c r="AH16" s="260" t="s">
        <v>237</v>
      </c>
    </row>
    <row r="17" spans="2:34">
      <c r="B17" s="427" t="s">
        <v>268</v>
      </c>
      <c r="C17" s="477">
        <v>0.67549926875649602</v>
      </c>
      <c r="D17" s="263" t="s">
        <v>237</v>
      </c>
      <c r="E17" s="263">
        <v>1.2268550333033011E-7</v>
      </c>
      <c r="F17" s="263">
        <v>0.38519777664575661</v>
      </c>
      <c r="G17" s="263" t="s">
        <v>237</v>
      </c>
      <c r="H17" s="263" t="s">
        <v>237</v>
      </c>
      <c r="I17" s="263" t="s">
        <v>237</v>
      </c>
      <c r="J17" s="263" t="s">
        <v>237</v>
      </c>
      <c r="K17" s="263" t="s">
        <v>237</v>
      </c>
      <c r="L17" s="263">
        <v>0.54198345465265485</v>
      </c>
      <c r="M17" s="263">
        <v>1</v>
      </c>
      <c r="N17" s="263" t="s">
        <v>237</v>
      </c>
      <c r="O17" s="263">
        <v>0.47927849031803132</v>
      </c>
      <c r="P17" s="263">
        <v>0.83647830018831704</v>
      </c>
      <c r="Q17" s="263">
        <v>1</v>
      </c>
      <c r="R17" s="263" t="s">
        <v>237</v>
      </c>
      <c r="S17" s="263">
        <v>0.61171842045351255</v>
      </c>
      <c r="T17" s="263">
        <v>1</v>
      </c>
      <c r="U17" s="263">
        <v>0.90875032921446663</v>
      </c>
      <c r="V17" s="263" t="s">
        <v>237</v>
      </c>
      <c r="W17" s="263">
        <v>0.85667700886798626</v>
      </c>
      <c r="X17" s="263">
        <v>0.69457276117428601</v>
      </c>
      <c r="Y17" s="263">
        <v>0.48051693947002327</v>
      </c>
      <c r="Z17" s="263">
        <v>0</v>
      </c>
      <c r="AA17" s="263" t="s">
        <v>237</v>
      </c>
      <c r="AB17" s="263">
        <v>0.91493351436277603</v>
      </c>
      <c r="AC17" s="263" t="s">
        <v>237</v>
      </c>
      <c r="AD17" s="263">
        <v>0.99127040871804684</v>
      </c>
      <c r="AE17" s="263" t="s">
        <v>237</v>
      </c>
      <c r="AF17" s="263" t="s">
        <v>237</v>
      </c>
      <c r="AG17" s="263" t="s">
        <v>237</v>
      </c>
      <c r="AH17" s="263" t="s">
        <v>237</v>
      </c>
    </row>
    <row r="18" spans="2:34">
      <c r="B18" s="429" t="s">
        <v>272</v>
      </c>
      <c r="C18" s="478">
        <v>0.79072640226924706</v>
      </c>
      <c r="D18" s="260" t="s">
        <v>237</v>
      </c>
      <c r="E18" s="260" t="s">
        <v>237</v>
      </c>
      <c r="F18" s="260" t="s">
        <v>237</v>
      </c>
      <c r="G18" s="260" t="s">
        <v>237</v>
      </c>
      <c r="H18" s="260" t="s">
        <v>237</v>
      </c>
      <c r="I18" s="260" t="s">
        <v>237</v>
      </c>
      <c r="J18" s="260" t="s">
        <v>237</v>
      </c>
      <c r="K18" s="260">
        <v>0.74105822960287338</v>
      </c>
      <c r="L18" s="260" t="s">
        <v>237</v>
      </c>
      <c r="M18" s="260">
        <v>1</v>
      </c>
      <c r="N18" s="260">
        <v>0.74639697089331825</v>
      </c>
      <c r="O18" s="260" t="s">
        <v>237</v>
      </c>
      <c r="P18" s="260">
        <v>1</v>
      </c>
      <c r="Q18" s="260" t="s">
        <v>237</v>
      </c>
      <c r="R18" s="260" t="s">
        <v>237</v>
      </c>
      <c r="S18" s="260" t="s">
        <v>237</v>
      </c>
      <c r="T18" s="260" t="s">
        <v>237</v>
      </c>
      <c r="U18" s="260" t="s">
        <v>237</v>
      </c>
      <c r="V18" s="260">
        <v>0</v>
      </c>
      <c r="W18" s="260" t="s">
        <v>237</v>
      </c>
      <c r="X18" s="260" t="s">
        <v>237</v>
      </c>
      <c r="Y18" s="260">
        <v>0.9383195621007695</v>
      </c>
      <c r="Z18" s="260" t="s">
        <v>237</v>
      </c>
      <c r="AA18" s="260">
        <v>0.99403405959931745</v>
      </c>
      <c r="AB18" s="260" t="s">
        <v>237</v>
      </c>
      <c r="AC18" s="260" t="s">
        <v>237</v>
      </c>
      <c r="AD18" s="260" t="s">
        <v>237</v>
      </c>
      <c r="AE18" s="260" t="s">
        <v>237</v>
      </c>
      <c r="AF18" s="260" t="s">
        <v>237</v>
      </c>
      <c r="AG18" s="260" t="s">
        <v>237</v>
      </c>
      <c r="AH18" s="260" t="s">
        <v>237</v>
      </c>
    </row>
    <row r="19" spans="2:34">
      <c r="B19" s="427" t="s">
        <v>274</v>
      </c>
      <c r="C19" s="477">
        <v>0.70883768322147644</v>
      </c>
      <c r="D19" s="263">
        <v>7.1516409243410448E-2</v>
      </c>
      <c r="E19" s="263" t="s">
        <v>237</v>
      </c>
      <c r="F19" s="263">
        <v>0.61909837938974088</v>
      </c>
      <c r="G19" s="263" t="s">
        <v>237</v>
      </c>
      <c r="H19" s="263" t="s">
        <v>237</v>
      </c>
      <c r="I19" s="263">
        <v>0.95318920234711213</v>
      </c>
      <c r="J19" s="263" t="s">
        <v>237</v>
      </c>
      <c r="K19" s="263">
        <v>1</v>
      </c>
      <c r="L19" s="263">
        <v>0.85156483459471899</v>
      </c>
      <c r="M19" s="263">
        <v>0.9962886510433131</v>
      </c>
      <c r="N19" s="263" t="s">
        <v>237</v>
      </c>
      <c r="O19" s="263">
        <v>0.47460985049197563</v>
      </c>
      <c r="P19" s="263" t="s">
        <v>237</v>
      </c>
      <c r="Q19" s="263" t="s">
        <v>237</v>
      </c>
      <c r="R19" s="263">
        <v>0.98398031739422909</v>
      </c>
      <c r="S19" s="263">
        <v>1</v>
      </c>
      <c r="T19" s="263">
        <v>0.44838756396626561</v>
      </c>
      <c r="U19" s="263">
        <v>0</v>
      </c>
      <c r="V19" s="263" t="s">
        <v>237</v>
      </c>
      <c r="W19" s="263" t="s">
        <v>237</v>
      </c>
      <c r="X19" s="263">
        <v>0.62418918621497788</v>
      </c>
      <c r="Y19" s="263">
        <v>0.70150841784834772</v>
      </c>
      <c r="Z19" s="263">
        <v>0.213551434858851</v>
      </c>
      <c r="AA19" s="263" t="s">
        <v>237</v>
      </c>
      <c r="AB19" s="263" t="s">
        <v>237</v>
      </c>
      <c r="AC19" s="263">
        <v>0.8765235586627943</v>
      </c>
      <c r="AD19" s="263">
        <v>0.81791662851708591</v>
      </c>
      <c r="AE19" s="263">
        <v>1</v>
      </c>
      <c r="AF19" s="263">
        <v>1</v>
      </c>
      <c r="AG19" s="263" t="s">
        <v>237</v>
      </c>
      <c r="AH19" s="263" t="s">
        <v>237</v>
      </c>
    </row>
    <row r="20" spans="2:34">
      <c r="B20" s="429" t="s">
        <v>276</v>
      </c>
      <c r="C20" s="478">
        <v>0.7933102331136509</v>
      </c>
      <c r="D20" s="260" t="s">
        <v>237</v>
      </c>
      <c r="E20" s="260" t="s">
        <v>237</v>
      </c>
      <c r="F20" s="260" t="s">
        <v>237</v>
      </c>
      <c r="G20" s="260" t="s">
        <v>237</v>
      </c>
      <c r="H20" s="260" t="s">
        <v>237</v>
      </c>
      <c r="I20" s="260" t="s">
        <v>237</v>
      </c>
      <c r="J20" s="260" t="s">
        <v>237</v>
      </c>
      <c r="K20" s="260">
        <v>0.94015212223352451</v>
      </c>
      <c r="L20" s="260" t="s">
        <v>237</v>
      </c>
      <c r="M20" s="260" t="s">
        <v>237</v>
      </c>
      <c r="N20" s="260" t="s">
        <v>237</v>
      </c>
      <c r="O20" s="260" t="s">
        <v>237</v>
      </c>
      <c r="P20" s="260" t="s">
        <v>237</v>
      </c>
      <c r="Q20" s="260" t="s">
        <v>237</v>
      </c>
      <c r="R20" s="260">
        <v>0.7890095423563418</v>
      </c>
      <c r="S20" s="260" t="s">
        <v>237</v>
      </c>
      <c r="T20" s="260">
        <v>0.7687285011296946</v>
      </c>
      <c r="U20" s="260">
        <v>0.84860712766456847</v>
      </c>
      <c r="V20" s="260" t="s">
        <v>237</v>
      </c>
      <c r="W20" s="260" t="s">
        <v>237</v>
      </c>
      <c r="X20" s="260" t="s">
        <v>237</v>
      </c>
      <c r="Y20" s="260">
        <v>1</v>
      </c>
      <c r="Z20" s="260" t="s">
        <v>237</v>
      </c>
      <c r="AA20" s="260">
        <v>0.60738908191415586</v>
      </c>
      <c r="AB20" s="260">
        <v>0.66511437472122015</v>
      </c>
      <c r="AC20" s="260" t="s">
        <v>237</v>
      </c>
      <c r="AD20" s="260">
        <v>0.9125908457038947</v>
      </c>
      <c r="AE20" s="260">
        <v>0.5304369283093151</v>
      </c>
      <c r="AF20" s="260" t="s">
        <v>237</v>
      </c>
      <c r="AG20" s="260" t="s">
        <v>237</v>
      </c>
      <c r="AH20" s="260" t="s">
        <v>237</v>
      </c>
    </row>
    <row r="21" spans="2:34">
      <c r="B21" s="427" t="s">
        <v>277</v>
      </c>
      <c r="C21" s="477">
        <v>0.80897697266906765</v>
      </c>
      <c r="D21" s="263">
        <v>0.91043597540324694</v>
      </c>
      <c r="E21" s="263">
        <v>1.9245025020243521E-2</v>
      </c>
      <c r="F21" s="263" t="s">
        <v>237</v>
      </c>
      <c r="G21" s="263" t="s">
        <v>237</v>
      </c>
      <c r="H21" s="263" t="s">
        <v>237</v>
      </c>
      <c r="I21" s="263" t="s">
        <v>237</v>
      </c>
      <c r="J21" s="263" t="s">
        <v>237</v>
      </c>
      <c r="K21" s="263" t="s">
        <v>237</v>
      </c>
      <c r="L21" s="263" t="s">
        <v>237</v>
      </c>
      <c r="M21" s="263">
        <v>0.95346823310633011</v>
      </c>
      <c r="N21" s="263" t="s">
        <v>237</v>
      </c>
      <c r="O21" s="263">
        <v>0.9897412243629099</v>
      </c>
      <c r="P21" s="263" t="s">
        <v>237</v>
      </c>
      <c r="Q21" s="263" t="s">
        <v>237</v>
      </c>
      <c r="R21" s="263">
        <v>0.46399592917263111</v>
      </c>
      <c r="S21" s="263" t="s">
        <v>237</v>
      </c>
      <c r="T21" s="263">
        <v>0.99564302182416553</v>
      </c>
      <c r="U21" s="263" t="s">
        <v>237</v>
      </c>
      <c r="V21" s="263" t="s">
        <v>237</v>
      </c>
      <c r="W21" s="263" t="s">
        <v>237</v>
      </c>
      <c r="X21" s="263">
        <v>0.66713548462062955</v>
      </c>
      <c r="Y21" s="263">
        <v>0.61832724450871401</v>
      </c>
      <c r="Z21" s="263">
        <v>1</v>
      </c>
      <c r="AA21" s="263" t="s">
        <v>237</v>
      </c>
      <c r="AB21" s="263">
        <v>0.61924813716767202</v>
      </c>
      <c r="AC21" s="263" t="s">
        <v>237</v>
      </c>
      <c r="AD21" s="263">
        <v>0.98697833944622559</v>
      </c>
      <c r="AE21" s="263">
        <v>1</v>
      </c>
      <c r="AF21" s="263" t="s">
        <v>237</v>
      </c>
      <c r="AG21" s="263" t="s">
        <v>237</v>
      </c>
      <c r="AH21" s="263" t="s">
        <v>237</v>
      </c>
    </row>
    <row r="22" spans="2:34">
      <c r="B22" s="429" t="s">
        <v>284</v>
      </c>
      <c r="C22" s="478">
        <v>0.56884460003921811</v>
      </c>
      <c r="D22" s="260" t="s">
        <v>237</v>
      </c>
      <c r="E22" s="260" t="s">
        <v>237</v>
      </c>
      <c r="F22" s="260" t="s">
        <v>237</v>
      </c>
      <c r="G22" s="260" t="s">
        <v>237</v>
      </c>
      <c r="H22" s="260">
        <v>0.38621010838673242</v>
      </c>
      <c r="I22" s="260">
        <v>0.79790253473883599</v>
      </c>
      <c r="J22" s="260">
        <v>0.96704155090443322</v>
      </c>
      <c r="K22" s="260">
        <v>0.18616888519046951</v>
      </c>
      <c r="L22" s="260">
        <v>0.63676511218494569</v>
      </c>
      <c r="M22" s="260" t="s">
        <v>237</v>
      </c>
      <c r="N22" s="260">
        <v>0.99525873360305117</v>
      </c>
      <c r="O22" s="260" t="s">
        <v>237</v>
      </c>
      <c r="P22" s="260" t="s">
        <v>237</v>
      </c>
      <c r="Q22" s="260" t="s">
        <v>237</v>
      </c>
      <c r="R22" s="260" t="s">
        <v>237</v>
      </c>
      <c r="S22" s="260" t="s">
        <v>237</v>
      </c>
      <c r="T22" s="260" t="s">
        <v>237</v>
      </c>
      <c r="U22" s="260" t="s">
        <v>237</v>
      </c>
      <c r="V22" s="260">
        <v>0.52156372217572333</v>
      </c>
      <c r="W22" s="260" t="s">
        <v>237</v>
      </c>
      <c r="X22" s="260" t="s">
        <v>237</v>
      </c>
      <c r="Y22" s="260" t="s">
        <v>237</v>
      </c>
      <c r="Z22" s="260">
        <v>0.94315088650829781</v>
      </c>
      <c r="AA22" s="260" t="s">
        <v>237</v>
      </c>
      <c r="AB22" s="260">
        <v>0</v>
      </c>
      <c r="AC22" s="260" t="s">
        <v>237</v>
      </c>
      <c r="AD22" s="260">
        <v>0.66519335549113234</v>
      </c>
      <c r="AE22" s="260">
        <v>1</v>
      </c>
      <c r="AF22" s="260" t="s">
        <v>237</v>
      </c>
      <c r="AG22" s="260" t="s">
        <v>237</v>
      </c>
      <c r="AH22" s="260" t="s">
        <v>237</v>
      </c>
    </row>
    <row r="23" spans="2:34">
      <c r="B23" s="427" t="s">
        <v>285</v>
      </c>
      <c r="C23" s="477">
        <v>0.57286820431872032</v>
      </c>
      <c r="D23" s="263" t="s">
        <v>237</v>
      </c>
      <c r="E23" s="263" t="s">
        <v>237</v>
      </c>
      <c r="F23" s="263" t="s">
        <v>237</v>
      </c>
      <c r="G23" s="263">
        <v>0.34851486157546968</v>
      </c>
      <c r="H23" s="263">
        <v>0.74380567338741055</v>
      </c>
      <c r="I23" s="263" t="s">
        <v>237</v>
      </c>
      <c r="J23" s="263" t="s">
        <v>237</v>
      </c>
      <c r="K23" s="263">
        <v>1</v>
      </c>
      <c r="L23" s="263">
        <v>0.95091307195098984</v>
      </c>
      <c r="M23" s="263">
        <v>0.99125724086418732</v>
      </c>
      <c r="N23" s="263" t="s">
        <v>237</v>
      </c>
      <c r="O23" s="263" t="s">
        <v>237</v>
      </c>
      <c r="P23" s="263" t="s">
        <v>237</v>
      </c>
      <c r="Q23" s="263" t="s">
        <v>237</v>
      </c>
      <c r="R23" s="263">
        <v>0.87346018899388733</v>
      </c>
      <c r="S23" s="263">
        <v>0.33333333333333331</v>
      </c>
      <c r="T23" s="263">
        <v>0.78571996594867377</v>
      </c>
      <c r="U23" s="263">
        <v>0.48869852888057042</v>
      </c>
      <c r="V23" s="263" t="s">
        <v>237</v>
      </c>
      <c r="W23" s="263">
        <v>0.21318536196608559</v>
      </c>
      <c r="X23" s="263">
        <v>0.60952623773850556</v>
      </c>
      <c r="Y23" s="263">
        <v>0.81391269179461601</v>
      </c>
      <c r="Z23" s="263">
        <v>0.40193791397666961</v>
      </c>
      <c r="AA23" s="263" t="s">
        <v>237</v>
      </c>
      <c r="AB23" s="263">
        <v>0.46302819228340869</v>
      </c>
      <c r="AC23" s="263">
        <v>0.37187992599897179</v>
      </c>
      <c r="AD23" s="263">
        <v>0.85413048857004592</v>
      </c>
      <c r="AE23" s="263">
        <v>0.40596717887160361</v>
      </c>
      <c r="AF23" s="263">
        <v>0.95695842512944318</v>
      </c>
      <c r="AG23" s="263">
        <v>1</v>
      </c>
      <c r="AH23" s="263" t="s">
        <v>237</v>
      </c>
    </row>
    <row r="24" spans="2:34">
      <c r="B24" s="429" t="s">
        <v>287</v>
      </c>
      <c r="C24" s="478">
        <v>0.79865606371957132</v>
      </c>
      <c r="D24" s="260" t="s">
        <v>237</v>
      </c>
      <c r="E24" s="260" t="s">
        <v>237</v>
      </c>
      <c r="F24" s="260">
        <v>0.81052583471367023</v>
      </c>
      <c r="G24" s="260" t="s">
        <v>237</v>
      </c>
      <c r="H24" s="260" t="s">
        <v>237</v>
      </c>
      <c r="I24" s="260" t="s">
        <v>237</v>
      </c>
      <c r="J24" s="260" t="s">
        <v>237</v>
      </c>
      <c r="K24" s="260" t="s">
        <v>237</v>
      </c>
      <c r="L24" s="260">
        <v>0.32253188565383489</v>
      </c>
      <c r="M24" s="260" t="s">
        <v>237</v>
      </c>
      <c r="N24" s="260">
        <v>0.94177598458024547</v>
      </c>
      <c r="O24" s="260">
        <v>0.99355712555291109</v>
      </c>
      <c r="P24" s="260" t="s">
        <v>237</v>
      </c>
      <c r="Q24" s="260" t="s">
        <v>237</v>
      </c>
      <c r="R24" s="260" t="s">
        <v>237</v>
      </c>
      <c r="S24" s="260" t="s">
        <v>237</v>
      </c>
      <c r="T24" s="260" t="s">
        <v>237</v>
      </c>
      <c r="U24" s="260" t="s">
        <v>237</v>
      </c>
      <c r="V24" s="260" t="s">
        <v>237</v>
      </c>
      <c r="W24" s="260">
        <v>0.41057112117038391</v>
      </c>
      <c r="X24" s="260" t="s">
        <v>237</v>
      </c>
      <c r="Y24" s="260" t="s">
        <v>237</v>
      </c>
      <c r="Z24" s="260" t="s">
        <v>237</v>
      </c>
      <c r="AA24" s="260" t="s">
        <v>237</v>
      </c>
      <c r="AB24" s="260" t="s">
        <v>237</v>
      </c>
      <c r="AC24" s="260">
        <v>0.87294443055545501</v>
      </c>
      <c r="AD24" s="260">
        <v>1</v>
      </c>
      <c r="AE24" s="260">
        <v>0.99949982776510193</v>
      </c>
      <c r="AF24" s="260">
        <v>1</v>
      </c>
      <c r="AG24" s="260" t="s">
        <v>237</v>
      </c>
      <c r="AH24" s="260" t="s">
        <v>237</v>
      </c>
    </row>
    <row r="25" spans="2:34">
      <c r="B25" s="427" t="s">
        <v>288</v>
      </c>
      <c r="C25" s="477">
        <v>0.72503704060602026</v>
      </c>
      <c r="D25" s="263" t="s">
        <v>237</v>
      </c>
      <c r="E25" s="263" t="s">
        <v>237</v>
      </c>
      <c r="F25" s="263" t="s">
        <v>237</v>
      </c>
      <c r="G25" s="263" t="s">
        <v>237</v>
      </c>
      <c r="H25" s="263">
        <v>1</v>
      </c>
      <c r="I25" s="263" t="s">
        <v>237</v>
      </c>
      <c r="J25" s="263" t="s">
        <v>237</v>
      </c>
      <c r="K25" s="263">
        <v>0.84989928568268136</v>
      </c>
      <c r="L25" s="263" t="s">
        <v>237</v>
      </c>
      <c r="M25" s="263">
        <v>1</v>
      </c>
      <c r="N25" s="263" t="s">
        <v>237</v>
      </c>
      <c r="O25" s="263">
        <v>1</v>
      </c>
      <c r="P25" s="263" t="s">
        <v>237</v>
      </c>
      <c r="Q25" s="263" t="s">
        <v>237</v>
      </c>
      <c r="R25" s="263">
        <v>1.6758993008824941E-8</v>
      </c>
      <c r="S25" s="263" t="s">
        <v>237</v>
      </c>
      <c r="T25" s="263" t="s">
        <v>237</v>
      </c>
      <c r="U25" s="263">
        <v>0.28727757072476379</v>
      </c>
      <c r="V25" s="263">
        <v>1</v>
      </c>
      <c r="W25" s="263" t="s">
        <v>237</v>
      </c>
      <c r="X25" s="263">
        <v>0.8368374477609174</v>
      </c>
      <c r="Y25" s="263" t="s">
        <v>237</v>
      </c>
      <c r="Z25" s="263">
        <v>0.33966591813442298</v>
      </c>
      <c r="AA25" s="263" t="s">
        <v>237</v>
      </c>
      <c r="AB25" s="263" t="s">
        <v>237</v>
      </c>
      <c r="AC25" s="263">
        <v>7.1257572651859988E-2</v>
      </c>
      <c r="AD25" s="263">
        <v>0.99814284649371954</v>
      </c>
      <c r="AE25" s="263">
        <v>0.79453353302386376</v>
      </c>
      <c r="AF25" s="263" t="s">
        <v>237</v>
      </c>
      <c r="AG25" s="263" t="s">
        <v>237</v>
      </c>
      <c r="AH25" s="263" t="s">
        <v>237</v>
      </c>
    </row>
    <row r="26" spans="2:34">
      <c r="B26" s="429" t="s">
        <v>298</v>
      </c>
      <c r="C26" s="478">
        <v>0.68699700386050633</v>
      </c>
      <c r="D26" s="260" t="s">
        <v>237</v>
      </c>
      <c r="E26" s="260" t="s">
        <v>237</v>
      </c>
      <c r="F26" s="260" t="s">
        <v>237</v>
      </c>
      <c r="G26" s="260" t="s">
        <v>237</v>
      </c>
      <c r="H26" s="260" t="s">
        <v>237</v>
      </c>
      <c r="I26" s="260" t="s">
        <v>237</v>
      </c>
      <c r="J26" s="260" t="s">
        <v>237</v>
      </c>
      <c r="K26" s="260" t="s">
        <v>237</v>
      </c>
      <c r="L26" s="260">
        <v>0.9365923925710512</v>
      </c>
      <c r="M26" s="260" t="s">
        <v>237</v>
      </c>
      <c r="N26" s="260" t="s">
        <v>237</v>
      </c>
      <c r="O26" s="260">
        <v>0.8224569142192546</v>
      </c>
      <c r="P26" s="260" t="s">
        <v>237</v>
      </c>
      <c r="Q26" s="260" t="s">
        <v>237</v>
      </c>
      <c r="R26" s="260" t="s">
        <v>237</v>
      </c>
      <c r="S26" s="260" t="s">
        <v>237</v>
      </c>
      <c r="T26" s="260">
        <v>0.97893356237729512</v>
      </c>
      <c r="U26" s="260" t="s">
        <v>237</v>
      </c>
      <c r="V26" s="260" t="s">
        <v>237</v>
      </c>
      <c r="W26" s="260" t="s">
        <v>237</v>
      </c>
      <c r="X26" s="260" t="s">
        <v>237</v>
      </c>
      <c r="Y26" s="260" t="s">
        <v>237</v>
      </c>
      <c r="Z26" s="260">
        <v>0.37642351973765942</v>
      </c>
      <c r="AA26" s="260" t="s">
        <v>237</v>
      </c>
      <c r="AB26" s="260">
        <v>0.10794939869118229</v>
      </c>
      <c r="AC26" s="260" t="s">
        <v>237</v>
      </c>
      <c r="AD26" s="260" t="s">
        <v>237</v>
      </c>
      <c r="AE26" s="260" t="s">
        <v>237</v>
      </c>
      <c r="AF26" s="260" t="s">
        <v>237</v>
      </c>
      <c r="AG26" s="260" t="s">
        <v>237</v>
      </c>
      <c r="AH26" s="260" t="s">
        <v>237</v>
      </c>
    </row>
    <row r="27" spans="2:34">
      <c r="B27" s="427" t="s">
        <v>300</v>
      </c>
      <c r="C27" s="477">
        <v>0.70695948055722568</v>
      </c>
      <c r="D27" s="263" t="s">
        <v>237</v>
      </c>
      <c r="E27" s="263" t="s">
        <v>237</v>
      </c>
      <c r="F27" s="263" t="s">
        <v>237</v>
      </c>
      <c r="G27" s="263" t="s">
        <v>237</v>
      </c>
      <c r="H27" s="263">
        <v>1.87524184966519E-2</v>
      </c>
      <c r="I27" s="263">
        <v>0.86822107508548085</v>
      </c>
      <c r="J27" s="263" t="s">
        <v>237</v>
      </c>
      <c r="K27" s="263" t="s">
        <v>237</v>
      </c>
      <c r="L27" s="263" t="s">
        <v>237</v>
      </c>
      <c r="M27" s="263">
        <v>0.23899599759515139</v>
      </c>
      <c r="N27" s="263">
        <v>0.99788553065837338</v>
      </c>
      <c r="O27" s="263">
        <v>0.32078975098505252</v>
      </c>
      <c r="P27" s="263" t="s">
        <v>237</v>
      </c>
      <c r="Q27" s="263" t="s">
        <v>237</v>
      </c>
      <c r="R27" s="263" t="s">
        <v>237</v>
      </c>
      <c r="S27" s="263" t="s">
        <v>237</v>
      </c>
      <c r="T27" s="263">
        <v>1</v>
      </c>
      <c r="U27" s="263" t="s">
        <v>237</v>
      </c>
      <c r="V27" s="263" t="s">
        <v>237</v>
      </c>
      <c r="W27" s="263" t="s">
        <v>237</v>
      </c>
      <c r="X27" s="263">
        <v>0.64087599981783439</v>
      </c>
      <c r="Y27" s="263" t="s">
        <v>237</v>
      </c>
      <c r="Z27" s="263" t="s">
        <v>237</v>
      </c>
      <c r="AA27" s="263" t="s">
        <v>237</v>
      </c>
      <c r="AB27" s="263">
        <v>1</v>
      </c>
      <c r="AC27" s="263">
        <v>0.79545197303792925</v>
      </c>
      <c r="AD27" s="263" t="s">
        <v>237</v>
      </c>
      <c r="AE27" s="263" t="s">
        <v>237</v>
      </c>
      <c r="AF27" s="263">
        <v>0.81021566434226644</v>
      </c>
      <c r="AG27" s="263" t="s">
        <v>237</v>
      </c>
      <c r="AH27" s="263" t="s">
        <v>237</v>
      </c>
    </row>
    <row r="28" spans="2:34">
      <c r="B28" s="429" t="s">
        <v>301</v>
      </c>
      <c r="C28" s="478">
        <v>0.93587577509263142</v>
      </c>
      <c r="D28" s="260" t="s">
        <v>237</v>
      </c>
      <c r="E28" s="260" t="s">
        <v>237</v>
      </c>
      <c r="F28" s="260" t="s">
        <v>237</v>
      </c>
      <c r="G28" s="260" t="s">
        <v>237</v>
      </c>
      <c r="H28" s="260" t="s">
        <v>237</v>
      </c>
      <c r="I28" s="260" t="s">
        <v>237</v>
      </c>
      <c r="J28" s="260" t="s">
        <v>237</v>
      </c>
      <c r="K28" s="260" t="s">
        <v>237</v>
      </c>
      <c r="L28" s="260" t="s">
        <v>237</v>
      </c>
      <c r="M28" s="260" t="s">
        <v>237</v>
      </c>
      <c r="N28" s="260" t="s">
        <v>237</v>
      </c>
      <c r="O28" s="260" t="s">
        <v>237</v>
      </c>
      <c r="P28" s="260" t="s">
        <v>237</v>
      </c>
      <c r="Q28" s="260" t="s">
        <v>237</v>
      </c>
      <c r="R28" s="260" t="s">
        <v>237</v>
      </c>
      <c r="S28" s="260" t="s">
        <v>237</v>
      </c>
      <c r="T28" s="260" t="s">
        <v>237</v>
      </c>
      <c r="U28" s="260" t="s">
        <v>237</v>
      </c>
      <c r="V28" s="260" t="s">
        <v>237</v>
      </c>
      <c r="W28" s="260" t="s">
        <v>237</v>
      </c>
      <c r="X28" s="260" t="s">
        <v>237</v>
      </c>
      <c r="Y28" s="260" t="s">
        <v>237</v>
      </c>
      <c r="Z28" s="260" t="s">
        <v>237</v>
      </c>
      <c r="AA28" s="260" t="s">
        <v>237</v>
      </c>
      <c r="AB28" s="260" t="s">
        <v>237</v>
      </c>
      <c r="AC28" s="260">
        <v>0.99408614928240591</v>
      </c>
      <c r="AD28" s="260">
        <v>1</v>
      </c>
      <c r="AE28" s="260">
        <v>0.90965391339360768</v>
      </c>
      <c r="AF28" s="260">
        <v>0.92585342229983492</v>
      </c>
      <c r="AG28" s="260">
        <v>0.96469519007620086</v>
      </c>
      <c r="AH28" s="260" t="s">
        <v>237</v>
      </c>
    </row>
    <row r="29" spans="2:34">
      <c r="B29" s="427" t="s">
        <v>302</v>
      </c>
      <c r="C29" s="477">
        <v>0.84120091263001295</v>
      </c>
      <c r="D29" s="263" t="s">
        <v>237</v>
      </c>
      <c r="E29" s="263" t="s">
        <v>237</v>
      </c>
      <c r="F29" s="263" t="s">
        <v>237</v>
      </c>
      <c r="G29" s="263" t="s">
        <v>237</v>
      </c>
      <c r="H29" s="263" t="s">
        <v>237</v>
      </c>
      <c r="I29" s="263" t="s">
        <v>237</v>
      </c>
      <c r="J29" s="263" t="s">
        <v>237</v>
      </c>
      <c r="K29" s="263" t="s">
        <v>237</v>
      </c>
      <c r="L29" s="263" t="s">
        <v>237</v>
      </c>
      <c r="M29" s="263" t="s">
        <v>237</v>
      </c>
      <c r="N29" s="263" t="s">
        <v>237</v>
      </c>
      <c r="O29" s="263" t="s">
        <v>237</v>
      </c>
      <c r="P29" s="263" t="s">
        <v>237</v>
      </c>
      <c r="Q29" s="263" t="s">
        <v>237</v>
      </c>
      <c r="R29" s="263" t="s">
        <v>237</v>
      </c>
      <c r="S29" s="263" t="s">
        <v>237</v>
      </c>
      <c r="T29" s="263" t="s">
        <v>237</v>
      </c>
      <c r="U29" s="263" t="s">
        <v>237</v>
      </c>
      <c r="V29" s="263" t="s">
        <v>237</v>
      </c>
      <c r="W29" s="263">
        <v>0.56854820857686472</v>
      </c>
      <c r="X29" s="263">
        <v>0.97573775394055939</v>
      </c>
      <c r="Y29" s="263">
        <v>0.82062953469611888</v>
      </c>
      <c r="Z29" s="263">
        <v>0.85691316692578079</v>
      </c>
      <c r="AA29" s="263" t="s">
        <v>237</v>
      </c>
      <c r="AB29" s="263">
        <v>0.65651913901804027</v>
      </c>
      <c r="AC29" s="263" t="s">
        <v>237</v>
      </c>
      <c r="AD29" s="263">
        <v>0.87292201313487938</v>
      </c>
      <c r="AE29" s="263" t="s">
        <v>237</v>
      </c>
      <c r="AF29" s="263" t="s">
        <v>237</v>
      </c>
      <c r="AG29" s="263" t="s">
        <v>237</v>
      </c>
      <c r="AH29" s="263" t="s">
        <v>237</v>
      </c>
    </row>
    <row r="30" spans="2:34">
      <c r="B30" s="429" t="s">
        <v>305</v>
      </c>
      <c r="C30" s="478">
        <v>0.79126126964037402</v>
      </c>
      <c r="D30" s="260" t="s">
        <v>237</v>
      </c>
      <c r="E30" s="260" t="s">
        <v>237</v>
      </c>
      <c r="F30" s="260" t="s">
        <v>237</v>
      </c>
      <c r="G30" s="260" t="s">
        <v>237</v>
      </c>
      <c r="H30" s="260" t="s">
        <v>237</v>
      </c>
      <c r="I30" s="260" t="s">
        <v>237</v>
      </c>
      <c r="J30" s="260" t="s">
        <v>237</v>
      </c>
      <c r="K30" s="260">
        <v>0.76154709260556763</v>
      </c>
      <c r="L30" s="260">
        <v>0.73765415202084661</v>
      </c>
      <c r="M30" s="260" t="s">
        <v>237</v>
      </c>
      <c r="N30" s="260">
        <v>0.71764375259567403</v>
      </c>
      <c r="O30" s="260" t="s">
        <v>237</v>
      </c>
      <c r="P30" s="260" t="s">
        <v>237</v>
      </c>
      <c r="Q30" s="260">
        <v>1</v>
      </c>
      <c r="R30" s="260" t="s">
        <v>237</v>
      </c>
      <c r="S30" s="260">
        <v>1</v>
      </c>
      <c r="T30" s="260">
        <v>1</v>
      </c>
      <c r="U30" s="260" t="s">
        <v>237</v>
      </c>
      <c r="V30" s="260" t="s">
        <v>237</v>
      </c>
      <c r="W30" s="260">
        <v>0.83039368400312186</v>
      </c>
      <c r="X30" s="260" t="s">
        <v>237</v>
      </c>
      <c r="Y30" s="260">
        <v>0.98188633137680603</v>
      </c>
      <c r="Z30" s="260">
        <v>0.66733770821892779</v>
      </c>
      <c r="AA30" s="260">
        <v>0.91457726718904853</v>
      </c>
      <c r="AB30" s="260" t="s">
        <v>237</v>
      </c>
      <c r="AC30" s="260">
        <v>0.20769996781448949</v>
      </c>
      <c r="AD30" s="260">
        <v>0.96028048497200658</v>
      </c>
      <c r="AE30" s="260">
        <v>0.99560690769098692</v>
      </c>
      <c r="AF30" s="260" t="s">
        <v>237</v>
      </c>
      <c r="AG30" s="260" t="s">
        <v>237</v>
      </c>
      <c r="AH30" s="260" t="s">
        <v>237</v>
      </c>
    </row>
    <row r="31" spans="2:34">
      <c r="B31" s="427" t="s">
        <v>306</v>
      </c>
      <c r="C31" s="477">
        <v>0.74331658477534357</v>
      </c>
      <c r="D31" s="263" t="s">
        <v>237</v>
      </c>
      <c r="E31" s="263" t="s">
        <v>237</v>
      </c>
      <c r="F31" s="263" t="s">
        <v>237</v>
      </c>
      <c r="G31" s="263">
        <v>4.1623996749533348E-2</v>
      </c>
      <c r="H31" s="263" t="s">
        <v>237</v>
      </c>
      <c r="I31" s="263" t="s">
        <v>237</v>
      </c>
      <c r="J31" s="263" t="s">
        <v>237</v>
      </c>
      <c r="K31" s="263">
        <v>0.99775018016980499</v>
      </c>
      <c r="L31" s="263">
        <v>0.13615457854848079</v>
      </c>
      <c r="M31" s="263" t="s">
        <v>237</v>
      </c>
      <c r="N31" s="263" t="s">
        <v>237</v>
      </c>
      <c r="O31" s="263" t="s">
        <v>237</v>
      </c>
      <c r="P31" s="263" t="s">
        <v>237</v>
      </c>
      <c r="Q31" s="263">
        <v>1</v>
      </c>
      <c r="R31" s="263" t="s">
        <v>237</v>
      </c>
      <c r="S31" s="263">
        <v>0.90957538053756126</v>
      </c>
      <c r="T31" s="263">
        <v>0.77133545024015837</v>
      </c>
      <c r="U31" s="263" t="s">
        <v>237</v>
      </c>
      <c r="V31" s="263" t="s">
        <v>237</v>
      </c>
      <c r="W31" s="263">
        <v>0.8842926890988162</v>
      </c>
      <c r="X31" s="263">
        <v>0.53654418575758467</v>
      </c>
      <c r="Y31" s="263">
        <v>0.98788914967295027</v>
      </c>
      <c r="Z31" s="263" t="s">
        <v>237</v>
      </c>
      <c r="AA31" s="263">
        <v>0.9986021207955893</v>
      </c>
      <c r="AB31" s="263">
        <v>1</v>
      </c>
      <c r="AC31" s="263" t="s">
        <v>237</v>
      </c>
      <c r="AD31" s="263">
        <v>1</v>
      </c>
      <c r="AE31" s="263" t="s">
        <v>237</v>
      </c>
      <c r="AF31" s="263" t="s">
        <v>237</v>
      </c>
      <c r="AG31" s="263" t="s">
        <v>237</v>
      </c>
      <c r="AH31" s="263" t="s">
        <v>237</v>
      </c>
    </row>
    <row r="32" spans="2:34">
      <c r="B32" s="429" t="s">
        <v>307</v>
      </c>
      <c r="C32" s="478">
        <v>0.69598231970056867</v>
      </c>
      <c r="D32" s="260">
        <v>1</v>
      </c>
      <c r="E32" s="260" t="s">
        <v>237</v>
      </c>
      <c r="F32" s="260" t="s">
        <v>237</v>
      </c>
      <c r="G32" s="260" t="s">
        <v>237</v>
      </c>
      <c r="H32" s="260">
        <v>0.21682806893333531</v>
      </c>
      <c r="I32" s="260" t="s">
        <v>237</v>
      </c>
      <c r="J32" s="260" t="s">
        <v>237</v>
      </c>
      <c r="K32" s="260" t="s">
        <v>237</v>
      </c>
      <c r="L32" s="260" t="s">
        <v>237</v>
      </c>
      <c r="M32" s="260" t="s">
        <v>237</v>
      </c>
      <c r="N32" s="260">
        <v>3.1754123830322209E-2</v>
      </c>
      <c r="O32" s="260" t="s">
        <v>237</v>
      </c>
      <c r="P32" s="260" t="s">
        <v>237</v>
      </c>
      <c r="Q32" s="260">
        <v>0.74869792949585356</v>
      </c>
      <c r="R32" s="260">
        <v>4.433952911577331E-2</v>
      </c>
      <c r="S32" s="260">
        <v>0.8745963283793029</v>
      </c>
      <c r="T32" s="260" t="s">
        <v>237</v>
      </c>
      <c r="U32" s="260">
        <v>0.83591993312548096</v>
      </c>
      <c r="V32" s="260">
        <v>1</v>
      </c>
      <c r="W32" s="260" t="s">
        <v>237</v>
      </c>
      <c r="X32" s="260">
        <v>0.9752680342339054</v>
      </c>
      <c r="Y32" s="260">
        <v>0.43973263176982302</v>
      </c>
      <c r="Z32" s="260">
        <v>0.99287512512794551</v>
      </c>
      <c r="AA32" s="260">
        <v>0.67913557940869651</v>
      </c>
      <c r="AB32" s="260">
        <v>0.94898935763957726</v>
      </c>
      <c r="AC32" s="260">
        <v>0.90694360629970594</v>
      </c>
      <c r="AD32" s="260">
        <v>0.98665898299515176</v>
      </c>
      <c r="AE32" s="260">
        <v>8.6647149760864309E-2</v>
      </c>
      <c r="AF32" s="260" t="s">
        <v>237</v>
      </c>
      <c r="AG32" s="260" t="s">
        <v>237</v>
      </c>
      <c r="AH32" s="260" t="s">
        <v>237</v>
      </c>
    </row>
    <row r="33" spans="2:34">
      <c r="B33" s="427" t="s">
        <v>308</v>
      </c>
      <c r="C33" s="477">
        <v>0.87240098275947509</v>
      </c>
      <c r="D33" s="263" t="s">
        <v>237</v>
      </c>
      <c r="E33" s="263" t="s">
        <v>237</v>
      </c>
      <c r="F33" s="263" t="s">
        <v>237</v>
      </c>
      <c r="G33" s="263" t="s">
        <v>237</v>
      </c>
      <c r="H33" s="263" t="s">
        <v>237</v>
      </c>
      <c r="I33" s="263" t="s">
        <v>237</v>
      </c>
      <c r="J33" s="263" t="s">
        <v>237</v>
      </c>
      <c r="K33" s="263" t="s">
        <v>237</v>
      </c>
      <c r="L33" s="263" t="s">
        <v>237</v>
      </c>
      <c r="M33" s="263">
        <v>1</v>
      </c>
      <c r="N33" s="263" t="s">
        <v>237</v>
      </c>
      <c r="O33" s="263" t="s">
        <v>237</v>
      </c>
      <c r="P33" s="263" t="s">
        <v>237</v>
      </c>
      <c r="Q33" s="263" t="s">
        <v>237</v>
      </c>
      <c r="R33" s="263" t="s">
        <v>237</v>
      </c>
      <c r="S33" s="263" t="s">
        <v>237</v>
      </c>
      <c r="T33" s="263">
        <v>0.41655897782168122</v>
      </c>
      <c r="U33" s="263" t="s">
        <v>237</v>
      </c>
      <c r="V33" s="263" t="s">
        <v>237</v>
      </c>
      <c r="W33" s="263">
        <v>0.7136387852643431</v>
      </c>
      <c r="X33" s="263">
        <v>0.98900944070714059</v>
      </c>
      <c r="Y33" s="263" t="s">
        <v>237</v>
      </c>
      <c r="Z33" s="263" t="s">
        <v>237</v>
      </c>
      <c r="AA33" s="263" t="s">
        <v>237</v>
      </c>
      <c r="AB33" s="263">
        <v>0.994465159710886</v>
      </c>
      <c r="AC33" s="263">
        <v>0.98662011949577355</v>
      </c>
      <c r="AD33" s="263">
        <v>1</v>
      </c>
      <c r="AE33" s="263" t="s">
        <v>237</v>
      </c>
      <c r="AF33" s="263" t="s">
        <v>237</v>
      </c>
      <c r="AG33" s="263" t="s">
        <v>237</v>
      </c>
      <c r="AH33" s="263" t="s">
        <v>237</v>
      </c>
    </row>
    <row r="34" spans="2:34">
      <c r="B34" s="429" t="s">
        <v>310</v>
      </c>
      <c r="C34" s="478">
        <v>0.54769487011535312</v>
      </c>
      <c r="D34" s="260" t="s">
        <v>237</v>
      </c>
      <c r="E34" s="260" t="s">
        <v>237</v>
      </c>
      <c r="F34" s="260" t="s">
        <v>237</v>
      </c>
      <c r="G34" s="260" t="s">
        <v>237</v>
      </c>
      <c r="H34" s="260" t="s">
        <v>237</v>
      </c>
      <c r="I34" s="260" t="s">
        <v>237</v>
      </c>
      <c r="J34" s="260" t="s">
        <v>237</v>
      </c>
      <c r="K34" s="260" t="s">
        <v>237</v>
      </c>
      <c r="L34" s="260" t="s">
        <v>237</v>
      </c>
      <c r="M34" s="260" t="s">
        <v>237</v>
      </c>
      <c r="N34" s="260" t="s">
        <v>237</v>
      </c>
      <c r="O34" s="260" t="s">
        <v>237</v>
      </c>
      <c r="P34" s="260" t="s">
        <v>237</v>
      </c>
      <c r="Q34" s="260" t="s">
        <v>237</v>
      </c>
      <c r="R34" s="260" t="s">
        <v>237</v>
      </c>
      <c r="S34" s="260" t="s">
        <v>237</v>
      </c>
      <c r="T34" s="260">
        <v>0.81060481370929371</v>
      </c>
      <c r="U34" s="260">
        <v>0.58164344225478981</v>
      </c>
      <c r="V34" s="260">
        <v>0.73730158299859394</v>
      </c>
      <c r="W34" s="260">
        <v>0.65159414355845569</v>
      </c>
      <c r="X34" s="260">
        <v>0.7461813375352776</v>
      </c>
      <c r="Y34" s="260" t="s">
        <v>237</v>
      </c>
      <c r="Z34" s="260">
        <v>0</v>
      </c>
      <c r="AA34" s="260" t="s">
        <v>237</v>
      </c>
      <c r="AB34" s="260">
        <v>0.47895338890692207</v>
      </c>
      <c r="AC34" s="260">
        <v>0</v>
      </c>
      <c r="AD34" s="260" t="s">
        <v>237</v>
      </c>
      <c r="AE34" s="260" t="s">
        <v>237</v>
      </c>
      <c r="AF34" s="260" t="s">
        <v>237</v>
      </c>
      <c r="AG34" s="260" t="s">
        <v>237</v>
      </c>
      <c r="AH34" s="260">
        <v>0.33058703631884889</v>
      </c>
    </row>
    <row r="35" spans="2:34">
      <c r="B35" s="427" t="s">
        <v>312</v>
      </c>
      <c r="C35" s="477">
        <v>0.69541681207377359</v>
      </c>
      <c r="D35" s="263" t="s">
        <v>237</v>
      </c>
      <c r="E35" s="263" t="s">
        <v>237</v>
      </c>
      <c r="F35" s="263" t="s">
        <v>237</v>
      </c>
      <c r="G35" s="263" t="s">
        <v>237</v>
      </c>
      <c r="H35" s="263" t="s">
        <v>237</v>
      </c>
      <c r="I35" s="263" t="s">
        <v>237</v>
      </c>
      <c r="J35" s="263">
        <v>0.1113689440293414</v>
      </c>
      <c r="K35" s="263">
        <v>7.1152973836649362E-3</v>
      </c>
      <c r="L35" s="263">
        <v>0.99518285189607891</v>
      </c>
      <c r="M35" s="263">
        <v>1</v>
      </c>
      <c r="N35" s="263" t="s">
        <v>237</v>
      </c>
      <c r="O35" s="263" t="s">
        <v>237</v>
      </c>
      <c r="P35" s="263" t="s">
        <v>237</v>
      </c>
      <c r="Q35" s="263" t="s">
        <v>237</v>
      </c>
      <c r="R35" s="263" t="s">
        <v>237</v>
      </c>
      <c r="S35" s="263" t="s">
        <v>237</v>
      </c>
      <c r="T35" s="263">
        <v>0.99483994996069014</v>
      </c>
      <c r="U35" s="263" t="s">
        <v>237</v>
      </c>
      <c r="V35" s="263" t="s">
        <v>237</v>
      </c>
      <c r="W35" s="263" t="s">
        <v>237</v>
      </c>
      <c r="X35" s="263" t="s">
        <v>237</v>
      </c>
      <c r="Y35" s="263" t="s">
        <v>237</v>
      </c>
      <c r="Z35" s="263">
        <v>0.99522525977887888</v>
      </c>
      <c r="AA35" s="263">
        <v>1</v>
      </c>
      <c r="AB35" s="263" t="s">
        <v>237</v>
      </c>
      <c r="AC35" s="263" t="s">
        <v>237</v>
      </c>
      <c r="AD35" s="263" t="s">
        <v>237</v>
      </c>
      <c r="AE35" s="263" t="s">
        <v>237</v>
      </c>
      <c r="AF35" s="263">
        <v>0.96380785459119145</v>
      </c>
      <c r="AG35" s="263">
        <v>1</v>
      </c>
      <c r="AH35" s="263" t="s">
        <v>237</v>
      </c>
    </row>
    <row r="36" spans="2:34">
      <c r="B36" s="429" t="s">
        <v>313</v>
      </c>
      <c r="C36" s="478">
        <v>0.70888423612745588</v>
      </c>
      <c r="D36" s="260" t="s">
        <v>237</v>
      </c>
      <c r="E36" s="260" t="s">
        <v>237</v>
      </c>
      <c r="F36" s="260" t="s">
        <v>237</v>
      </c>
      <c r="G36" s="260">
        <v>0.22184224668289459</v>
      </c>
      <c r="H36" s="260" t="s">
        <v>237</v>
      </c>
      <c r="I36" s="260" t="s">
        <v>237</v>
      </c>
      <c r="J36" s="260" t="s">
        <v>237</v>
      </c>
      <c r="K36" s="260">
        <v>0.62101458607968918</v>
      </c>
      <c r="L36" s="260">
        <v>0.67989079837009825</v>
      </c>
      <c r="M36" s="260">
        <v>0.98962318109824243</v>
      </c>
      <c r="N36" s="260">
        <v>0.98460343619699109</v>
      </c>
      <c r="O36" s="260" t="s">
        <v>237</v>
      </c>
      <c r="P36" s="260">
        <v>0.93041829502658902</v>
      </c>
      <c r="Q36" s="260" t="s">
        <v>237</v>
      </c>
      <c r="R36" s="260" t="s">
        <v>237</v>
      </c>
      <c r="S36" s="260" t="s">
        <v>237</v>
      </c>
      <c r="T36" s="260" t="s">
        <v>237</v>
      </c>
      <c r="U36" s="260" t="s">
        <v>237</v>
      </c>
      <c r="V36" s="260" t="s">
        <v>237</v>
      </c>
      <c r="W36" s="260" t="s">
        <v>237</v>
      </c>
      <c r="X36" s="260" t="s">
        <v>237</v>
      </c>
      <c r="Y36" s="260" t="s">
        <v>237</v>
      </c>
      <c r="Z36" s="260" t="s">
        <v>237</v>
      </c>
      <c r="AA36" s="260">
        <v>1.378584885155448E-2</v>
      </c>
      <c r="AB36" s="260" t="s">
        <v>237</v>
      </c>
      <c r="AC36" s="260" t="s">
        <v>237</v>
      </c>
      <c r="AD36" s="260">
        <v>0.93885227531168491</v>
      </c>
      <c r="AE36" s="260">
        <v>0.91581563030886703</v>
      </c>
      <c r="AF36" s="260" t="s">
        <v>237</v>
      </c>
      <c r="AG36" s="260" t="s">
        <v>237</v>
      </c>
      <c r="AH36" s="260" t="s">
        <v>237</v>
      </c>
    </row>
    <row r="37" spans="2:34">
      <c r="B37" s="427" t="s">
        <v>314</v>
      </c>
      <c r="C37" s="477">
        <v>0.87351376699444139</v>
      </c>
      <c r="D37" s="263" t="s">
        <v>237</v>
      </c>
      <c r="E37" s="263" t="s">
        <v>237</v>
      </c>
      <c r="F37" s="263" t="s">
        <v>237</v>
      </c>
      <c r="G37" s="263">
        <v>1</v>
      </c>
      <c r="H37" s="263">
        <v>0.9984134810324472</v>
      </c>
      <c r="I37" s="263">
        <v>1</v>
      </c>
      <c r="J37" s="263" t="s">
        <v>237</v>
      </c>
      <c r="K37" s="263" t="s">
        <v>237</v>
      </c>
      <c r="L37" s="263" t="s">
        <v>237</v>
      </c>
      <c r="M37" s="263" t="s">
        <v>237</v>
      </c>
      <c r="N37" s="263" t="s">
        <v>237</v>
      </c>
      <c r="O37" s="263">
        <v>0.33359906410805701</v>
      </c>
      <c r="P37" s="263" t="s">
        <v>237</v>
      </c>
      <c r="Q37" s="263" t="s">
        <v>237</v>
      </c>
      <c r="R37" s="263" t="s">
        <v>237</v>
      </c>
      <c r="S37" s="263">
        <v>0.71482360664295419</v>
      </c>
      <c r="T37" s="263" t="s">
        <v>237</v>
      </c>
      <c r="U37" s="263" t="s">
        <v>237</v>
      </c>
      <c r="V37" s="263">
        <v>0.95067530867563865</v>
      </c>
      <c r="W37" s="263" t="s">
        <v>237</v>
      </c>
      <c r="X37" s="263" t="s">
        <v>237</v>
      </c>
      <c r="Y37" s="263" t="s">
        <v>237</v>
      </c>
      <c r="Z37" s="263">
        <v>0.97438273147422116</v>
      </c>
      <c r="AA37" s="263" t="s">
        <v>237</v>
      </c>
      <c r="AB37" s="263">
        <v>4.5439683427707281E-2</v>
      </c>
      <c r="AC37" s="263" t="s">
        <v>237</v>
      </c>
      <c r="AD37" s="263" t="s">
        <v>237</v>
      </c>
      <c r="AE37" s="263" t="s">
        <v>237</v>
      </c>
      <c r="AF37" s="263" t="s">
        <v>237</v>
      </c>
      <c r="AG37" s="263">
        <v>0.89788298919105702</v>
      </c>
      <c r="AH37" s="263" t="s">
        <v>237</v>
      </c>
    </row>
    <row r="38" spans="2:34">
      <c r="B38" s="429" t="s">
        <v>315</v>
      </c>
      <c r="C38" s="478">
        <v>0.46113630234805147</v>
      </c>
      <c r="D38" s="260">
        <v>0.23058317277702939</v>
      </c>
      <c r="E38" s="260" t="s">
        <v>237</v>
      </c>
      <c r="F38" s="260">
        <v>0</v>
      </c>
      <c r="G38" s="260" t="s">
        <v>237</v>
      </c>
      <c r="H38" s="260" t="s">
        <v>237</v>
      </c>
      <c r="I38" s="260">
        <v>0.98761335632104408</v>
      </c>
      <c r="J38" s="260" t="s">
        <v>237</v>
      </c>
      <c r="K38" s="260">
        <v>0.42437039679720162</v>
      </c>
      <c r="L38" s="260">
        <v>0.25418369110731609</v>
      </c>
      <c r="M38" s="260" t="s">
        <v>237</v>
      </c>
      <c r="N38" s="260" t="s">
        <v>237</v>
      </c>
      <c r="O38" s="260" t="s">
        <v>237</v>
      </c>
      <c r="P38" s="260" t="s">
        <v>237</v>
      </c>
      <c r="Q38" s="260">
        <v>0.61866348917281933</v>
      </c>
      <c r="R38" s="260" t="s">
        <v>237</v>
      </c>
      <c r="S38" s="260" t="s">
        <v>237</v>
      </c>
      <c r="T38" s="260">
        <v>0.89154372326878317</v>
      </c>
      <c r="U38" s="260" t="s">
        <v>237</v>
      </c>
      <c r="V38" s="260" t="s">
        <v>237</v>
      </c>
      <c r="W38" s="260" t="s">
        <v>237</v>
      </c>
      <c r="X38" s="260" t="s">
        <v>237</v>
      </c>
      <c r="Y38" s="260" t="s">
        <v>237</v>
      </c>
      <c r="Z38" s="260" t="s">
        <v>237</v>
      </c>
      <c r="AA38" s="260">
        <v>0.64060093850528355</v>
      </c>
      <c r="AB38" s="260" t="s">
        <v>237</v>
      </c>
      <c r="AC38" s="260" t="s">
        <v>237</v>
      </c>
      <c r="AD38" s="260">
        <v>0.2048449400105655</v>
      </c>
      <c r="AE38" s="260" t="s">
        <v>237</v>
      </c>
      <c r="AF38" s="260" t="s">
        <v>237</v>
      </c>
      <c r="AG38" s="260" t="s">
        <v>237</v>
      </c>
      <c r="AH38" s="260" t="s">
        <v>237</v>
      </c>
    </row>
    <row r="39" spans="2:34">
      <c r="B39" s="427" t="s">
        <v>318</v>
      </c>
      <c r="C39" s="477">
        <v>0.50680160719395173</v>
      </c>
      <c r="D39" s="263" t="s">
        <v>237</v>
      </c>
      <c r="E39" s="263" t="s">
        <v>237</v>
      </c>
      <c r="F39" s="263" t="s">
        <v>237</v>
      </c>
      <c r="G39" s="263" t="s">
        <v>237</v>
      </c>
      <c r="H39" s="263" t="s">
        <v>237</v>
      </c>
      <c r="I39" s="263" t="s">
        <v>237</v>
      </c>
      <c r="J39" s="263" t="s">
        <v>237</v>
      </c>
      <c r="K39" s="263">
        <v>0.35749481712946501</v>
      </c>
      <c r="L39" s="263" t="s">
        <v>237</v>
      </c>
      <c r="M39" s="263">
        <v>1</v>
      </c>
      <c r="N39" s="263">
        <v>0.99659795750427504</v>
      </c>
      <c r="O39" s="263" t="s">
        <v>237</v>
      </c>
      <c r="P39" s="263" t="s">
        <v>237</v>
      </c>
      <c r="Q39" s="263" t="s">
        <v>237</v>
      </c>
      <c r="R39" s="263" t="s">
        <v>237</v>
      </c>
      <c r="S39" s="263">
        <v>0.58293795206599153</v>
      </c>
      <c r="T39" s="263">
        <v>0.50072201510180669</v>
      </c>
      <c r="U39" s="263" t="s">
        <v>237</v>
      </c>
      <c r="V39" s="263">
        <v>0.24857514896937891</v>
      </c>
      <c r="W39" s="263">
        <v>1</v>
      </c>
      <c r="X39" s="263">
        <v>0.1937226509127894</v>
      </c>
      <c r="Y39" s="263">
        <v>0.23168815424154879</v>
      </c>
      <c r="Z39" s="263">
        <v>0.24049659736698151</v>
      </c>
      <c r="AA39" s="263">
        <v>0.26601785433551189</v>
      </c>
      <c r="AB39" s="263" t="s">
        <v>237</v>
      </c>
      <c r="AC39" s="263">
        <v>0.88286363576776417</v>
      </c>
      <c r="AD39" s="263">
        <v>0.9452972675444703</v>
      </c>
      <c r="AE39" s="263">
        <v>0.26684635474339752</v>
      </c>
      <c r="AF39" s="263" t="s">
        <v>237</v>
      </c>
      <c r="AG39" s="263">
        <v>0.46207454822193622</v>
      </c>
      <c r="AH39" s="263">
        <v>0.97585265200489812</v>
      </c>
    </row>
    <row r="40" spans="2:34">
      <c r="B40" s="429" t="s">
        <v>320</v>
      </c>
      <c r="C40" s="478">
        <v>0.60193756197673054</v>
      </c>
      <c r="D40" s="260" t="s">
        <v>237</v>
      </c>
      <c r="E40" s="260" t="s">
        <v>237</v>
      </c>
      <c r="F40" s="260" t="s">
        <v>237</v>
      </c>
      <c r="G40" s="260" t="s">
        <v>237</v>
      </c>
      <c r="H40" s="260" t="s">
        <v>237</v>
      </c>
      <c r="I40" s="260" t="s">
        <v>237</v>
      </c>
      <c r="J40" s="260" t="s">
        <v>237</v>
      </c>
      <c r="K40" s="260" t="s">
        <v>237</v>
      </c>
      <c r="L40" s="260" t="s">
        <v>237</v>
      </c>
      <c r="M40" s="260" t="s">
        <v>237</v>
      </c>
      <c r="N40" s="260" t="s">
        <v>237</v>
      </c>
      <c r="O40" s="260" t="s">
        <v>237</v>
      </c>
      <c r="P40" s="260" t="s">
        <v>237</v>
      </c>
      <c r="Q40" s="260" t="s">
        <v>237</v>
      </c>
      <c r="R40" s="260" t="s">
        <v>237</v>
      </c>
      <c r="S40" s="260" t="s">
        <v>237</v>
      </c>
      <c r="T40" s="260">
        <v>0.58316543673923127</v>
      </c>
      <c r="U40" s="260" t="s">
        <v>237</v>
      </c>
      <c r="V40" s="260">
        <v>0.36012108395810161</v>
      </c>
      <c r="W40" s="260">
        <v>0.55106289002169817</v>
      </c>
      <c r="X40" s="260">
        <v>0.43955900654064117</v>
      </c>
      <c r="Y40" s="260">
        <v>0.83624854662456538</v>
      </c>
      <c r="Z40" s="260" t="s">
        <v>237</v>
      </c>
      <c r="AA40" s="260">
        <v>0.97202097938310916</v>
      </c>
      <c r="AB40" s="260" t="s">
        <v>237</v>
      </c>
      <c r="AC40" s="260" t="s">
        <v>237</v>
      </c>
      <c r="AD40" s="260">
        <v>0.85852421600031503</v>
      </c>
      <c r="AE40" s="260" t="s">
        <v>237</v>
      </c>
      <c r="AF40" s="260" t="s">
        <v>237</v>
      </c>
      <c r="AG40" s="260" t="s">
        <v>237</v>
      </c>
      <c r="AH40" s="260" t="s">
        <v>237</v>
      </c>
    </row>
    <row r="41" spans="2:34">
      <c r="B41" s="427" t="s">
        <v>321</v>
      </c>
      <c r="C41" s="477">
        <v>0.77994066173517607</v>
      </c>
      <c r="D41" s="263" t="s">
        <v>237</v>
      </c>
      <c r="E41" s="263" t="s">
        <v>237</v>
      </c>
      <c r="F41" s="263">
        <v>0.82645705531952829</v>
      </c>
      <c r="G41" s="263">
        <v>1</v>
      </c>
      <c r="H41" s="263">
        <v>0.73732717367422695</v>
      </c>
      <c r="I41" s="263">
        <v>0.96340344025560576</v>
      </c>
      <c r="J41" s="263">
        <v>0.48906139015318612</v>
      </c>
      <c r="K41" s="263" t="s">
        <v>237</v>
      </c>
      <c r="L41" s="263" t="s">
        <v>237</v>
      </c>
      <c r="M41" s="263" t="s">
        <v>237</v>
      </c>
      <c r="N41" s="263" t="s">
        <v>237</v>
      </c>
      <c r="O41" s="263" t="s">
        <v>237</v>
      </c>
      <c r="P41" s="263" t="s">
        <v>237</v>
      </c>
      <c r="Q41" s="263">
        <v>1</v>
      </c>
      <c r="R41" s="263">
        <v>0.97843085498604898</v>
      </c>
      <c r="S41" s="263">
        <v>0.84451447298692772</v>
      </c>
      <c r="T41" s="263">
        <v>0.9503398618576846</v>
      </c>
      <c r="U41" s="263">
        <v>0.54934412790981557</v>
      </c>
      <c r="V41" s="263">
        <v>6.2538539039253757E-2</v>
      </c>
      <c r="W41" s="263" t="s">
        <v>237</v>
      </c>
      <c r="X41" s="263">
        <v>7.4995019807599317E-2</v>
      </c>
      <c r="Y41" s="263">
        <v>0.74854868998945701</v>
      </c>
      <c r="Z41" s="263" t="s">
        <v>237</v>
      </c>
      <c r="AA41" s="263">
        <v>0.99678607383845341</v>
      </c>
      <c r="AB41" s="263" t="s">
        <v>237</v>
      </c>
      <c r="AC41" s="263" t="s">
        <v>237</v>
      </c>
      <c r="AD41" s="263" t="s">
        <v>237</v>
      </c>
      <c r="AE41" s="263">
        <v>1</v>
      </c>
      <c r="AF41" s="263" t="s">
        <v>237</v>
      </c>
      <c r="AG41" s="263" t="s">
        <v>237</v>
      </c>
      <c r="AH41" s="263" t="s">
        <v>237</v>
      </c>
    </row>
    <row r="42" spans="2:34">
      <c r="B42" s="429" t="s">
        <v>325</v>
      </c>
      <c r="C42" s="478">
        <v>0.75324914509678242</v>
      </c>
      <c r="D42" s="260" t="s">
        <v>237</v>
      </c>
      <c r="E42" s="260" t="s">
        <v>237</v>
      </c>
      <c r="F42" s="260" t="s">
        <v>237</v>
      </c>
      <c r="G42" s="260" t="s">
        <v>237</v>
      </c>
      <c r="H42" s="260" t="s">
        <v>237</v>
      </c>
      <c r="I42" s="260" t="s">
        <v>237</v>
      </c>
      <c r="J42" s="260">
        <v>0.79062896335437061</v>
      </c>
      <c r="K42" s="260" t="s">
        <v>237</v>
      </c>
      <c r="L42" s="260">
        <v>0.69432587909709986</v>
      </c>
      <c r="M42" s="260" t="s">
        <v>237</v>
      </c>
      <c r="N42" s="260">
        <v>0.53821623079476055</v>
      </c>
      <c r="O42" s="260" t="s">
        <v>237</v>
      </c>
      <c r="P42" s="260">
        <v>0.94575905598062837</v>
      </c>
      <c r="Q42" s="260">
        <v>0.99896410431400184</v>
      </c>
      <c r="R42" s="260">
        <v>0.61391595837261403</v>
      </c>
      <c r="S42" s="260">
        <v>0.76552504486551931</v>
      </c>
      <c r="T42" s="260" t="s">
        <v>237</v>
      </c>
      <c r="U42" s="260">
        <v>0.93480389331527425</v>
      </c>
      <c r="V42" s="260" t="s">
        <v>237</v>
      </c>
      <c r="W42" s="260" t="s">
        <v>237</v>
      </c>
      <c r="X42" s="260" t="s">
        <v>237</v>
      </c>
      <c r="Y42" s="260">
        <v>0.51161814194222488</v>
      </c>
      <c r="Z42" s="260" t="s">
        <v>237</v>
      </c>
      <c r="AA42" s="260">
        <v>0.98594495213476097</v>
      </c>
      <c r="AB42" s="260">
        <v>0.31609847877293079</v>
      </c>
      <c r="AC42" s="260">
        <v>1</v>
      </c>
      <c r="AD42" s="260">
        <v>0.62654583586553059</v>
      </c>
      <c r="AE42" s="260">
        <v>0.96917362707320287</v>
      </c>
      <c r="AF42" s="260">
        <v>0.90126680992916386</v>
      </c>
      <c r="AG42" s="260" t="s">
        <v>237</v>
      </c>
      <c r="AH42" s="260">
        <v>0.97495451114148557</v>
      </c>
    </row>
    <row r="43" spans="2:34">
      <c r="B43" s="427" t="s">
        <v>328</v>
      </c>
      <c r="C43" s="477">
        <v>0.8056203383994045</v>
      </c>
      <c r="D43" s="263" t="s">
        <v>237</v>
      </c>
      <c r="E43" s="263">
        <v>0.41878584423248633</v>
      </c>
      <c r="F43" s="263" t="s">
        <v>237</v>
      </c>
      <c r="G43" s="263">
        <v>1</v>
      </c>
      <c r="H43" s="263">
        <v>0.8832925149831854</v>
      </c>
      <c r="I43" s="263" t="s">
        <v>237</v>
      </c>
      <c r="J43" s="263">
        <v>0.57888785108629959</v>
      </c>
      <c r="K43" s="263" t="s">
        <v>237</v>
      </c>
      <c r="L43" s="263" t="s">
        <v>237</v>
      </c>
      <c r="M43" s="263">
        <v>0.99687654645359569</v>
      </c>
      <c r="N43" s="263" t="s">
        <v>237</v>
      </c>
      <c r="O43" s="263" t="s">
        <v>237</v>
      </c>
      <c r="P43" s="263" t="s">
        <v>237</v>
      </c>
      <c r="Q43" s="263" t="s">
        <v>237</v>
      </c>
      <c r="R43" s="263" t="s">
        <v>237</v>
      </c>
      <c r="S43" s="263" t="s">
        <v>237</v>
      </c>
      <c r="T43" s="263" t="s">
        <v>237</v>
      </c>
      <c r="U43" s="263" t="s">
        <v>237</v>
      </c>
      <c r="V43" s="263" t="s">
        <v>237</v>
      </c>
      <c r="W43" s="263" t="s">
        <v>237</v>
      </c>
      <c r="X43" s="263" t="s">
        <v>237</v>
      </c>
      <c r="Y43" s="263" t="s">
        <v>237</v>
      </c>
      <c r="Z43" s="263" t="s">
        <v>237</v>
      </c>
      <c r="AA43" s="263" t="s">
        <v>237</v>
      </c>
      <c r="AB43" s="263">
        <v>0.93382660340783541</v>
      </c>
      <c r="AC43" s="263">
        <v>0.89906114277797355</v>
      </c>
      <c r="AD43" s="263" t="s">
        <v>237</v>
      </c>
      <c r="AE43" s="263" t="s">
        <v>237</v>
      </c>
      <c r="AF43" s="263" t="s">
        <v>237</v>
      </c>
      <c r="AG43" s="263" t="s">
        <v>237</v>
      </c>
      <c r="AH43" s="263" t="s">
        <v>237</v>
      </c>
    </row>
    <row r="44" spans="2:34">
      <c r="B44" s="429" t="s">
        <v>329</v>
      </c>
      <c r="C44" s="478">
        <v>0.35593533888929202</v>
      </c>
      <c r="D44" s="260" t="s">
        <v>237</v>
      </c>
      <c r="E44" s="260" t="s">
        <v>237</v>
      </c>
      <c r="F44" s="260" t="s">
        <v>237</v>
      </c>
      <c r="G44" s="260" t="s">
        <v>237</v>
      </c>
      <c r="H44" s="260" t="s">
        <v>237</v>
      </c>
      <c r="I44" s="260" t="s">
        <v>237</v>
      </c>
      <c r="J44" s="260" t="s">
        <v>237</v>
      </c>
      <c r="K44" s="260" t="s">
        <v>237</v>
      </c>
      <c r="L44" s="260" t="s">
        <v>237</v>
      </c>
      <c r="M44" s="260" t="s">
        <v>237</v>
      </c>
      <c r="N44" s="260" t="s">
        <v>237</v>
      </c>
      <c r="O44" s="260" t="s">
        <v>237</v>
      </c>
      <c r="P44" s="260">
        <v>0</v>
      </c>
      <c r="Q44" s="260">
        <v>0.16454797194252471</v>
      </c>
      <c r="R44" s="260" t="s">
        <v>237</v>
      </c>
      <c r="S44" s="260">
        <v>3.7810234268521807E-2</v>
      </c>
      <c r="T44" s="260">
        <v>0.84475884595755935</v>
      </c>
      <c r="U44" s="260">
        <v>0.26392726459284832</v>
      </c>
      <c r="V44" s="260">
        <v>2.4504228166619652E-2</v>
      </c>
      <c r="W44" s="260" t="s">
        <v>237</v>
      </c>
      <c r="X44" s="260">
        <v>5.392289216932146E-2</v>
      </c>
      <c r="Y44" s="260">
        <v>0.63211714991472312</v>
      </c>
      <c r="Z44" s="260" t="s">
        <v>237</v>
      </c>
      <c r="AA44" s="260">
        <v>0.99765572626252208</v>
      </c>
      <c r="AB44" s="260" t="s">
        <v>237</v>
      </c>
      <c r="AC44" s="260" t="s">
        <v>237</v>
      </c>
      <c r="AD44" s="260" t="s">
        <v>237</v>
      </c>
      <c r="AE44" s="260" t="s">
        <v>237</v>
      </c>
      <c r="AF44" s="260" t="s">
        <v>237</v>
      </c>
      <c r="AG44" s="260" t="s">
        <v>237</v>
      </c>
      <c r="AH44" s="260" t="s">
        <v>237</v>
      </c>
    </row>
    <row r="45" spans="2:34">
      <c r="B45" s="427" t="s">
        <v>330</v>
      </c>
      <c r="C45" s="477">
        <v>0.87258173476452261</v>
      </c>
      <c r="D45" s="263" t="s">
        <v>237</v>
      </c>
      <c r="E45" s="263" t="s">
        <v>237</v>
      </c>
      <c r="F45" s="263" t="s">
        <v>237</v>
      </c>
      <c r="G45" s="263" t="s">
        <v>237</v>
      </c>
      <c r="H45" s="263" t="s">
        <v>237</v>
      </c>
      <c r="I45" s="263" t="s">
        <v>237</v>
      </c>
      <c r="J45" s="263" t="s">
        <v>237</v>
      </c>
      <c r="K45" s="263" t="s">
        <v>237</v>
      </c>
      <c r="L45" s="263" t="s">
        <v>237</v>
      </c>
      <c r="M45" s="263" t="s">
        <v>237</v>
      </c>
      <c r="N45" s="263" t="s">
        <v>237</v>
      </c>
      <c r="O45" s="263" t="s">
        <v>237</v>
      </c>
      <c r="P45" s="263" t="s">
        <v>237</v>
      </c>
      <c r="Q45" s="263" t="s">
        <v>237</v>
      </c>
      <c r="R45" s="263" t="s">
        <v>237</v>
      </c>
      <c r="S45" s="263" t="s">
        <v>237</v>
      </c>
      <c r="T45" s="263" t="s">
        <v>237</v>
      </c>
      <c r="U45" s="263" t="s">
        <v>237</v>
      </c>
      <c r="V45" s="263">
        <v>0.88640679940066713</v>
      </c>
      <c r="W45" s="263" t="s">
        <v>237</v>
      </c>
      <c r="X45" s="263">
        <v>0.2350413672996747</v>
      </c>
      <c r="Y45" s="263">
        <v>1</v>
      </c>
      <c r="Z45" s="263" t="s">
        <v>237</v>
      </c>
      <c r="AA45" s="263" t="s">
        <v>237</v>
      </c>
      <c r="AB45" s="263" t="s">
        <v>237</v>
      </c>
      <c r="AC45" s="263">
        <v>0.89471815114741171</v>
      </c>
      <c r="AD45" s="263">
        <v>0.58872224409773355</v>
      </c>
      <c r="AE45" s="263">
        <v>0.91350146928550968</v>
      </c>
      <c r="AF45" s="263">
        <v>0.91847613721609489</v>
      </c>
      <c r="AG45" s="263" t="s">
        <v>237</v>
      </c>
      <c r="AH45" s="263" t="s">
        <v>237</v>
      </c>
    </row>
    <row r="46" spans="2:34">
      <c r="B46" s="429" t="s">
        <v>332</v>
      </c>
      <c r="C46" s="478">
        <v>0.69947863068763827</v>
      </c>
      <c r="D46" s="260">
        <v>0.81235380019705727</v>
      </c>
      <c r="E46" s="260">
        <v>1</v>
      </c>
      <c r="F46" s="260" t="s">
        <v>237</v>
      </c>
      <c r="G46" s="260">
        <v>1</v>
      </c>
      <c r="H46" s="260" t="s">
        <v>237</v>
      </c>
      <c r="I46" s="260">
        <v>0.95540655300128119</v>
      </c>
      <c r="J46" s="260" t="s">
        <v>237</v>
      </c>
      <c r="K46" s="260">
        <v>0.50079609471078446</v>
      </c>
      <c r="L46" s="260" t="s">
        <v>237</v>
      </c>
      <c r="M46" s="260">
        <v>0.96628591758592752</v>
      </c>
      <c r="N46" s="260" t="s">
        <v>237</v>
      </c>
      <c r="O46" s="260">
        <v>0.86844557703862391</v>
      </c>
      <c r="P46" s="260" t="s">
        <v>237</v>
      </c>
      <c r="Q46" s="260" t="s">
        <v>237</v>
      </c>
      <c r="R46" s="260">
        <v>0.34747926332669898</v>
      </c>
      <c r="S46" s="260">
        <v>0.75842339881969911</v>
      </c>
      <c r="T46" s="260">
        <v>1</v>
      </c>
      <c r="U46" s="260" t="s">
        <v>237</v>
      </c>
      <c r="V46" s="260">
        <v>0.93672298387775521</v>
      </c>
      <c r="W46" s="260" t="s">
        <v>237</v>
      </c>
      <c r="X46" s="260">
        <v>0.96638478131698224</v>
      </c>
      <c r="Y46" s="260">
        <v>0.31205746572974918</v>
      </c>
      <c r="Z46" s="260">
        <v>0.58369798242397875</v>
      </c>
      <c r="AA46" s="260">
        <v>0.94219744093049973</v>
      </c>
      <c r="AB46" s="260">
        <v>0.71117879765123193</v>
      </c>
      <c r="AC46" s="260">
        <v>0.2960857495358859</v>
      </c>
      <c r="AD46" s="260">
        <v>0.67846207847514517</v>
      </c>
      <c r="AE46" s="260" t="s">
        <v>237</v>
      </c>
      <c r="AF46" s="260" t="s">
        <v>237</v>
      </c>
      <c r="AG46" s="260">
        <v>0.91169383306276619</v>
      </c>
      <c r="AH46" s="260" t="s">
        <v>237</v>
      </c>
    </row>
    <row r="47" spans="2:34">
      <c r="B47" s="427" t="s">
        <v>333</v>
      </c>
      <c r="C47" s="477">
        <v>0.85324771845029013</v>
      </c>
      <c r="D47" s="263">
        <v>0.9598154270082484</v>
      </c>
      <c r="E47" s="263" t="s">
        <v>237</v>
      </c>
      <c r="F47" s="263" t="s">
        <v>237</v>
      </c>
      <c r="G47" s="263" t="s">
        <v>237</v>
      </c>
      <c r="H47" s="263" t="s">
        <v>237</v>
      </c>
      <c r="I47" s="263" t="s">
        <v>237</v>
      </c>
      <c r="J47" s="263" t="s">
        <v>237</v>
      </c>
      <c r="K47" s="263" t="s">
        <v>237</v>
      </c>
      <c r="L47" s="263" t="s">
        <v>237</v>
      </c>
      <c r="M47" s="263" t="s">
        <v>237</v>
      </c>
      <c r="N47" s="263" t="s">
        <v>237</v>
      </c>
      <c r="O47" s="263" t="s">
        <v>237</v>
      </c>
      <c r="P47" s="263">
        <v>0.6892335687598159</v>
      </c>
      <c r="Q47" s="263" t="s">
        <v>237</v>
      </c>
      <c r="R47" s="263" t="s">
        <v>237</v>
      </c>
      <c r="S47" s="263" t="s">
        <v>237</v>
      </c>
      <c r="T47" s="263">
        <v>1</v>
      </c>
      <c r="U47" s="263" t="s">
        <v>237</v>
      </c>
      <c r="V47" s="263">
        <v>0.95354306957140811</v>
      </c>
      <c r="W47" s="263" t="s">
        <v>237</v>
      </c>
      <c r="X47" s="263" t="s">
        <v>237</v>
      </c>
      <c r="Y47" s="263" t="s">
        <v>237</v>
      </c>
      <c r="Z47" s="263" t="s">
        <v>237</v>
      </c>
      <c r="AA47" s="263" t="s">
        <v>237</v>
      </c>
      <c r="AB47" s="263" t="s">
        <v>237</v>
      </c>
      <c r="AC47" s="263" t="s">
        <v>237</v>
      </c>
      <c r="AD47" s="263" t="s">
        <v>237</v>
      </c>
      <c r="AE47" s="263" t="s">
        <v>237</v>
      </c>
      <c r="AF47" s="263" t="s">
        <v>237</v>
      </c>
      <c r="AG47" s="263" t="s">
        <v>237</v>
      </c>
      <c r="AH47" s="263" t="s">
        <v>237</v>
      </c>
    </row>
    <row r="48" spans="2:34">
      <c r="B48" s="429" t="s">
        <v>334</v>
      </c>
      <c r="C48" s="478">
        <v>0.6746874516789283</v>
      </c>
      <c r="D48" s="260" t="s">
        <v>237</v>
      </c>
      <c r="E48" s="260">
        <v>0.84335113100099923</v>
      </c>
      <c r="F48" s="260" t="s">
        <v>237</v>
      </c>
      <c r="G48" s="260">
        <v>0.81981922118802997</v>
      </c>
      <c r="H48" s="260">
        <v>0.98499020522333547</v>
      </c>
      <c r="I48" s="260" t="s">
        <v>237</v>
      </c>
      <c r="J48" s="260" t="s">
        <v>237</v>
      </c>
      <c r="K48" s="260" t="s">
        <v>237</v>
      </c>
      <c r="L48" s="260">
        <v>0.52843132596587605</v>
      </c>
      <c r="M48" s="260">
        <v>1</v>
      </c>
      <c r="N48" s="260">
        <v>1</v>
      </c>
      <c r="O48" s="260" t="s">
        <v>237</v>
      </c>
      <c r="P48" s="260" t="s">
        <v>237</v>
      </c>
      <c r="Q48" s="260" t="s">
        <v>237</v>
      </c>
      <c r="R48" s="260" t="s">
        <v>237</v>
      </c>
      <c r="S48" s="260" t="s">
        <v>237</v>
      </c>
      <c r="T48" s="260" t="s">
        <v>237</v>
      </c>
      <c r="U48" s="260" t="s">
        <v>237</v>
      </c>
      <c r="V48" s="260" t="s">
        <v>237</v>
      </c>
      <c r="W48" s="260" t="s">
        <v>237</v>
      </c>
      <c r="X48" s="260">
        <v>0.95184313110292307</v>
      </c>
      <c r="Y48" s="260" t="s">
        <v>237</v>
      </c>
      <c r="Z48" s="260">
        <v>0.1755228493656969</v>
      </c>
      <c r="AA48" s="260" t="s">
        <v>237</v>
      </c>
      <c r="AB48" s="260">
        <v>0.26685870737478479</v>
      </c>
      <c r="AC48" s="260">
        <v>0.58780028957882802</v>
      </c>
      <c r="AD48" s="260">
        <v>0.49124349740516782</v>
      </c>
      <c r="AE48" s="260" t="s">
        <v>237</v>
      </c>
      <c r="AF48" s="260" t="s">
        <v>237</v>
      </c>
      <c r="AG48" s="260" t="s">
        <v>237</v>
      </c>
      <c r="AH48" s="260" t="s">
        <v>237</v>
      </c>
    </row>
    <row r="49" spans="1:34">
      <c r="B49" s="427" t="s">
        <v>335</v>
      </c>
      <c r="C49" s="477">
        <v>0.63557783675569002</v>
      </c>
      <c r="D49" s="263" t="s">
        <v>237</v>
      </c>
      <c r="E49" s="263" t="s">
        <v>237</v>
      </c>
      <c r="F49" s="263">
        <v>0.21740219399669761</v>
      </c>
      <c r="G49" s="263" t="s">
        <v>237</v>
      </c>
      <c r="H49" s="263" t="s">
        <v>237</v>
      </c>
      <c r="I49" s="263" t="s">
        <v>237</v>
      </c>
      <c r="J49" s="263" t="s">
        <v>237</v>
      </c>
      <c r="K49" s="263" t="s">
        <v>237</v>
      </c>
      <c r="L49" s="263" t="s">
        <v>237</v>
      </c>
      <c r="M49" s="263" t="s">
        <v>237</v>
      </c>
      <c r="N49" s="263" t="s">
        <v>237</v>
      </c>
      <c r="O49" s="263" t="s">
        <v>237</v>
      </c>
      <c r="P49" s="263" t="s">
        <v>237</v>
      </c>
      <c r="Q49" s="263" t="s">
        <v>237</v>
      </c>
      <c r="R49" s="263">
        <v>8.015981983176183E-3</v>
      </c>
      <c r="S49" s="263">
        <v>0.50512652359095134</v>
      </c>
      <c r="T49" s="263">
        <v>0.52126695471292572</v>
      </c>
      <c r="U49" s="263">
        <v>0.48462029316943372</v>
      </c>
      <c r="V49" s="263" t="s">
        <v>237</v>
      </c>
      <c r="W49" s="263">
        <v>0</v>
      </c>
      <c r="X49" s="263">
        <v>0.52427132129648624</v>
      </c>
      <c r="Y49" s="263">
        <v>0.68527426858387441</v>
      </c>
      <c r="Z49" s="263">
        <v>0.47228715352688538</v>
      </c>
      <c r="AA49" s="263" t="s">
        <v>237</v>
      </c>
      <c r="AB49" s="263">
        <v>0.1225500738173611</v>
      </c>
      <c r="AC49" s="263">
        <v>0.795158885381823</v>
      </c>
      <c r="AD49" s="263">
        <v>0.88738251579593619</v>
      </c>
      <c r="AE49" s="263" t="s">
        <v>237</v>
      </c>
      <c r="AF49" s="263">
        <v>0.76951008123619724</v>
      </c>
      <c r="AG49" s="263" t="s">
        <v>237</v>
      </c>
      <c r="AH49" s="263" t="s">
        <v>237</v>
      </c>
    </row>
    <row r="50" spans="1:34">
      <c r="B50" s="429" t="s">
        <v>336</v>
      </c>
      <c r="C50" s="478">
        <v>0.8586802768005557</v>
      </c>
      <c r="D50" s="260" t="s">
        <v>237</v>
      </c>
      <c r="E50" s="260" t="s">
        <v>237</v>
      </c>
      <c r="F50" s="260" t="s">
        <v>237</v>
      </c>
      <c r="G50" s="260" t="s">
        <v>237</v>
      </c>
      <c r="H50" s="260" t="s">
        <v>237</v>
      </c>
      <c r="I50" s="260">
        <v>1</v>
      </c>
      <c r="J50" s="260">
        <v>1</v>
      </c>
      <c r="K50" s="260" t="s">
        <v>237</v>
      </c>
      <c r="L50" s="260" t="s">
        <v>237</v>
      </c>
      <c r="M50" s="260" t="s">
        <v>237</v>
      </c>
      <c r="N50" s="260" t="s">
        <v>237</v>
      </c>
      <c r="O50" s="260" t="s">
        <v>237</v>
      </c>
      <c r="P50" s="260">
        <v>0.49977080629604548</v>
      </c>
      <c r="Q50" s="260" t="s">
        <v>237</v>
      </c>
      <c r="R50" s="260">
        <v>1</v>
      </c>
      <c r="S50" s="260" t="s">
        <v>237</v>
      </c>
      <c r="T50" s="260">
        <v>0.98663751790682552</v>
      </c>
      <c r="U50" s="260" t="s">
        <v>237</v>
      </c>
      <c r="V50" s="260">
        <v>0.73488891108235821</v>
      </c>
      <c r="W50" s="260" t="s">
        <v>237</v>
      </c>
      <c r="X50" s="260" t="s">
        <v>237</v>
      </c>
      <c r="Y50" s="260" t="s">
        <v>237</v>
      </c>
      <c r="Z50" s="260" t="s">
        <v>237</v>
      </c>
      <c r="AA50" s="260" t="s">
        <v>237</v>
      </c>
      <c r="AB50" s="260" t="s">
        <v>237</v>
      </c>
      <c r="AC50" s="260">
        <v>0.79390014478941406</v>
      </c>
      <c r="AD50" s="260" t="s">
        <v>237</v>
      </c>
      <c r="AE50" s="260">
        <v>0.99565441322347326</v>
      </c>
      <c r="AF50" s="260" t="s">
        <v>237</v>
      </c>
      <c r="AG50" s="260" t="s">
        <v>237</v>
      </c>
      <c r="AH50" s="260" t="s">
        <v>237</v>
      </c>
    </row>
    <row r="51" spans="1:34">
      <c r="B51" s="427" t="s">
        <v>338</v>
      </c>
      <c r="C51" s="477">
        <v>0.76780629364010977</v>
      </c>
      <c r="D51" s="263" t="s">
        <v>237</v>
      </c>
      <c r="E51" s="263" t="s">
        <v>237</v>
      </c>
      <c r="F51" s="263" t="s">
        <v>237</v>
      </c>
      <c r="G51" s="263" t="s">
        <v>237</v>
      </c>
      <c r="H51" s="263" t="s">
        <v>237</v>
      </c>
      <c r="I51" s="263">
        <v>0.99552728737335494</v>
      </c>
      <c r="J51" s="263" t="s">
        <v>237</v>
      </c>
      <c r="K51" s="263" t="s">
        <v>237</v>
      </c>
      <c r="L51" s="263" t="s">
        <v>237</v>
      </c>
      <c r="M51" s="263" t="s">
        <v>237</v>
      </c>
      <c r="N51" s="263" t="s">
        <v>237</v>
      </c>
      <c r="O51" s="263" t="s">
        <v>237</v>
      </c>
      <c r="P51" s="263">
        <v>0.59657617761818116</v>
      </c>
      <c r="Q51" s="263">
        <v>0.84996558801640987</v>
      </c>
      <c r="R51" s="263">
        <v>0.74548555107714276</v>
      </c>
      <c r="S51" s="263">
        <v>0.15107227063806389</v>
      </c>
      <c r="T51" s="263">
        <v>0.80060172783189709</v>
      </c>
      <c r="U51" s="263" t="s">
        <v>237</v>
      </c>
      <c r="V51" s="263" t="s">
        <v>237</v>
      </c>
      <c r="W51" s="263">
        <v>1</v>
      </c>
      <c r="X51" s="263" t="s">
        <v>237</v>
      </c>
      <c r="Y51" s="263" t="s">
        <v>237</v>
      </c>
      <c r="Z51" s="263" t="s">
        <v>237</v>
      </c>
      <c r="AA51" s="263" t="s">
        <v>237</v>
      </c>
      <c r="AB51" s="263" t="s">
        <v>237</v>
      </c>
      <c r="AC51" s="263" t="s">
        <v>237</v>
      </c>
      <c r="AD51" s="263" t="s">
        <v>237</v>
      </c>
      <c r="AE51" s="263" t="s">
        <v>237</v>
      </c>
      <c r="AF51" s="263" t="s">
        <v>237</v>
      </c>
      <c r="AG51" s="263" t="s">
        <v>237</v>
      </c>
      <c r="AH51" s="263" t="s">
        <v>237</v>
      </c>
    </row>
    <row r="52" spans="1:34">
      <c r="B52" s="429" t="s">
        <v>340</v>
      </c>
      <c r="C52" s="478">
        <v>0.79596089680636506</v>
      </c>
      <c r="D52" s="260" t="s">
        <v>237</v>
      </c>
      <c r="E52" s="260" t="s">
        <v>237</v>
      </c>
      <c r="F52" s="260" t="s">
        <v>237</v>
      </c>
      <c r="G52" s="260" t="s">
        <v>237</v>
      </c>
      <c r="H52" s="260">
        <v>1</v>
      </c>
      <c r="I52" s="260" t="s">
        <v>237</v>
      </c>
      <c r="J52" s="260">
        <v>0.85582750118643791</v>
      </c>
      <c r="K52" s="260">
        <v>0.96667215581371591</v>
      </c>
      <c r="L52" s="260" t="s">
        <v>237</v>
      </c>
      <c r="M52" s="260">
        <v>0.51150186008044007</v>
      </c>
      <c r="N52" s="260" t="s">
        <v>237</v>
      </c>
      <c r="O52" s="260" t="s">
        <v>237</v>
      </c>
      <c r="P52" s="260" t="s">
        <v>237</v>
      </c>
      <c r="Q52" s="260" t="s">
        <v>237</v>
      </c>
      <c r="R52" s="260">
        <v>0.79050271221355284</v>
      </c>
      <c r="S52" s="260" t="s">
        <v>237</v>
      </c>
      <c r="T52" s="260" t="s">
        <v>237</v>
      </c>
      <c r="U52" s="260">
        <v>0.91179113259219413</v>
      </c>
      <c r="V52" s="260" t="s">
        <v>237</v>
      </c>
      <c r="W52" s="260">
        <v>0.97901193464881131</v>
      </c>
      <c r="X52" s="260">
        <v>0.23446718406268119</v>
      </c>
      <c r="Y52" s="260" t="s">
        <v>237</v>
      </c>
      <c r="Z52" s="260" t="s">
        <v>237</v>
      </c>
      <c r="AA52" s="260" t="s">
        <v>237</v>
      </c>
      <c r="AB52" s="260" t="s">
        <v>237</v>
      </c>
      <c r="AC52" s="260" t="s">
        <v>237</v>
      </c>
      <c r="AD52" s="260" t="s">
        <v>237</v>
      </c>
      <c r="AE52" s="260" t="s">
        <v>237</v>
      </c>
      <c r="AF52" s="260" t="s">
        <v>237</v>
      </c>
      <c r="AG52" s="260" t="s">
        <v>237</v>
      </c>
      <c r="AH52" s="260" t="s">
        <v>237</v>
      </c>
    </row>
    <row r="53" spans="1:34">
      <c r="B53" s="427" t="s">
        <v>343</v>
      </c>
      <c r="C53" s="477">
        <v>0.70691779790352949</v>
      </c>
      <c r="D53" s="263" t="s">
        <v>237</v>
      </c>
      <c r="E53" s="263">
        <v>0.108390474141896</v>
      </c>
      <c r="F53" s="263">
        <v>0.6703579729167769</v>
      </c>
      <c r="G53" s="263" t="s">
        <v>237</v>
      </c>
      <c r="H53" s="263" t="s">
        <v>237</v>
      </c>
      <c r="I53" s="263">
        <v>0.16403838769078929</v>
      </c>
      <c r="J53" s="263" t="s">
        <v>237</v>
      </c>
      <c r="K53" s="263">
        <v>0.53271009855183427</v>
      </c>
      <c r="L53" s="263" t="s">
        <v>237</v>
      </c>
      <c r="M53" s="263">
        <v>1</v>
      </c>
      <c r="N53" s="263">
        <v>0.35486871873983711</v>
      </c>
      <c r="O53" s="263">
        <v>0.89755990637169869</v>
      </c>
      <c r="P53" s="263" t="s">
        <v>237</v>
      </c>
      <c r="Q53" s="263" t="s">
        <v>237</v>
      </c>
      <c r="R53" s="263" t="s">
        <v>237</v>
      </c>
      <c r="S53" s="263">
        <v>0.9683620101842495</v>
      </c>
      <c r="T53" s="263" t="s">
        <v>237</v>
      </c>
      <c r="U53" s="263" t="s">
        <v>237</v>
      </c>
      <c r="V53" s="263" t="s">
        <v>237</v>
      </c>
      <c r="W53" s="263" t="s">
        <v>237</v>
      </c>
      <c r="X53" s="263" t="s">
        <v>237</v>
      </c>
      <c r="Y53" s="263" t="s">
        <v>237</v>
      </c>
      <c r="Z53" s="263">
        <v>0.71050089277366679</v>
      </c>
      <c r="AA53" s="263" t="s">
        <v>237</v>
      </c>
      <c r="AB53" s="263" t="s">
        <v>237</v>
      </c>
      <c r="AC53" s="263" t="s">
        <v>237</v>
      </c>
      <c r="AD53" s="263">
        <v>0.9739898097104871</v>
      </c>
      <c r="AE53" s="263">
        <v>0.9920593697194825</v>
      </c>
      <c r="AF53" s="263" t="s">
        <v>237</v>
      </c>
      <c r="AG53" s="263">
        <v>0.99498340527926099</v>
      </c>
      <c r="AH53" s="263" t="s">
        <v>237</v>
      </c>
    </row>
    <row r="54" spans="1:34" hidden="1" outlineLevel="1">
      <c r="B54" s="196">
        <v>0</v>
      </c>
      <c r="C54" s="197" t="s">
        <v>237</v>
      </c>
      <c r="D54" s="259" t="s">
        <v>237</v>
      </c>
      <c r="E54" s="260" t="s">
        <v>237</v>
      </c>
      <c r="F54" s="260" t="s">
        <v>237</v>
      </c>
      <c r="G54" s="260" t="s">
        <v>237</v>
      </c>
      <c r="H54" s="260" t="s">
        <v>237</v>
      </c>
      <c r="I54" s="260" t="s">
        <v>237</v>
      </c>
      <c r="J54" s="260" t="s">
        <v>237</v>
      </c>
      <c r="K54" s="260" t="s">
        <v>237</v>
      </c>
      <c r="L54" s="260" t="s">
        <v>237</v>
      </c>
      <c r="M54" s="260" t="s">
        <v>237</v>
      </c>
      <c r="N54" s="260" t="s">
        <v>237</v>
      </c>
      <c r="O54" s="260" t="s">
        <v>237</v>
      </c>
      <c r="P54" s="260" t="s">
        <v>237</v>
      </c>
      <c r="Q54" s="260" t="s">
        <v>237</v>
      </c>
      <c r="R54" s="260" t="s">
        <v>237</v>
      </c>
      <c r="S54" s="260" t="s">
        <v>237</v>
      </c>
      <c r="T54" s="260" t="s">
        <v>237</v>
      </c>
      <c r="U54" s="260" t="s">
        <v>237</v>
      </c>
      <c r="V54" s="260" t="s">
        <v>237</v>
      </c>
      <c r="W54" s="260" t="s">
        <v>237</v>
      </c>
      <c r="X54" s="260" t="s">
        <v>237</v>
      </c>
      <c r="Y54" s="260" t="s">
        <v>237</v>
      </c>
      <c r="Z54" s="260" t="s">
        <v>237</v>
      </c>
      <c r="AA54" s="260" t="s">
        <v>237</v>
      </c>
      <c r="AB54" s="260" t="s">
        <v>237</v>
      </c>
      <c r="AC54" s="260" t="s">
        <v>237</v>
      </c>
      <c r="AD54" s="260" t="s">
        <v>237</v>
      </c>
      <c r="AE54" s="260" t="s">
        <v>237</v>
      </c>
      <c r="AF54" s="260" t="s">
        <v>237</v>
      </c>
      <c r="AG54" s="260" t="s">
        <v>237</v>
      </c>
      <c r="AH54" s="261" t="s">
        <v>237</v>
      </c>
    </row>
    <row r="55" spans="1:34" ht="15" hidden="1" outlineLevel="1" collapsed="1" thickBot="1"/>
    <row r="56" spans="1:34" ht="43.8" hidden="1" outlineLevel="1" thickBot="1">
      <c r="B56" s="127" t="s">
        <v>124</v>
      </c>
      <c r="C56" s="136" t="s">
        <v>14</v>
      </c>
      <c r="D56" s="287">
        <v>1994</v>
      </c>
      <c r="E56" s="288">
        <v>1995</v>
      </c>
      <c r="F56" s="288">
        <v>1996</v>
      </c>
      <c r="G56" s="288">
        <v>1997</v>
      </c>
      <c r="H56" s="288">
        <v>1998</v>
      </c>
      <c r="I56" s="288">
        <v>1999</v>
      </c>
      <c r="J56" s="288">
        <v>2000</v>
      </c>
      <c r="K56" s="288">
        <v>2001</v>
      </c>
      <c r="L56" s="288">
        <v>2002</v>
      </c>
      <c r="M56" s="288">
        <v>2003</v>
      </c>
      <c r="N56" s="288">
        <v>2004</v>
      </c>
      <c r="O56" s="288">
        <v>2005</v>
      </c>
      <c r="P56" s="288">
        <v>2006</v>
      </c>
      <c r="Q56" s="288">
        <v>2007</v>
      </c>
      <c r="R56" s="288">
        <v>2008</v>
      </c>
      <c r="S56" s="288">
        <v>2009</v>
      </c>
      <c r="T56" s="288">
        <v>2010</v>
      </c>
      <c r="U56" s="288">
        <v>2011</v>
      </c>
      <c r="V56" s="288">
        <v>2012</v>
      </c>
      <c r="W56" s="288">
        <v>2013</v>
      </c>
      <c r="X56" s="288">
        <v>2014</v>
      </c>
      <c r="Y56" s="288">
        <v>2015</v>
      </c>
      <c r="Z56" s="288">
        <v>2016</v>
      </c>
      <c r="AA56" s="288">
        <v>2017</v>
      </c>
      <c r="AB56" s="288">
        <v>2018</v>
      </c>
      <c r="AC56" s="288">
        <v>2019</v>
      </c>
      <c r="AD56" s="288">
        <v>2020</v>
      </c>
      <c r="AE56" s="288">
        <v>2021</v>
      </c>
      <c r="AF56" s="288">
        <v>2022</v>
      </c>
      <c r="AG56" s="288">
        <v>2023</v>
      </c>
      <c r="AH56" s="289">
        <v>2024</v>
      </c>
    </row>
    <row r="57" spans="1:34" hidden="1" outlineLevel="1">
      <c r="A57" s="365"/>
      <c r="B57" s="86">
        <v>0</v>
      </c>
      <c r="C57" s="132" t="s">
        <v>237</v>
      </c>
      <c r="D57" s="256" t="s">
        <v>237</v>
      </c>
      <c r="E57" s="257" t="s">
        <v>237</v>
      </c>
      <c r="F57" s="257" t="s">
        <v>237</v>
      </c>
      <c r="G57" s="257" t="s">
        <v>237</v>
      </c>
      <c r="H57" s="257" t="s">
        <v>237</v>
      </c>
      <c r="I57" s="257" t="s">
        <v>237</v>
      </c>
      <c r="J57" s="257" t="s">
        <v>237</v>
      </c>
      <c r="K57" s="257" t="s">
        <v>237</v>
      </c>
      <c r="L57" s="257" t="s">
        <v>237</v>
      </c>
      <c r="M57" s="257" t="s">
        <v>237</v>
      </c>
      <c r="N57" s="257" t="s">
        <v>237</v>
      </c>
      <c r="O57" s="257" t="s">
        <v>237</v>
      </c>
      <c r="P57" s="257" t="s">
        <v>237</v>
      </c>
      <c r="Q57" s="257" t="s">
        <v>237</v>
      </c>
      <c r="R57" s="257" t="s">
        <v>237</v>
      </c>
      <c r="S57" s="257" t="s">
        <v>237</v>
      </c>
      <c r="T57" s="257" t="s">
        <v>237</v>
      </c>
      <c r="U57" s="257" t="s">
        <v>237</v>
      </c>
      <c r="V57" s="257" t="s">
        <v>237</v>
      </c>
      <c r="W57" s="257" t="s">
        <v>237</v>
      </c>
      <c r="X57" s="257" t="s">
        <v>237</v>
      </c>
      <c r="Y57" s="257" t="s">
        <v>237</v>
      </c>
      <c r="Z57" s="257" t="s">
        <v>237</v>
      </c>
      <c r="AA57" s="257" t="s">
        <v>237</v>
      </c>
      <c r="AB57" s="257" t="s">
        <v>237</v>
      </c>
      <c r="AC57" s="257" t="s">
        <v>237</v>
      </c>
      <c r="AD57" s="257" t="s">
        <v>237</v>
      </c>
      <c r="AE57" s="257" t="s">
        <v>237</v>
      </c>
      <c r="AF57" s="257" t="s">
        <v>237</v>
      </c>
      <c r="AG57" s="257" t="s">
        <v>237</v>
      </c>
      <c r="AH57" s="258" t="s">
        <v>237</v>
      </c>
    </row>
    <row r="58" spans="1:34" hidden="1" outlineLevel="1">
      <c r="B58" s="196">
        <v>0</v>
      </c>
      <c r="C58" s="197" t="s">
        <v>237</v>
      </c>
      <c r="D58" s="259" t="s">
        <v>237</v>
      </c>
      <c r="E58" s="260" t="s">
        <v>237</v>
      </c>
      <c r="F58" s="260" t="s">
        <v>237</v>
      </c>
      <c r="G58" s="260" t="s">
        <v>237</v>
      </c>
      <c r="H58" s="260" t="s">
        <v>237</v>
      </c>
      <c r="I58" s="260" t="s">
        <v>237</v>
      </c>
      <c r="J58" s="260" t="s">
        <v>237</v>
      </c>
      <c r="K58" s="260" t="s">
        <v>237</v>
      </c>
      <c r="L58" s="260" t="s">
        <v>237</v>
      </c>
      <c r="M58" s="260" t="s">
        <v>237</v>
      </c>
      <c r="N58" s="260" t="s">
        <v>237</v>
      </c>
      <c r="O58" s="260" t="s">
        <v>237</v>
      </c>
      <c r="P58" s="260" t="s">
        <v>237</v>
      </c>
      <c r="Q58" s="260" t="s">
        <v>237</v>
      </c>
      <c r="R58" s="260" t="s">
        <v>237</v>
      </c>
      <c r="S58" s="260" t="s">
        <v>237</v>
      </c>
      <c r="T58" s="260" t="s">
        <v>237</v>
      </c>
      <c r="U58" s="260" t="s">
        <v>237</v>
      </c>
      <c r="V58" s="260" t="s">
        <v>237</v>
      </c>
      <c r="W58" s="260" t="s">
        <v>237</v>
      </c>
      <c r="X58" s="260" t="s">
        <v>237</v>
      </c>
      <c r="Y58" s="260" t="s">
        <v>237</v>
      </c>
      <c r="Z58" s="260" t="s">
        <v>237</v>
      </c>
      <c r="AA58" s="260" t="s">
        <v>237</v>
      </c>
      <c r="AB58" s="260" t="s">
        <v>237</v>
      </c>
      <c r="AC58" s="260" t="s">
        <v>237</v>
      </c>
      <c r="AD58" s="260" t="s">
        <v>237</v>
      </c>
      <c r="AE58" s="260" t="s">
        <v>237</v>
      </c>
      <c r="AF58" s="260" t="s">
        <v>237</v>
      </c>
      <c r="AG58" s="260" t="s">
        <v>237</v>
      </c>
      <c r="AH58" s="261" t="s">
        <v>237</v>
      </c>
    </row>
    <row r="59" spans="1:34" hidden="1" outlineLevel="1">
      <c r="B59" s="87">
        <v>0</v>
      </c>
      <c r="C59" s="133" t="s">
        <v>237</v>
      </c>
      <c r="D59" s="262" t="s">
        <v>237</v>
      </c>
      <c r="E59" s="263" t="s">
        <v>237</v>
      </c>
      <c r="F59" s="263" t="s">
        <v>237</v>
      </c>
      <c r="G59" s="263" t="s">
        <v>237</v>
      </c>
      <c r="H59" s="263" t="s">
        <v>237</v>
      </c>
      <c r="I59" s="263" t="s">
        <v>237</v>
      </c>
      <c r="J59" s="263" t="s">
        <v>237</v>
      </c>
      <c r="K59" s="263" t="s">
        <v>237</v>
      </c>
      <c r="L59" s="263" t="s">
        <v>237</v>
      </c>
      <c r="M59" s="263" t="s">
        <v>237</v>
      </c>
      <c r="N59" s="263" t="s">
        <v>237</v>
      </c>
      <c r="O59" s="263" t="s">
        <v>237</v>
      </c>
      <c r="P59" s="263" t="s">
        <v>237</v>
      </c>
      <c r="Q59" s="263" t="s">
        <v>237</v>
      </c>
      <c r="R59" s="263" t="s">
        <v>237</v>
      </c>
      <c r="S59" s="263" t="s">
        <v>237</v>
      </c>
      <c r="T59" s="263" t="s">
        <v>237</v>
      </c>
      <c r="U59" s="263" t="s">
        <v>237</v>
      </c>
      <c r="V59" s="263" t="s">
        <v>237</v>
      </c>
      <c r="W59" s="263" t="s">
        <v>237</v>
      </c>
      <c r="X59" s="263" t="s">
        <v>237</v>
      </c>
      <c r="Y59" s="263" t="s">
        <v>237</v>
      </c>
      <c r="Z59" s="263" t="s">
        <v>237</v>
      </c>
      <c r="AA59" s="263" t="s">
        <v>237</v>
      </c>
      <c r="AB59" s="263" t="s">
        <v>237</v>
      </c>
      <c r="AC59" s="263" t="s">
        <v>237</v>
      </c>
      <c r="AD59" s="263" t="s">
        <v>237</v>
      </c>
      <c r="AE59" s="263" t="s">
        <v>237</v>
      </c>
      <c r="AF59" s="263" t="s">
        <v>237</v>
      </c>
      <c r="AG59" s="263" t="s">
        <v>237</v>
      </c>
      <c r="AH59" s="264" t="s">
        <v>237</v>
      </c>
    </row>
    <row r="60" spans="1:34" hidden="1" outlineLevel="1">
      <c r="B60" s="196">
        <v>0</v>
      </c>
      <c r="C60" s="197" t="s">
        <v>237</v>
      </c>
      <c r="D60" s="259" t="s">
        <v>237</v>
      </c>
      <c r="E60" s="260" t="s">
        <v>237</v>
      </c>
      <c r="F60" s="260" t="s">
        <v>237</v>
      </c>
      <c r="G60" s="260" t="s">
        <v>237</v>
      </c>
      <c r="H60" s="260" t="s">
        <v>237</v>
      </c>
      <c r="I60" s="260" t="s">
        <v>237</v>
      </c>
      <c r="J60" s="260" t="s">
        <v>237</v>
      </c>
      <c r="K60" s="260" t="s">
        <v>237</v>
      </c>
      <c r="L60" s="260" t="s">
        <v>237</v>
      </c>
      <c r="M60" s="260" t="s">
        <v>237</v>
      </c>
      <c r="N60" s="260" t="s">
        <v>237</v>
      </c>
      <c r="O60" s="260" t="s">
        <v>237</v>
      </c>
      <c r="P60" s="260" t="s">
        <v>237</v>
      </c>
      <c r="Q60" s="260" t="s">
        <v>237</v>
      </c>
      <c r="R60" s="260" t="s">
        <v>237</v>
      </c>
      <c r="S60" s="260" t="s">
        <v>237</v>
      </c>
      <c r="T60" s="260" t="s">
        <v>237</v>
      </c>
      <c r="U60" s="260" t="s">
        <v>237</v>
      </c>
      <c r="V60" s="260" t="s">
        <v>237</v>
      </c>
      <c r="W60" s="260" t="s">
        <v>237</v>
      </c>
      <c r="X60" s="260" t="s">
        <v>237</v>
      </c>
      <c r="Y60" s="260" t="s">
        <v>237</v>
      </c>
      <c r="Z60" s="260" t="s">
        <v>237</v>
      </c>
      <c r="AA60" s="260" t="s">
        <v>237</v>
      </c>
      <c r="AB60" s="260" t="s">
        <v>237</v>
      </c>
      <c r="AC60" s="260" t="s">
        <v>237</v>
      </c>
      <c r="AD60" s="260" t="s">
        <v>237</v>
      </c>
      <c r="AE60" s="260" t="s">
        <v>237</v>
      </c>
      <c r="AF60" s="260" t="s">
        <v>237</v>
      </c>
      <c r="AG60" s="260" t="s">
        <v>237</v>
      </c>
      <c r="AH60" s="261" t="s">
        <v>237</v>
      </c>
    </row>
    <row r="61" spans="1:34" hidden="1" outlineLevel="1">
      <c r="B61" s="87">
        <v>0</v>
      </c>
      <c r="C61" s="133" t="s">
        <v>237</v>
      </c>
      <c r="D61" s="262" t="s">
        <v>237</v>
      </c>
      <c r="E61" s="263" t="s">
        <v>237</v>
      </c>
      <c r="F61" s="263" t="s">
        <v>237</v>
      </c>
      <c r="G61" s="263" t="s">
        <v>237</v>
      </c>
      <c r="H61" s="263" t="s">
        <v>237</v>
      </c>
      <c r="I61" s="263" t="s">
        <v>237</v>
      </c>
      <c r="J61" s="263" t="s">
        <v>237</v>
      </c>
      <c r="K61" s="263" t="s">
        <v>237</v>
      </c>
      <c r="L61" s="263" t="s">
        <v>237</v>
      </c>
      <c r="M61" s="263" t="s">
        <v>237</v>
      </c>
      <c r="N61" s="263" t="s">
        <v>237</v>
      </c>
      <c r="O61" s="263" t="s">
        <v>237</v>
      </c>
      <c r="P61" s="263" t="s">
        <v>237</v>
      </c>
      <c r="Q61" s="263" t="s">
        <v>237</v>
      </c>
      <c r="R61" s="263" t="s">
        <v>237</v>
      </c>
      <c r="S61" s="263" t="s">
        <v>237</v>
      </c>
      <c r="T61" s="263" t="s">
        <v>237</v>
      </c>
      <c r="U61" s="263" t="s">
        <v>237</v>
      </c>
      <c r="V61" s="263" t="s">
        <v>237</v>
      </c>
      <c r="W61" s="263" t="s">
        <v>237</v>
      </c>
      <c r="X61" s="263" t="s">
        <v>237</v>
      </c>
      <c r="Y61" s="263" t="s">
        <v>237</v>
      </c>
      <c r="Z61" s="263" t="s">
        <v>237</v>
      </c>
      <c r="AA61" s="263" t="s">
        <v>237</v>
      </c>
      <c r="AB61" s="263" t="s">
        <v>237</v>
      </c>
      <c r="AC61" s="263" t="s">
        <v>237</v>
      </c>
      <c r="AD61" s="263" t="s">
        <v>237</v>
      </c>
      <c r="AE61" s="263" t="s">
        <v>237</v>
      </c>
      <c r="AF61" s="263" t="s">
        <v>237</v>
      </c>
      <c r="AG61" s="263" t="s">
        <v>237</v>
      </c>
      <c r="AH61" s="264" t="s">
        <v>237</v>
      </c>
    </row>
    <row r="62" spans="1:34" hidden="1" outlineLevel="1">
      <c r="B62" s="196">
        <v>0</v>
      </c>
      <c r="C62" s="197" t="s">
        <v>237</v>
      </c>
      <c r="D62" s="259" t="s">
        <v>237</v>
      </c>
      <c r="E62" s="260" t="s">
        <v>237</v>
      </c>
      <c r="F62" s="260" t="s">
        <v>237</v>
      </c>
      <c r="G62" s="260" t="s">
        <v>237</v>
      </c>
      <c r="H62" s="260" t="s">
        <v>237</v>
      </c>
      <c r="I62" s="260" t="s">
        <v>237</v>
      </c>
      <c r="J62" s="260" t="s">
        <v>237</v>
      </c>
      <c r="K62" s="260" t="s">
        <v>237</v>
      </c>
      <c r="L62" s="260" t="s">
        <v>237</v>
      </c>
      <c r="M62" s="260" t="s">
        <v>237</v>
      </c>
      <c r="N62" s="260" t="s">
        <v>237</v>
      </c>
      <c r="O62" s="260" t="s">
        <v>237</v>
      </c>
      <c r="P62" s="260" t="s">
        <v>237</v>
      </c>
      <c r="Q62" s="260" t="s">
        <v>237</v>
      </c>
      <c r="R62" s="260" t="s">
        <v>237</v>
      </c>
      <c r="S62" s="260" t="s">
        <v>237</v>
      </c>
      <c r="T62" s="260" t="s">
        <v>237</v>
      </c>
      <c r="U62" s="260" t="s">
        <v>237</v>
      </c>
      <c r="V62" s="260" t="s">
        <v>237</v>
      </c>
      <c r="W62" s="260" t="s">
        <v>237</v>
      </c>
      <c r="X62" s="260" t="s">
        <v>237</v>
      </c>
      <c r="Y62" s="260" t="s">
        <v>237</v>
      </c>
      <c r="Z62" s="260" t="s">
        <v>237</v>
      </c>
      <c r="AA62" s="260" t="s">
        <v>237</v>
      </c>
      <c r="AB62" s="260" t="s">
        <v>237</v>
      </c>
      <c r="AC62" s="260" t="s">
        <v>237</v>
      </c>
      <c r="AD62" s="260" t="s">
        <v>237</v>
      </c>
      <c r="AE62" s="260" t="s">
        <v>237</v>
      </c>
      <c r="AF62" s="260" t="s">
        <v>237</v>
      </c>
      <c r="AG62" s="260" t="s">
        <v>237</v>
      </c>
      <c r="AH62" s="261" t="s">
        <v>237</v>
      </c>
    </row>
    <row r="63" spans="1:34" ht="15" hidden="1" outlineLevel="1" thickBot="1">
      <c r="B63" s="91">
        <v>0</v>
      </c>
      <c r="C63" s="134" t="s">
        <v>237</v>
      </c>
      <c r="D63" s="265" t="s">
        <v>237</v>
      </c>
      <c r="E63" s="266" t="s">
        <v>237</v>
      </c>
      <c r="F63" s="266" t="s">
        <v>237</v>
      </c>
      <c r="G63" s="266" t="s">
        <v>237</v>
      </c>
      <c r="H63" s="266" t="s">
        <v>237</v>
      </c>
      <c r="I63" s="266" t="s">
        <v>237</v>
      </c>
      <c r="J63" s="266" t="s">
        <v>237</v>
      </c>
      <c r="K63" s="266" t="s">
        <v>237</v>
      </c>
      <c r="L63" s="266" t="s">
        <v>237</v>
      </c>
      <c r="M63" s="266" t="s">
        <v>237</v>
      </c>
      <c r="N63" s="266" t="s">
        <v>237</v>
      </c>
      <c r="O63" s="266" t="s">
        <v>237</v>
      </c>
      <c r="P63" s="266" t="s">
        <v>237</v>
      </c>
      <c r="Q63" s="266" t="s">
        <v>237</v>
      </c>
      <c r="R63" s="266" t="s">
        <v>237</v>
      </c>
      <c r="S63" s="266" t="s">
        <v>237</v>
      </c>
      <c r="T63" s="266" t="s">
        <v>237</v>
      </c>
      <c r="U63" s="266" t="s">
        <v>237</v>
      </c>
      <c r="V63" s="266" t="s">
        <v>237</v>
      </c>
      <c r="W63" s="266" t="s">
        <v>237</v>
      </c>
      <c r="X63" s="266" t="s">
        <v>237</v>
      </c>
      <c r="Y63" s="266" t="s">
        <v>237</v>
      </c>
      <c r="Z63" s="266" t="s">
        <v>237</v>
      </c>
      <c r="AA63" s="266" t="s">
        <v>237</v>
      </c>
      <c r="AB63" s="266" t="s">
        <v>237</v>
      </c>
      <c r="AC63" s="266" t="s">
        <v>237</v>
      </c>
      <c r="AD63" s="266" t="s">
        <v>237</v>
      </c>
      <c r="AE63" s="266" t="s">
        <v>237</v>
      </c>
      <c r="AF63" s="266" t="s">
        <v>237</v>
      </c>
      <c r="AG63" s="266" t="s">
        <v>237</v>
      </c>
      <c r="AH63" s="267" t="s">
        <v>237</v>
      </c>
    </row>
    <row r="64" spans="1:34" hidden="1" outlineLevel="1">
      <c r="B64" s="201">
        <v>0</v>
      </c>
      <c r="C64" s="202" t="s">
        <v>237</v>
      </c>
      <c r="D64" s="306" t="s">
        <v>237</v>
      </c>
      <c r="E64" s="307" t="s">
        <v>237</v>
      </c>
      <c r="F64" s="307" t="s">
        <v>237</v>
      </c>
      <c r="G64" s="307" t="s">
        <v>237</v>
      </c>
      <c r="H64" s="307" t="s">
        <v>237</v>
      </c>
      <c r="I64" s="307" t="s">
        <v>237</v>
      </c>
      <c r="J64" s="307" t="s">
        <v>237</v>
      </c>
      <c r="K64" s="307" t="s">
        <v>237</v>
      </c>
      <c r="L64" s="307" t="s">
        <v>237</v>
      </c>
      <c r="M64" s="307" t="s">
        <v>237</v>
      </c>
      <c r="N64" s="307" t="s">
        <v>237</v>
      </c>
      <c r="O64" s="307" t="s">
        <v>237</v>
      </c>
      <c r="P64" s="307" t="s">
        <v>237</v>
      </c>
      <c r="Q64" s="307" t="s">
        <v>237</v>
      </c>
      <c r="R64" s="307" t="s">
        <v>237</v>
      </c>
      <c r="S64" s="307" t="s">
        <v>237</v>
      </c>
      <c r="T64" s="307" t="s">
        <v>237</v>
      </c>
      <c r="U64" s="307" t="s">
        <v>237</v>
      </c>
      <c r="V64" s="307" t="s">
        <v>237</v>
      </c>
      <c r="W64" s="307" t="s">
        <v>237</v>
      </c>
      <c r="X64" s="307" t="s">
        <v>237</v>
      </c>
      <c r="Y64" s="307" t="s">
        <v>237</v>
      </c>
      <c r="Z64" s="307" t="s">
        <v>237</v>
      </c>
      <c r="AA64" s="307" t="s">
        <v>237</v>
      </c>
      <c r="AB64" s="307" t="s">
        <v>237</v>
      </c>
      <c r="AC64" s="307" t="s">
        <v>237</v>
      </c>
      <c r="AD64" s="307" t="s">
        <v>237</v>
      </c>
      <c r="AE64" s="307" t="s">
        <v>237</v>
      </c>
      <c r="AF64" s="307" t="s">
        <v>237</v>
      </c>
      <c r="AG64" s="307" t="s">
        <v>237</v>
      </c>
      <c r="AH64" s="308" t="s">
        <v>237</v>
      </c>
    </row>
    <row r="65" spans="2:34" hidden="1" outlineLevel="1">
      <c r="B65" s="87">
        <v>0</v>
      </c>
      <c r="C65" s="133" t="s">
        <v>237</v>
      </c>
      <c r="D65" s="262" t="s">
        <v>237</v>
      </c>
      <c r="E65" s="263" t="s">
        <v>237</v>
      </c>
      <c r="F65" s="263" t="s">
        <v>237</v>
      </c>
      <c r="G65" s="263" t="s">
        <v>237</v>
      </c>
      <c r="H65" s="263" t="s">
        <v>237</v>
      </c>
      <c r="I65" s="263" t="s">
        <v>237</v>
      </c>
      <c r="J65" s="263" t="s">
        <v>237</v>
      </c>
      <c r="K65" s="263" t="s">
        <v>237</v>
      </c>
      <c r="L65" s="263" t="s">
        <v>237</v>
      </c>
      <c r="M65" s="263" t="s">
        <v>237</v>
      </c>
      <c r="N65" s="263" t="s">
        <v>237</v>
      </c>
      <c r="O65" s="263" t="s">
        <v>237</v>
      </c>
      <c r="P65" s="263" t="s">
        <v>237</v>
      </c>
      <c r="Q65" s="263" t="s">
        <v>237</v>
      </c>
      <c r="R65" s="263" t="s">
        <v>237</v>
      </c>
      <c r="S65" s="263" t="s">
        <v>237</v>
      </c>
      <c r="T65" s="263" t="s">
        <v>237</v>
      </c>
      <c r="U65" s="263" t="s">
        <v>237</v>
      </c>
      <c r="V65" s="263" t="s">
        <v>237</v>
      </c>
      <c r="W65" s="263" t="s">
        <v>237</v>
      </c>
      <c r="X65" s="263" t="s">
        <v>237</v>
      </c>
      <c r="Y65" s="263" t="s">
        <v>237</v>
      </c>
      <c r="Z65" s="263" t="s">
        <v>237</v>
      </c>
      <c r="AA65" s="263" t="s">
        <v>237</v>
      </c>
      <c r="AB65" s="263" t="s">
        <v>237</v>
      </c>
      <c r="AC65" s="263" t="s">
        <v>237</v>
      </c>
      <c r="AD65" s="263" t="s">
        <v>237</v>
      </c>
      <c r="AE65" s="263" t="s">
        <v>237</v>
      </c>
      <c r="AF65" s="263" t="s">
        <v>237</v>
      </c>
      <c r="AG65" s="263" t="s">
        <v>237</v>
      </c>
      <c r="AH65" s="264" t="s">
        <v>237</v>
      </c>
    </row>
    <row r="66" spans="2:34" hidden="1" outlineLevel="1">
      <c r="B66" s="196">
        <v>0</v>
      </c>
      <c r="C66" s="197" t="s">
        <v>237</v>
      </c>
      <c r="D66" s="259" t="s">
        <v>237</v>
      </c>
      <c r="E66" s="260" t="s">
        <v>237</v>
      </c>
      <c r="F66" s="260" t="s">
        <v>237</v>
      </c>
      <c r="G66" s="260" t="s">
        <v>237</v>
      </c>
      <c r="H66" s="260" t="s">
        <v>237</v>
      </c>
      <c r="I66" s="260" t="s">
        <v>237</v>
      </c>
      <c r="J66" s="260" t="s">
        <v>237</v>
      </c>
      <c r="K66" s="260" t="s">
        <v>237</v>
      </c>
      <c r="L66" s="260" t="s">
        <v>237</v>
      </c>
      <c r="M66" s="260" t="s">
        <v>237</v>
      </c>
      <c r="N66" s="260" t="s">
        <v>237</v>
      </c>
      <c r="O66" s="260" t="s">
        <v>237</v>
      </c>
      <c r="P66" s="260" t="s">
        <v>237</v>
      </c>
      <c r="Q66" s="260" t="s">
        <v>237</v>
      </c>
      <c r="R66" s="260" t="s">
        <v>237</v>
      </c>
      <c r="S66" s="260" t="s">
        <v>237</v>
      </c>
      <c r="T66" s="260" t="s">
        <v>237</v>
      </c>
      <c r="U66" s="260" t="s">
        <v>237</v>
      </c>
      <c r="V66" s="260" t="s">
        <v>237</v>
      </c>
      <c r="W66" s="260" t="s">
        <v>237</v>
      </c>
      <c r="X66" s="260" t="s">
        <v>237</v>
      </c>
      <c r="Y66" s="260" t="s">
        <v>237</v>
      </c>
      <c r="Z66" s="260" t="s">
        <v>237</v>
      </c>
      <c r="AA66" s="260" t="s">
        <v>237</v>
      </c>
      <c r="AB66" s="260" t="s">
        <v>237</v>
      </c>
      <c r="AC66" s="260" t="s">
        <v>237</v>
      </c>
      <c r="AD66" s="260" t="s">
        <v>237</v>
      </c>
      <c r="AE66" s="260" t="s">
        <v>237</v>
      </c>
      <c r="AF66" s="260" t="s">
        <v>237</v>
      </c>
      <c r="AG66" s="260" t="s">
        <v>237</v>
      </c>
      <c r="AH66" s="261" t="s">
        <v>237</v>
      </c>
    </row>
    <row r="67" spans="2:34" hidden="1" outlineLevel="1">
      <c r="B67" s="87">
        <v>0</v>
      </c>
      <c r="C67" s="133" t="s">
        <v>237</v>
      </c>
      <c r="D67" s="262" t="s">
        <v>237</v>
      </c>
      <c r="E67" s="263" t="s">
        <v>237</v>
      </c>
      <c r="F67" s="263" t="s">
        <v>237</v>
      </c>
      <c r="G67" s="263" t="s">
        <v>237</v>
      </c>
      <c r="H67" s="263" t="s">
        <v>237</v>
      </c>
      <c r="I67" s="263" t="s">
        <v>237</v>
      </c>
      <c r="J67" s="263" t="s">
        <v>237</v>
      </c>
      <c r="K67" s="263" t="s">
        <v>237</v>
      </c>
      <c r="L67" s="263" t="s">
        <v>237</v>
      </c>
      <c r="M67" s="263" t="s">
        <v>237</v>
      </c>
      <c r="N67" s="263" t="s">
        <v>237</v>
      </c>
      <c r="O67" s="263" t="s">
        <v>237</v>
      </c>
      <c r="P67" s="263" t="s">
        <v>237</v>
      </c>
      <c r="Q67" s="263" t="s">
        <v>237</v>
      </c>
      <c r="R67" s="263" t="s">
        <v>237</v>
      </c>
      <c r="S67" s="263" t="s">
        <v>237</v>
      </c>
      <c r="T67" s="263" t="s">
        <v>237</v>
      </c>
      <c r="U67" s="263" t="s">
        <v>237</v>
      </c>
      <c r="V67" s="263" t="s">
        <v>237</v>
      </c>
      <c r="W67" s="263" t="s">
        <v>237</v>
      </c>
      <c r="X67" s="263" t="s">
        <v>237</v>
      </c>
      <c r="Y67" s="263" t="s">
        <v>237</v>
      </c>
      <c r="Z67" s="263" t="s">
        <v>237</v>
      </c>
      <c r="AA67" s="263" t="s">
        <v>237</v>
      </c>
      <c r="AB67" s="263" t="s">
        <v>237</v>
      </c>
      <c r="AC67" s="263" t="s">
        <v>237</v>
      </c>
      <c r="AD67" s="263" t="s">
        <v>237</v>
      </c>
      <c r="AE67" s="263" t="s">
        <v>237</v>
      </c>
      <c r="AF67" s="263" t="s">
        <v>237</v>
      </c>
      <c r="AG67" s="263" t="s">
        <v>237</v>
      </c>
      <c r="AH67" s="264" t="s">
        <v>237</v>
      </c>
    </row>
    <row r="68" spans="2:34" hidden="1" outlineLevel="1">
      <c r="B68" s="196">
        <v>0</v>
      </c>
      <c r="C68" s="197" t="s">
        <v>237</v>
      </c>
      <c r="D68" s="259" t="s">
        <v>237</v>
      </c>
      <c r="E68" s="260" t="s">
        <v>237</v>
      </c>
      <c r="F68" s="260" t="s">
        <v>237</v>
      </c>
      <c r="G68" s="260" t="s">
        <v>237</v>
      </c>
      <c r="H68" s="260" t="s">
        <v>237</v>
      </c>
      <c r="I68" s="260" t="s">
        <v>237</v>
      </c>
      <c r="J68" s="260" t="s">
        <v>237</v>
      </c>
      <c r="K68" s="260" t="s">
        <v>237</v>
      </c>
      <c r="L68" s="260" t="s">
        <v>237</v>
      </c>
      <c r="M68" s="260" t="s">
        <v>237</v>
      </c>
      <c r="N68" s="260" t="s">
        <v>237</v>
      </c>
      <c r="O68" s="260" t="s">
        <v>237</v>
      </c>
      <c r="P68" s="260" t="s">
        <v>237</v>
      </c>
      <c r="Q68" s="260" t="s">
        <v>237</v>
      </c>
      <c r="R68" s="260" t="s">
        <v>237</v>
      </c>
      <c r="S68" s="260" t="s">
        <v>237</v>
      </c>
      <c r="T68" s="260" t="s">
        <v>237</v>
      </c>
      <c r="U68" s="260" t="s">
        <v>237</v>
      </c>
      <c r="V68" s="260" t="s">
        <v>237</v>
      </c>
      <c r="W68" s="260" t="s">
        <v>237</v>
      </c>
      <c r="X68" s="260" t="s">
        <v>237</v>
      </c>
      <c r="Y68" s="260" t="s">
        <v>237</v>
      </c>
      <c r="Z68" s="260" t="s">
        <v>237</v>
      </c>
      <c r="AA68" s="260" t="s">
        <v>237</v>
      </c>
      <c r="AB68" s="260" t="s">
        <v>237</v>
      </c>
      <c r="AC68" s="260" t="s">
        <v>237</v>
      </c>
      <c r="AD68" s="260" t="s">
        <v>237</v>
      </c>
      <c r="AE68" s="260" t="s">
        <v>237</v>
      </c>
      <c r="AF68" s="260" t="s">
        <v>237</v>
      </c>
      <c r="AG68" s="260" t="s">
        <v>237</v>
      </c>
      <c r="AH68" s="261" t="s">
        <v>237</v>
      </c>
    </row>
    <row r="69" spans="2:34" hidden="1" outlineLevel="1">
      <c r="B69" s="87">
        <v>0</v>
      </c>
      <c r="C69" s="133" t="s">
        <v>237</v>
      </c>
      <c r="D69" s="262" t="s">
        <v>237</v>
      </c>
      <c r="E69" s="263" t="s">
        <v>237</v>
      </c>
      <c r="F69" s="263" t="s">
        <v>237</v>
      </c>
      <c r="G69" s="263" t="s">
        <v>237</v>
      </c>
      <c r="H69" s="263" t="s">
        <v>237</v>
      </c>
      <c r="I69" s="263" t="s">
        <v>237</v>
      </c>
      <c r="J69" s="263" t="s">
        <v>237</v>
      </c>
      <c r="K69" s="263" t="s">
        <v>237</v>
      </c>
      <c r="L69" s="263" t="s">
        <v>237</v>
      </c>
      <c r="M69" s="263" t="s">
        <v>237</v>
      </c>
      <c r="N69" s="263" t="s">
        <v>237</v>
      </c>
      <c r="O69" s="263" t="s">
        <v>237</v>
      </c>
      <c r="P69" s="263" t="s">
        <v>237</v>
      </c>
      <c r="Q69" s="263" t="s">
        <v>237</v>
      </c>
      <c r="R69" s="263" t="s">
        <v>237</v>
      </c>
      <c r="S69" s="263" t="s">
        <v>237</v>
      </c>
      <c r="T69" s="263" t="s">
        <v>237</v>
      </c>
      <c r="U69" s="263" t="s">
        <v>237</v>
      </c>
      <c r="V69" s="263" t="s">
        <v>237</v>
      </c>
      <c r="W69" s="263" t="s">
        <v>237</v>
      </c>
      <c r="X69" s="263" t="s">
        <v>237</v>
      </c>
      <c r="Y69" s="263" t="s">
        <v>237</v>
      </c>
      <c r="Z69" s="263" t="s">
        <v>237</v>
      </c>
      <c r="AA69" s="263" t="s">
        <v>237</v>
      </c>
      <c r="AB69" s="263" t="s">
        <v>237</v>
      </c>
      <c r="AC69" s="263" t="s">
        <v>237</v>
      </c>
      <c r="AD69" s="263" t="s">
        <v>237</v>
      </c>
      <c r="AE69" s="263" t="s">
        <v>237</v>
      </c>
      <c r="AF69" s="263" t="s">
        <v>237</v>
      </c>
      <c r="AG69" s="263" t="s">
        <v>237</v>
      </c>
      <c r="AH69" s="264" t="s">
        <v>237</v>
      </c>
    </row>
    <row r="70" spans="2:34" hidden="1" outlineLevel="1">
      <c r="B70" s="196">
        <v>0</v>
      </c>
      <c r="C70" s="197" t="s">
        <v>237</v>
      </c>
      <c r="D70" s="259" t="s">
        <v>237</v>
      </c>
      <c r="E70" s="260" t="s">
        <v>237</v>
      </c>
      <c r="F70" s="260" t="s">
        <v>237</v>
      </c>
      <c r="G70" s="260" t="s">
        <v>237</v>
      </c>
      <c r="H70" s="260" t="s">
        <v>237</v>
      </c>
      <c r="I70" s="260" t="s">
        <v>237</v>
      </c>
      <c r="J70" s="260" t="s">
        <v>237</v>
      </c>
      <c r="K70" s="260" t="s">
        <v>237</v>
      </c>
      <c r="L70" s="260" t="s">
        <v>237</v>
      </c>
      <c r="M70" s="260" t="s">
        <v>237</v>
      </c>
      <c r="N70" s="260" t="s">
        <v>237</v>
      </c>
      <c r="O70" s="260" t="s">
        <v>237</v>
      </c>
      <c r="P70" s="260" t="s">
        <v>237</v>
      </c>
      <c r="Q70" s="260" t="s">
        <v>237</v>
      </c>
      <c r="R70" s="260" t="s">
        <v>237</v>
      </c>
      <c r="S70" s="260" t="s">
        <v>237</v>
      </c>
      <c r="T70" s="260" t="s">
        <v>237</v>
      </c>
      <c r="U70" s="260" t="s">
        <v>237</v>
      </c>
      <c r="V70" s="260" t="s">
        <v>237</v>
      </c>
      <c r="W70" s="260" t="s">
        <v>237</v>
      </c>
      <c r="X70" s="260" t="s">
        <v>237</v>
      </c>
      <c r="Y70" s="260" t="s">
        <v>237</v>
      </c>
      <c r="Z70" s="260" t="s">
        <v>237</v>
      </c>
      <c r="AA70" s="260" t="s">
        <v>237</v>
      </c>
      <c r="AB70" s="260" t="s">
        <v>237</v>
      </c>
      <c r="AC70" s="260" t="s">
        <v>237</v>
      </c>
      <c r="AD70" s="260" t="s">
        <v>237</v>
      </c>
      <c r="AE70" s="260" t="s">
        <v>237</v>
      </c>
      <c r="AF70" s="260" t="s">
        <v>237</v>
      </c>
      <c r="AG70" s="260" t="s">
        <v>237</v>
      </c>
      <c r="AH70" s="261" t="s">
        <v>237</v>
      </c>
    </row>
    <row r="71" spans="2:34" hidden="1" outlineLevel="1">
      <c r="B71" s="87">
        <v>0</v>
      </c>
      <c r="C71" s="133" t="s">
        <v>237</v>
      </c>
      <c r="D71" s="262" t="s">
        <v>237</v>
      </c>
      <c r="E71" s="263" t="s">
        <v>237</v>
      </c>
      <c r="F71" s="263" t="s">
        <v>237</v>
      </c>
      <c r="G71" s="263" t="s">
        <v>237</v>
      </c>
      <c r="H71" s="263" t="s">
        <v>237</v>
      </c>
      <c r="I71" s="263" t="s">
        <v>237</v>
      </c>
      <c r="J71" s="263" t="s">
        <v>237</v>
      </c>
      <c r="K71" s="263" t="s">
        <v>237</v>
      </c>
      <c r="L71" s="263" t="s">
        <v>237</v>
      </c>
      <c r="M71" s="263" t="s">
        <v>237</v>
      </c>
      <c r="N71" s="263" t="s">
        <v>237</v>
      </c>
      <c r="O71" s="263" t="s">
        <v>237</v>
      </c>
      <c r="P71" s="263" t="s">
        <v>237</v>
      </c>
      <c r="Q71" s="263" t="s">
        <v>237</v>
      </c>
      <c r="R71" s="263" t="s">
        <v>237</v>
      </c>
      <c r="S71" s="263" t="s">
        <v>237</v>
      </c>
      <c r="T71" s="263" t="s">
        <v>237</v>
      </c>
      <c r="U71" s="263" t="s">
        <v>237</v>
      </c>
      <c r="V71" s="263" t="s">
        <v>237</v>
      </c>
      <c r="W71" s="263" t="s">
        <v>237</v>
      </c>
      <c r="X71" s="263" t="s">
        <v>237</v>
      </c>
      <c r="Y71" s="263" t="s">
        <v>237</v>
      </c>
      <c r="Z71" s="263" t="s">
        <v>237</v>
      </c>
      <c r="AA71" s="263" t="s">
        <v>237</v>
      </c>
      <c r="AB71" s="263" t="s">
        <v>237</v>
      </c>
      <c r="AC71" s="263" t="s">
        <v>237</v>
      </c>
      <c r="AD71" s="263" t="s">
        <v>237</v>
      </c>
      <c r="AE71" s="263" t="s">
        <v>237</v>
      </c>
      <c r="AF71" s="263" t="s">
        <v>237</v>
      </c>
      <c r="AG71" s="263" t="s">
        <v>237</v>
      </c>
      <c r="AH71" s="264" t="s">
        <v>237</v>
      </c>
    </row>
    <row r="72" spans="2:34" hidden="1" outlineLevel="1">
      <c r="B72" s="196">
        <v>0</v>
      </c>
      <c r="C72" s="197" t="s">
        <v>237</v>
      </c>
      <c r="D72" s="259" t="s">
        <v>237</v>
      </c>
      <c r="E72" s="260" t="s">
        <v>237</v>
      </c>
      <c r="F72" s="260" t="s">
        <v>237</v>
      </c>
      <c r="G72" s="260" t="s">
        <v>237</v>
      </c>
      <c r="H72" s="260" t="s">
        <v>237</v>
      </c>
      <c r="I72" s="260" t="s">
        <v>237</v>
      </c>
      <c r="J72" s="260" t="s">
        <v>237</v>
      </c>
      <c r="K72" s="260" t="s">
        <v>237</v>
      </c>
      <c r="L72" s="260" t="s">
        <v>237</v>
      </c>
      <c r="M72" s="260" t="s">
        <v>237</v>
      </c>
      <c r="N72" s="260" t="s">
        <v>237</v>
      </c>
      <c r="O72" s="260" t="s">
        <v>237</v>
      </c>
      <c r="P72" s="260" t="s">
        <v>237</v>
      </c>
      <c r="Q72" s="260" t="s">
        <v>237</v>
      </c>
      <c r="R72" s="260" t="s">
        <v>237</v>
      </c>
      <c r="S72" s="260" t="s">
        <v>237</v>
      </c>
      <c r="T72" s="260" t="s">
        <v>237</v>
      </c>
      <c r="U72" s="260" t="s">
        <v>237</v>
      </c>
      <c r="V72" s="260" t="s">
        <v>237</v>
      </c>
      <c r="W72" s="260" t="s">
        <v>237</v>
      </c>
      <c r="X72" s="260" t="s">
        <v>237</v>
      </c>
      <c r="Y72" s="260" t="s">
        <v>237</v>
      </c>
      <c r="Z72" s="260" t="s">
        <v>237</v>
      </c>
      <c r="AA72" s="260" t="s">
        <v>237</v>
      </c>
      <c r="AB72" s="260" t="s">
        <v>237</v>
      </c>
      <c r="AC72" s="260" t="s">
        <v>237</v>
      </c>
      <c r="AD72" s="260" t="s">
        <v>237</v>
      </c>
      <c r="AE72" s="260" t="s">
        <v>237</v>
      </c>
      <c r="AF72" s="260" t="s">
        <v>237</v>
      </c>
      <c r="AG72" s="260" t="s">
        <v>237</v>
      </c>
      <c r="AH72" s="261" t="s">
        <v>237</v>
      </c>
    </row>
    <row r="73" spans="2:34" hidden="1" outlineLevel="1">
      <c r="B73" s="87">
        <v>0</v>
      </c>
      <c r="C73" s="133" t="s">
        <v>237</v>
      </c>
      <c r="D73" s="262" t="s">
        <v>237</v>
      </c>
      <c r="E73" s="263" t="s">
        <v>237</v>
      </c>
      <c r="F73" s="263" t="s">
        <v>237</v>
      </c>
      <c r="G73" s="263" t="s">
        <v>237</v>
      </c>
      <c r="H73" s="263" t="s">
        <v>237</v>
      </c>
      <c r="I73" s="263" t="s">
        <v>237</v>
      </c>
      <c r="J73" s="263" t="s">
        <v>237</v>
      </c>
      <c r="K73" s="263" t="s">
        <v>237</v>
      </c>
      <c r="L73" s="263" t="s">
        <v>237</v>
      </c>
      <c r="M73" s="263" t="s">
        <v>237</v>
      </c>
      <c r="N73" s="263" t="s">
        <v>237</v>
      </c>
      <c r="O73" s="263" t="s">
        <v>237</v>
      </c>
      <c r="P73" s="263" t="s">
        <v>237</v>
      </c>
      <c r="Q73" s="263" t="s">
        <v>237</v>
      </c>
      <c r="R73" s="263" t="s">
        <v>237</v>
      </c>
      <c r="S73" s="263" t="s">
        <v>237</v>
      </c>
      <c r="T73" s="263" t="s">
        <v>237</v>
      </c>
      <c r="U73" s="263" t="s">
        <v>237</v>
      </c>
      <c r="V73" s="263" t="s">
        <v>237</v>
      </c>
      <c r="W73" s="263" t="s">
        <v>237</v>
      </c>
      <c r="X73" s="263" t="s">
        <v>237</v>
      </c>
      <c r="Y73" s="263" t="s">
        <v>237</v>
      </c>
      <c r="Z73" s="263" t="s">
        <v>237</v>
      </c>
      <c r="AA73" s="263" t="s">
        <v>237</v>
      </c>
      <c r="AB73" s="263" t="s">
        <v>237</v>
      </c>
      <c r="AC73" s="263" t="s">
        <v>237</v>
      </c>
      <c r="AD73" s="263" t="s">
        <v>237</v>
      </c>
      <c r="AE73" s="263" t="s">
        <v>237</v>
      </c>
      <c r="AF73" s="263" t="s">
        <v>237</v>
      </c>
      <c r="AG73" s="263" t="s">
        <v>237</v>
      </c>
      <c r="AH73" s="264" t="s">
        <v>237</v>
      </c>
    </row>
    <row r="74" spans="2:34" hidden="1" outlineLevel="1">
      <c r="B74" s="196">
        <v>0</v>
      </c>
      <c r="C74" s="197" t="s">
        <v>237</v>
      </c>
      <c r="D74" s="259" t="s">
        <v>237</v>
      </c>
      <c r="E74" s="260" t="s">
        <v>237</v>
      </c>
      <c r="F74" s="260" t="s">
        <v>237</v>
      </c>
      <c r="G74" s="260" t="s">
        <v>237</v>
      </c>
      <c r="H74" s="260" t="s">
        <v>237</v>
      </c>
      <c r="I74" s="260" t="s">
        <v>237</v>
      </c>
      <c r="J74" s="260" t="s">
        <v>237</v>
      </c>
      <c r="K74" s="260" t="s">
        <v>237</v>
      </c>
      <c r="L74" s="260" t="s">
        <v>237</v>
      </c>
      <c r="M74" s="260" t="s">
        <v>237</v>
      </c>
      <c r="N74" s="260" t="s">
        <v>237</v>
      </c>
      <c r="O74" s="260" t="s">
        <v>237</v>
      </c>
      <c r="P74" s="260" t="s">
        <v>237</v>
      </c>
      <c r="Q74" s="260" t="s">
        <v>237</v>
      </c>
      <c r="R74" s="260" t="s">
        <v>237</v>
      </c>
      <c r="S74" s="260" t="s">
        <v>237</v>
      </c>
      <c r="T74" s="260" t="s">
        <v>237</v>
      </c>
      <c r="U74" s="260" t="s">
        <v>237</v>
      </c>
      <c r="V74" s="260" t="s">
        <v>237</v>
      </c>
      <c r="W74" s="260" t="s">
        <v>237</v>
      </c>
      <c r="X74" s="260" t="s">
        <v>237</v>
      </c>
      <c r="Y74" s="260" t="s">
        <v>237</v>
      </c>
      <c r="Z74" s="260" t="s">
        <v>237</v>
      </c>
      <c r="AA74" s="260" t="s">
        <v>237</v>
      </c>
      <c r="AB74" s="260" t="s">
        <v>237</v>
      </c>
      <c r="AC74" s="260" t="s">
        <v>237</v>
      </c>
      <c r="AD74" s="260" t="s">
        <v>237</v>
      </c>
      <c r="AE74" s="260" t="s">
        <v>237</v>
      </c>
      <c r="AF74" s="260" t="s">
        <v>237</v>
      </c>
      <c r="AG74" s="260" t="s">
        <v>237</v>
      </c>
      <c r="AH74" s="261" t="s">
        <v>237</v>
      </c>
    </row>
    <row r="75" spans="2:34" hidden="1" outlineLevel="1">
      <c r="B75" s="87">
        <v>0</v>
      </c>
      <c r="C75" s="133" t="s">
        <v>237</v>
      </c>
      <c r="D75" s="262" t="s">
        <v>237</v>
      </c>
      <c r="E75" s="263" t="s">
        <v>237</v>
      </c>
      <c r="F75" s="263" t="s">
        <v>237</v>
      </c>
      <c r="G75" s="263" t="s">
        <v>237</v>
      </c>
      <c r="H75" s="263" t="s">
        <v>237</v>
      </c>
      <c r="I75" s="263" t="s">
        <v>237</v>
      </c>
      <c r="J75" s="263" t="s">
        <v>237</v>
      </c>
      <c r="K75" s="263" t="s">
        <v>237</v>
      </c>
      <c r="L75" s="263" t="s">
        <v>237</v>
      </c>
      <c r="M75" s="263" t="s">
        <v>237</v>
      </c>
      <c r="N75" s="263" t="s">
        <v>237</v>
      </c>
      <c r="O75" s="263" t="s">
        <v>237</v>
      </c>
      <c r="P75" s="263" t="s">
        <v>237</v>
      </c>
      <c r="Q75" s="263" t="s">
        <v>237</v>
      </c>
      <c r="R75" s="263" t="s">
        <v>237</v>
      </c>
      <c r="S75" s="263" t="s">
        <v>237</v>
      </c>
      <c r="T75" s="263" t="s">
        <v>237</v>
      </c>
      <c r="U75" s="263" t="s">
        <v>237</v>
      </c>
      <c r="V75" s="263" t="s">
        <v>237</v>
      </c>
      <c r="W75" s="263" t="s">
        <v>237</v>
      </c>
      <c r="X75" s="263" t="s">
        <v>237</v>
      </c>
      <c r="Y75" s="263" t="s">
        <v>237</v>
      </c>
      <c r="Z75" s="263" t="s">
        <v>237</v>
      </c>
      <c r="AA75" s="263" t="s">
        <v>237</v>
      </c>
      <c r="AB75" s="263" t="s">
        <v>237</v>
      </c>
      <c r="AC75" s="263" t="s">
        <v>237</v>
      </c>
      <c r="AD75" s="263" t="s">
        <v>237</v>
      </c>
      <c r="AE75" s="263" t="s">
        <v>237</v>
      </c>
      <c r="AF75" s="263" t="s">
        <v>237</v>
      </c>
      <c r="AG75" s="263" t="s">
        <v>237</v>
      </c>
      <c r="AH75" s="264" t="s">
        <v>237</v>
      </c>
    </row>
    <row r="76" spans="2:34" hidden="1" outlineLevel="1">
      <c r="B76" s="196">
        <v>0</v>
      </c>
      <c r="C76" s="197" t="s">
        <v>237</v>
      </c>
      <c r="D76" s="259" t="s">
        <v>237</v>
      </c>
      <c r="E76" s="260" t="s">
        <v>237</v>
      </c>
      <c r="F76" s="260" t="s">
        <v>237</v>
      </c>
      <c r="G76" s="260" t="s">
        <v>237</v>
      </c>
      <c r="H76" s="260" t="s">
        <v>237</v>
      </c>
      <c r="I76" s="260" t="s">
        <v>237</v>
      </c>
      <c r="J76" s="260" t="s">
        <v>237</v>
      </c>
      <c r="K76" s="260" t="s">
        <v>237</v>
      </c>
      <c r="L76" s="260" t="s">
        <v>237</v>
      </c>
      <c r="M76" s="260" t="s">
        <v>237</v>
      </c>
      <c r="N76" s="260" t="s">
        <v>237</v>
      </c>
      <c r="O76" s="260" t="s">
        <v>237</v>
      </c>
      <c r="P76" s="260" t="s">
        <v>237</v>
      </c>
      <c r="Q76" s="260" t="s">
        <v>237</v>
      </c>
      <c r="R76" s="260" t="s">
        <v>237</v>
      </c>
      <c r="S76" s="260" t="s">
        <v>237</v>
      </c>
      <c r="T76" s="260" t="s">
        <v>237</v>
      </c>
      <c r="U76" s="260" t="s">
        <v>237</v>
      </c>
      <c r="V76" s="260" t="s">
        <v>237</v>
      </c>
      <c r="W76" s="260" t="s">
        <v>237</v>
      </c>
      <c r="X76" s="260" t="s">
        <v>237</v>
      </c>
      <c r="Y76" s="260" t="s">
        <v>237</v>
      </c>
      <c r="Z76" s="260" t="s">
        <v>237</v>
      </c>
      <c r="AA76" s="260" t="s">
        <v>237</v>
      </c>
      <c r="AB76" s="260" t="s">
        <v>237</v>
      </c>
      <c r="AC76" s="260" t="s">
        <v>237</v>
      </c>
      <c r="AD76" s="260" t="s">
        <v>237</v>
      </c>
      <c r="AE76" s="260" t="s">
        <v>237</v>
      </c>
      <c r="AF76" s="260" t="s">
        <v>237</v>
      </c>
      <c r="AG76" s="260" t="s">
        <v>237</v>
      </c>
      <c r="AH76" s="261" t="s">
        <v>237</v>
      </c>
    </row>
    <row r="77" spans="2:34" hidden="1" outlineLevel="1">
      <c r="B77" s="87">
        <v>0</v>
      </c>
      <c r="C77" s="133" t="s">
        <v>237</v>
      </c>
      <c r="D77" s="262" t="s">
        <v>237</v>
      </c>
      <c r="E77" s="263" t="s">
        <v>237</v>
      </c>
      <c r="F77" s="263" t="s">
        <v>237</v>
      </c>
      <c r="G77" s="263" t="s">
        <v>237</v>
      </c>
      <c r="H77" s="263" t="s">
        <v>237</v>
      </c>
      <c r="I77" s="263" t="s">
        <v>237</v>
      </c>
      <c r="J77" s="263" t="s">
        <v>237</v>
      </c>
      <c r="K77" s="263" t="s">
        <v>237</v>
      </c>
      <c r="L77" s="263" t="s">
        <v>237</v>
      </c>
      <c r="M77" s="263" t="s">
        <v>237</v>
      </c>
      <c r="N77" s="263" t="s">
        <v>237</v>
      </c>
      <c r="O77" s="263" t="s">
        <v>237</v>
      </c>
      <c r="P77" s="263" t="s">
        <v>237</v>
      </c>
      <c r="Q77" s="263" t="s">
        <v>237</v>
      </c>
      <c r="R77" s="263" t="s">
        <v>237</v>
      </c>
      <c r="S77" s="263" t="s">
        <v>237</v>
      </c>
      <c r="T77" s="263" t="s">
        <v>237</v>
      </c>
      <c r="U77" s="263" t="s">
        <v>237</v>
      </c>
      <c r="V77" s="263" t="s">
        <v>237</v>
      </c>
      <c r="W77" s="263" t="s">
        <v>237</v>
      </c>
      <c r="X77" s="263" t="s">
        <v>237</v>
      </c>
      <c r="Y77" s="263" t="s">
        <v>237</v>
      </c>
      <c r="Z77" s="263" t="s">
        <v>237</v>
      </c>
      <c r="AA77" s="263" t="s">
        <v>237</v>
      </c>
      <c r="AB77" s="263" t="s">
        <v>237</v>
      </c>
      <c r="AC77" s="263" t="s">
        <v>237</v>
      </c>
      <c r="AD77" s="263" t="s">
        <v>237</v>
      </c>
      <c r="AE77" s="263" t="s">
        <v>237</v>
      </c>
      <c r="AF77" s="263" t="s">
        <v>237</v>
      </c>
      <c r="AG77" s="263" t="s">
        <v>237</v>
      </c>
      <c r="AH77" s="264" t="s">
        <v>237</v>
      </c>
    </row>
    <row r="78" spans="2:34" hidden="1" outlineLevel="1">
      <c r="B78" s="196">
        <v>0</v>
      </c>
      <c r="C78" s="197" t="s">
        <v>237</v>
      </c>
      <c r="D78" s="259" t="s">
        <v>237</v>
      </c>
      <c r="E78" s="260" t="s">
        <v>237</v>
      </c>
      <c r="F78" s="260" t="s">
        <v>237</v>
      </c>
      <c r="G78" s="260" t="s">
        <v>237</v>
      </c>
      <c r="H78" s="260" t="s">
        <v>237</v>
      </c>
      <c r="I78" s="260" t="s">
        <v>237</v>
      </c>
      <c r="J78" s="260" t="s">
        <v>237</v>
      </c>
      <c r="K78" s="260" t="s">
        <v>237</v>
      </c>
      <c r="L78" s="260" t="s">
        <v>237</v>
      </c>
      <c r="M78" s="260" t="s">
        <v>237</v>
      </c>
      <c r="N78" s="260" t="s">
        <v>237</v>
      </c>
      <c r="O78" s="260" t="s">
        <v>237</v>
      </c>
      <c r="P78" s="260" t="s">
        <v>237</v>
      </c>
      <c r="Q78" s="260" t="s">
        <v>237</v>
      </c>
      <c r="R78" s="260" t="s">
        <v>237</v>
      </c>
      <c r="S78" s="260" t="s">
        <v>237</v>
      </c>
      <c r="T78" s="260" t="s">
        <v>237</v>
      </c>
      <c r="U78" s="260" t="s">
        <v>237</v>
      </c>
      <c r="V78" s="260" t="s">
        <v>237</v>
      </c>
      <c r="W78" s="260" t="s">
        <v>237</v>
      </c>
      <c r="X78" s="260" t="s">
        <v>237</v>
      </c>
      <c r="Y78" s="260" t="s">
        <v>237</v>
      </c>
      <c r="Z78" s="260" t="s">
        <v>237</v>
      </c>
      <c r="AA78" s="260" t="s">
        <v>237</v>
      </c>
      <c r="AB78" s="260" t="s">
        <v>237</v>
      </c>
      <c r="AC78" s="260" t="s">
        <v>237</v>
      </c>
      <c r="AD78" s="260" t="s">
        <v>237</v>
      </c>
      <c r="AE78" s="260" t="s">
        <v>237</v>
      </c>
      <c r="AF78" s="260" t="s">
        <v>237</v>
      </c>
      <c r="AG78" s="260" t="s">
        <v>237</v>
      </c>
      <c r="AH78" s="261" t="s">
        <v>237</v>
      </c>
    </row>
    <row r="79" spans="2:34" hidden="1" outlineLevel="1">
      <c r="B79" s="87">
        <v>0</v>
      </c>
      <c r="C79" s="133" t="s">
        <v>237</v>
      </c>
      <c r="D79" s="262" t="s">
        <v>237</v>
      </c>
      <c r="E79" s="263" t="s">
        <v>237</v>
      </c>
      <c r="F79" s="263" t="s">
        <v>237</v>
      </c>
      <c r="G79" s="263" t="s">
        <v>237</v>
      </c>
      <c r="H79" s="263" t="s">
        <v>237</v>
      </c>
      <c r="I79" s="263" t="s">
        <v>237</v>
      </c>
      <c r="J79" s="263" t="s">
        <v>237</v>
      </c>
      <c r="K79" s="263" t="s">
        <v>237</v>
      </c>
      <c r="L79" s="263" t="s">
        <v>237</v>
      </c>
      <c r="M79" s="263" t="s">
        <v>237</v>
      </c>
      <c r="N79" s="263" t="s">
        <v>237</v>
      </c>
      <c r="O79" s="263" t="s">
        <v>237</v>
      </c>
      <c r="P79" s="263" t="s">
        <v>237</v>
      </c>
      <c r="Q79" s="263" t="s">
        <v>237</v>
      </c>
      <c r="R79" s="263" t="s">
        <v>237</v>
      </c>
      <c r="S79" s="263" t="s">
        <v>237</v>
      </c>
      <c r="T79" s="263" t="s">
        <v>237</v>
      </c>
      <c r="U79" s="263" t="s">
        <v>237</v>
      </c>
      <c r="V79" s="263" t="s">
        <v>237</v>
      </c>
      <c r="W79" s="263" t="s">
        <v>237</v>
      </c>
      <c r="X79" s="263" t="s">
        <v>237</v>
      </c>
      <c r="Y79" s="263" t="s">
        <v>237</v>
      </c>
      <c r="Z79" s="263" t="s">
        <v>237</v>
      </c>
      <c r="AA79" s="263" t="s">
        <v>237</v>
      </c>
      <c r="AB79" s="263" t="s">
        <v>237</v>
      </c>
      <c r="AC79" s="263" t="s">
        <v>237</v>
      </c>
      <c r="AD79" s="263" t="s">
        <v>237</v>
      </c>
      <c r="AE79" s="263" t="s">
        <v>237</v>
      </c>
      <c r="AF79" s="263" t="s">
        <v>237</v>
      </c>
      <c r="AG79" s="263" t="s">
        <v>237</v>
      </c>
      <c r="AH79" s="264" t="s">
        <v>237</v>
      </c>
    </row>
    <row r="80" spans="2:34" hidden="1" outlineLevel="1">
      <c r="B80" s="196">
        <v>0</v>
      </c>
      <c r="C80" s="197" t="s">
        <v>237</v>
      </c>
      <c r="D80" s="259" t="s">
        <v>237</v>
      </c>
      <c r="E80" s="260" t="s">
        <v>237</v>
      </c>
      <c r="F80" s="260" t="s">
        <v>237</v>
      </c>
      <c r="G80" s="260" t="s">
        <v>237</v>
      </c>
      <c r="H80" s="260" t="s">
        <v>237</v>
      </c>
      <c r="I80" s="260" t="s">
        <v>237</v>
      </c>
      <c r="J80" s="260" t="s">
        <v>237</v>
      </c>
      <c r="K80" s="260" t="s">
        <v>237</v>
      </c>
      <c r="L80" s="260" t="s">
        <v>237</v>
      </c>
      <c r="M80" s="260" t="s">
        <v>237</v>
      </c>
      <c r="N80" s="260" t="s">
        <v>237</v>
      </c>
      <c r="O80" s="260" t="s">
        <v>237</v>
      </c>
      <c r="P80" s="260" t="s">
        <v>237</v>
      </c>
      <c r="Q80" s="260" t="s">
        <v>237</v>
      </c>
      <c r="R80" s="260" t="s">
        <v>237</v>
      </c>
      <c r="S80" s="260" t="s">
        <v>237</v>
      </c>
      <c r="T80" s="260" t="s">
        <v>237</v>
      </c>
      <c r="U80" s="260" t="s">
        <v>237</v>
      </c>
      <c r="V80" s="260" t="s">
        <v>237</v>
      </c>
      <c r="W80" s="260" t="s">
        <v>237</v>
      </c>
      <c r="X80" s="260" t="s">
        <v>237</v>
      </c>
      <c r="Y80" s="260" t="s">
        <v>237</v>
      </c>
      <c r="Z80" s="260" t="s">
        <v>237</v>
      </c>
      <c r="AA80" s="260" t="s">
        <v>237</v>
      </c>
      <c r="AB80" s="260" t="s">
        <v>237</v>
      </c>
      <c r="AC80" s="260" t="s">
        <v>237</v>
      </c>
      <c r="AD80" s="260" t="s">
        <v>237</v>
      </c>
      <c r="AE80" s="260" t="s">
        <v>237</v>
      </c>
      <c r="AF80" s="260" t="s">
        <v>237</v>
      </c>
      <c r="AG80" s="260" t="s">
        <v>237</v>
      </c>
      <c r="AH80" s="261" t="s">
        <v>237</v>
      </c>
    </row>
    <row r="81" spans="2:34" hidden="1" outlineLevel="1">
      <c r="B81" s="87">
        <v>0</v>
      </c>
      <c r="C81" s="133" t="s">
        <v>237</v>
      </c>
      <c r="D81" s="262" t="s">
        <v>237</v>
      </c>
      <c r="E81" s="263" t="s">
        <v>237</v>
      </c>
      <c r="F81" s="263" t="s">
        <v>237</v>
      </c>
      <c r="G81" s="263" t="s">
        <v>237</v>
      </c>
      <c r="H81" s="263" t="s">
        <v>237</v>
      </c>
      <c r="I81" s="263" t="s">
        <v>237</v>
      </c>
      <c r="J81" s="263" t="s">
        <v>237</v>
      </c>
      <c r="K81" s="263" t="s">
        <v>237</v>
      </c>
      <c r="L81" s="263" t="s">
        <v>237</v>
      </c>
      <c r="M81" s="263" t="s">
        <v>237</v>
      </c>
      <c r="N81" s="263" t="s">
        <v>237</v>
      </c>
      <c r="O81" s="263" t="s">
        <v>237</v>
      </c>
      <c r="P81" s="263" t="s">
        <v>237</v>
      </c>
      <c r="Q81" s="263" t="s">
        <v>237</v>
      </c>
      <c r="R81" s="263" t="s">
        <v>237</v>
      </c>
      <c r="S81" s="263" t="s">
        <v>237</v>
      </c>
      <c r="T81" s="263" t="s">
        <v>237</v>
      </c>
      <c r="U81" s="263" t="s">
        <v>237</v>
      </c>
      <c r="V81" s="263" t="s">
        <v>237</v>
      </c>
      <c r="W81" s="263" t="s">
        <v>237</v>
      </c>
      <c r="X81" s="263" t="s">
        <v>237</v>
      </c>
      <c r="Y81" s="263" t="s">
        <v>237</v>
      </c>
      <c r="Z81" s="263" t="s">
        <v>237</v>
      </c>
      <c r="AA81" s="263" t="s">
        <v>237</v>
      </c>
      <c r="AB81" s="263" t="s">
        <v>237</v>
      </c>
      <c r="AC81" s="263" t="s">
        <v>237</v>
      </c>
      <c r="AD81" s="263" t="s">
        <v>237</v>
      </c>
      <c r="AE81" s="263" t="s">
        <v>237</v>
      </c>
      <c r="AF81" s="263" t="s">
        <v>237</v>
      </c>
      <c r="AG81" s="263" t="s">
        <v>237</v>
      </c>
      <c r="AH81" s="264" t="s">
        <v>237</v>
      </c>
    </row>
    <row r="82" spans="2:34" hidden="1" outlineLevel="1">
      <c r="B82" s="196">
        <v>0</v>
      </c>
      <c r="C82" s="197" t="s">
        <v>237</v>
      </c>
      <c r="D82" s="259" t="s">
        <v>237</v>
      </c>
      <c r="E82" s="260" t="s">
        <v>237</v>
      </c>
      <c r="F82" s="260" t="s">
        <v>237</v>
      </c>
      <c r="G82" s="260" t="s">
        <v>237</v>
      </c>
      <c r="H82" s="260" t="s">
        <v>237</v>
      </c>
      <c r="I82" s="260" t="s">
        <v>237</v>
      </c>
      <c r="J82" s="260" t="s">
        <v>237</v>
      </c>
      <c r="K82" s="260" t="s">
        <v>237</v>
      </c>
      <c r="L82" s="260" t="s">
        <v>237</v>
      </c>
      <c r="M82" s="260" t="s">
        <v>237</v>
      </c>
      <c r="N82" s="260" t="s">
        <v>237</v>
      </c>
      <c r="O82" s="260" t="s">
        <v>237</v>
      </c>
      <c r="P82" s="260" t="s">
        <v>237</v>
      </c>
      <c r="Q82" s="260" t="s">
        <v>237</v>
      </c>
      <c r="R82" s="260" t="s">
        <v>237</v>
      </c>
      <c r="S82" s="260" t="s">
        <v>237</v>
      </c>
      <c r="T82" s="260" t="s">
        <v>237</v>
      </c>
      <c r="U82" s="260" t="s">
        <v>237</v>
      </c>
      <c r="V82" s="260" t="s">
        <v>237</v>
      </c>
      <c r="W82" s="260" t="s">
        <v>237</v>
      </c>
      <c r="X82" s="260" t="s">
        <v>237</v>
      </c>
      <c r="Y82" s="260" t="s">
        <v>237</v>
      </c>
      <c r="Z82" s="260" t="s">
        <v>237</v>
      </c>
      <c r="AA82" s="260" t="s">
        <v>237</v>
      </c>
      <c r="AB82" s="260" t="s">
        <v>237</v>
      </c>
      <c r="AC82" s="260" t="s">
        <v>237</v>
      </c>
      <c r="AD82" s="260" t="s">
        <v>237</v>
      </c>
      <c r="AE82" s="260" t="s">
        <v>237</v>
      </c>
      <c r="AF82" s="260" t="s">
        <v>237</v>
      </c>
      <c r="AG82" s="260" t="s">
        <v>237</v>
      </c>
      <c r="AH82" s="261" t="s">
        <v>237</v>
      </c>
    </row>
    <row r="83" spans="2:34" hidden="1" outlineLevel="1">
      <c r="B83" s="87">
        <v>0</v>
      </c>
      <c r="C83" s="133" t="s">
        <v>237</v>
      </c>
      <c r="D83" s="262" t="s">
        <v>237</v>
      </c>
      <c r="E83" s="263" t="s">
        <v>237</v>
      </c>
      <c r="F83" s="263" t="s">
        <v>237</v>
      </c>
      <c r="G83" s="263" t="s">
        <v>237</v>
      </c>
      <c r="H83" s="263" t="s">
        <v>237</v>
      </c>
      <c r="I83" s="263" t="s">
        <v>237</v>
      </c>
      <c r="J83" s="263" t="s">
        <v>237</v>
      </c>
      <c r="K83" s="263" t="s">
        <v>237</v>
      </c>
      <c r="L83" s="263" t="s">
        <v>237</v>
      </c>
      <c r="M83" s="263" t="s">
        <v>237</v>
      </c>
      <c r="N83" s="263" t="s">
        <v>237</v>
      </c>
      <c r="O83" s="263" t="s">
        <v>237</v>
      </c>
      <c r="P83" s="263" t="s">
        <v>237</v>
      </c>
      <c r="Q83" s="263" t="s">
        <v>237</v>
      </c>
      <c r="R83" s="263" t="s">
        <v>237</v>
      </c>
      <c r="S83" s="263" t="s">
        <v>237</v>
      </c>
      <c r="T83" s="263" t="s">
        <v>237</v>
      </c>
      <c r="U83" s="263" t="s">
        <v>237</v>
      </c>
      <c r="V83" s="263" t="s">
        <v>237</v>
      </c>
      <c r="W83" s="263" t="s">
        <v>237</v>
      </c>
      <c r="X83" s="263" t="s">
        <v>237</v>
      </c>
      <c r="Y83" s="263" t="s">
        <v>237</v>
      </c>
      <c r="Z83" s="263" t="s">
        <v>237</v>
      </c>
      <c r="AA83" s="263" t="s">
        <v>237</v>
      </c>
      <c r="AB83" s="263" t="s">
        <v>237</v>
      </c>
      <c r="AC83" s="263" t="s">
        <v>237</v>
      </c>
      <c r="AD83" s="263" t="s">
        <v>237</v>
      </c>
      <c r="AE83" s="263" t="s">
        <v>237</v>
      </c>
      <c r="AF83" s="263" t="s">
        <v>237</v>
      </c>
      <c r="AG83" s="263" t="s">
        <v>237</v>
      </c>
      <c r="AH83" s="264" t="s">
        <v>237</v>
      </c>
    </row>
    <row r="84" spans="2:34" hidden="1" outlineLevel="1">
      <c r="B84" s="196">
        <v>0</v>
      </c>
      <c r="C84" s="197" t="s">
        <v>237</v>
      </c>
      <c r="D84" s="259" t="s">
        <v>237</v>
      </c>
      <c r="E84" s="260" t="s">
        <v>237</v>
      </c>
      <c r="F84" s="260" t="s">
        <v>237</v>
      </c>
      <c r="G84" s="260" t="s">
        <v>237</v>
      </c>
      <c r="H84" s="260" t="s">
        <v>237</v>
      </c>
      <c r="I84" s="260" t="s">
        <v>237</v>
      </c>
      <c r="J84" s="260" t="s">
        <v>237</v>
      </c>
      <c r="K84" s="260" t="s">
        <v>237</v>
      </c>
      <c r="L84" s="260" t="s">
        <v>237</v>
      </c>
      <c r="M84" s="260" t="s">
        <v>237</v>
      </c>
      <c r="N84" s="260" t="s">
        <v>237</v>
      </c>
      <c r="O84" s="260" t="s">
        <v>237</v>
      </c>
      <c r="P84" s="260" t="s">
        <v>237</v>
      </c>
      <c r="Q84" s="260" t="s">
        <v>237</v>
      </c>
      <c r="R84" s="260" t="s">
        <v>237</v>
      </c>
      <c r="S84" s="260" t="s">
        <v>237</v>
      </c>
      <c r="T84" s="260" t="s">
        <v>237</v>
      </c>
      <c r="U84" s="260" t="s">
        <v>237</v>
      </c>
      <c r="V84" s="260" t="s">
        <v>237</v>
      </c>
      <c r="W84" s="260" t="s">
        <v>237</v>
      </c>
      <c r="X84" s="260" t="s">
        <v>237</v>
      </c>
      <c r="Y84" s="260" t="s">
        <v>237</v>
      </c>
      <c r="Z84" s="260" t="s">
        <v>237</v>
      </c>
      <c r="AA84" s="260" t="s">
        <v>237</v>
      </c>
      <c r="AB84" s="260" t="s">
        <v>237</v>
      </c>
      <c r="AC84" s="260" t="s">
        <v>237</v>
      </c>
      <c r="AD84" s="260" t="s">
        <v>237</v>
      </c>
      <c r="AE84" s="260" t="s">
        <v>237</v>
      </c>
      <c r="AF84" s="260" t="s">
        <v>237</v>
      </c>
      <c r="AG84" s="260" t="s">
        <v>237</v>
      </c>
      <c r="AH84" s="261" t="s">
        <v>237</v>
      </c>
    </row>
    <row r="85" spans="2:34" hidden="1" outlineLevel="1">
      <c r="B85" s="87">
        <v>0</v>
      </c>
      <c r="C85" s="133" t="s">
        <v>237</v>
      </c>
      <c r="D85" s="262" t="s">
        <v>237</v>
      </c>
      <c r="E85" s="263" t="s">
        <v>237</v>
      </c>
      <c r="F85" s="263" t="s">
        <v>237</v>
      </c>
      <c r="G85" s="263" t="s">
        <v>237</v>
      </c>
      <c r="H85" s="263" t="s">
        <v>237</v>
      </c>
      <c r="I85" s="263" t="s">
        <v>237</v>
      </c>
      <c r="J85" s="263" t="s">
        <v>237</v>
      </c>
      <c r="K85" s="263" t="s">
        <v>237</v>
      </c>
      <c r="L85" s="263" t="s">
        <v>237</v>
      </c>
      <c r="M85" s="263" t="s">
        <v>237</v>
      </c>
      <c r="N85" s="263" t="s">
        <v>237</v>
      </c>
      <c r="O85" s="263" t="s">
        <v>237</v>
      </c>
      <c r="P85" s="263" t="s">
        <v>237</v>
      </c>
      <c r="Q85" s="263" t="s">
        <v>237</v>
      </c>
      <c r="R85" s="263" t="s">
        <v>237</v>
      </c>
      <c r="S85" s="263" t="s">
        <v>237</v>
      </c>
      <c r="T85" s="263" t="s">
        <v>237</v>
      </c>
      <c r="U85" s="263" t="s">
        <v>237</v>
      </c>
      <c r="V85" s="263" t="s">
        <v>237</v>
      </c>
      <c r="W85" s="263" t="s">
        <v>237</v>
      </c>
      <c r="X85" s="263" t="s">
        <v>237</v>
      </c>
      <c r="Y85" s="263" t="s">
        <v>237</v>
      </c>
      <c r="Z85" s="263" t="s">
        <v>237</v>
      </c>
      <c r="AA85" s="263" t="s">
        <v>237</v>
      </c>
      <c r="AB85" s="263" t="s">
        <v>237</v>
      </c>
      <c r="AC85" s="263" t="s">
        <v>237</v>
      </c>
      <c r="AD85" s="263" t="s">
        <v>237</v>
      </c>
      <c r="AE85" s="263" t="s">
        <v>237</v>
      </c>
      <c r="AF85" s="263" t="s">
        <v>237</v>
      </c>
      <c r="AG85" s="263" t="s">
        <v>237</v>
      </c>
      <c r="AH85" s="264" t="s">
        <v>237</v>
      </c>
    </row>
    <row r="86" spans="2:34" hidden="1" outlineLevel="1">
      <c r="B86" s="196">
        <v>0</v>
      </c>
      <c r="C86" s="197" t="s">
        <v>237</v>
      </c>
      <c r="D86" s="259" t="s">
        <v>237</v>
      </c>
      <c r="E86" s="260" t="s">
        <v>237</v>
      </c>
      <c r="F86" s="260" t="s">
        <v>237</v>
      </c>
      <c r="G86" s="260" t="s">
        <v>237</v>
      </c>
      <c r="H86" s="260" t="s">
        <v>237</v>
      </c>
      <c r="I86" s="260" t="s">
        <v>237</v>
      </c>
      <c r="J86" s="260" t="s">
        <v>237</v>
      </c>
      <c r="K86" s="260" t="s">
        <v>237</v>
      </c>
      <c r="L86" s="260" t="s">
        <v>237</v>
      </c>
      <c r="M86" s="260" t="s">
        <v>237</v>
      </c>
      <c r="N86" s="260" t="s">
        <v>237</v>
      </c>
      <c r="O86" s="260" t="s">
        <v>237</v>
      </c>
      <c r="P86" s="260" t="s">
        <v>237</v>
      </c>
      <c r="Q86" s="260" t="s">
        <v>237</v>
      </c>
      <c r="R86" s="260" t="s">
        <v>237</v>
      </c>
      <c r="S86" s="260" t="s">
        <v>237</v>
      </c>
      <c r="T86" s="260" t="s">
        <v>237</v>
      </c>
      <c r="U86" s="260" t="s">
        <v>237</v>
      </c>
      <c r="V86" s="260" t="s">
        <v>237</v>
      </c>
      <c r="W86" s="260" t="s">
        <v>237</v>
      </c>
      <c r="X86" s="260" t="s">
        <v>237</v>
      </c>
      <c r="Y86" s="260" t="s">
        <v>237</v>
      </c>
      <c r="Z86" s="260" t="s">
        <v>237</v>
      </c>
      <c r="AA86" s="260" t="s">
        <v>237</v>
      </c>
      <c r="AB86" s="260" t="s">
        <v>237</v>
      </c>
      <c r="AC86" s="260" t="s">
        <v>237</v>
      </c>
      <c r="AD86" s="260" t="s">
        <v>237</v>
      </c>
      <c r="AE86" s="260" t="s">
        <v>237</v>
      </c>
      <c r="AF86" s="260" t="s">
        <v>237</v>
      </c>
      <c r="AG86" s="260" t="s">
        <v>237</v>
      </c>
      <c r="AH86" s="261" t="s">
        <v>237</v>
      </c>
    </row>
    <row r="87" spans="2:34" hidden="1" outlineLevel="1">
      <c r="B87" s="87">
        <v>0</v>
      </c>
      <c r="C87" s="133" t="s">
        <v>237</v>
      </c>
      <c r="D87" s="262" t="s">
        <v>237</v>
      </c>
      <c r="E87" s="263" t="s">
        <v>237</v>
      </c>
      <c r="F87" s="263" t="s">
        <v>237</v>
      </c>
      <c r="G87" s="263" t="s">
        <v>237</v>
      </c>
      <c r="H87" s="263" t="s">
        <v>237</v>
      </c>
      <c r="I87" s="263" t="s">
        <v>237</v>
      </c>
      <c r="J87" s="263" t="s">
        <v>237</v>
      </c>
      <c r="K87" s="263" t="s">
        <v>237</v>
      </c>
      <c r="L87" s="263" t="s">
        <v>237</v>
      </c>
      <c r="M87" s="263" t="s">
        <v>237</v>
      </c>
      <c r="N87" s="263" t="s">
        <v>237</v>
      </c>
      <c r="O87" s="263" t="s">
        <v>237</v>
      </c>
      <c r="P87" s="263" t="s">
        <v>237</v>
      </c>
      <c r="Q87" s="263" t="s">
        <v>237</v>
      </c>
      <c r="R87" s="263" t="s">
        <v>237</v>
      </c>
      <c r="S87" s="263" t="s">
        <v>237</v>
      </c>
      <c r="T87" s="263" t="s">
        <v>237</v>
      </c>
      <c r="U87" s="263" t="s">
        <v>237</v>
      </c>
      <c r="V87" s="263" t="s">
        <v>237</v>
      </c>
      <c r="W87" s="263" t="s">
        <v>237</v>
      </c>
      <c r="X87" s="263" t="s">
        <v>237</v>
      </c>
      <c r="Y87" s="263" t="s">
        <v>237</v>
      </c>
      <c r="Z87" s="263" t="s">
        <v>237</v>
      </c>
      <c r="AA87" s="263" t="s">
        <v>237</v>
      </c>
      <c r="AB87" s="263" t="s">
        <v>237</v>
      </c>
      <c r="AC87" s="263" t="s">
        <v>237</v>
      </c>
      <c r="AD87" s="263" t="s">
        <v>237</v>
      </c>
      <c r="AE87" s="263" t="s">
        <v>237</v>
      </c>
      <c r="AF87" s="263" t="s">
        <v>237</v>
      </c>
      <c r="AG87" s="263" t="s">
        <v>237</v>
      </c>
      <c r="AH87" s="264" t="s">
        <v>237</v>
      </c>
    </row>
    <row r="88" spans="2:34" hidden="1" outlineLevel="1">
      <c r="B88" s="196">
        <v>0</v>
      </c>
      <c r="C88" s="197" t="s">
        <v>237</v>
      </c>
      <c r="D88" s="259" t="s">
        <v>237</v>
      </c>
      <c r="E88" s="260" t="s">
        <v>237</v>
      </c>
      <c r="F88" s="260" t="s">
        <v>237</v>
      </c>
      <c r="G88" s="260" t="s">
        <v>237</v>
      </c>
      <c r="H88" s="260" t="s">
        <v>237</v>
      </c>
      <c r="I88" s="260" t="s">
        <v>237</v>
      </c>
      <c r="J88" s="260" t="s">
        <v>237</v>
      </c>
      <c r="K88" s="260" t="s">
        <v>237</v>
      </c>
      <c r="L88" s="260" t="s">
        <v>237</v>
      </c>
      <c r="M88" s="260" t="s">
        <v>237</v>
      </c>
      <c r="N88" s="260" t="s">
        <v>237</v>
      </c>
      <c r="O88" s="260" t="s">
        <v>237</v>
      </c>
      <c r="P88" s="260" t="s">
        <v>237</v>
      </c>
      <c r="Q88" s="260" t="s">
        <v>237</v>
      </c>
      <c r="R88" s="260" t="s">
        <v>237</v>
      </c>
      <c r="S88" s="260" t="s">
        <v>237</v>
      </c>
      <c r="T88" s="260" t="s">
        <v>237</v>
      </c>
      <c r="U88" s="260" t="s">
        <v>237</v>
      </c>
      <c r="V88" s="260" t="s">
        <v>237</v>
      </c>
      <c r="W88" s="260" t="s">
        <v>237</v>
      </c>
      <c r="X88" s="260" t="s">
        <v>237</v>
      </c>
      <c r="Y88" s="260" t="s">
        <v>237</v>
      </c>
      <c r="Z88" s="260" t="s">
        <v>237</v>
      </c>
      <c r="AA88" s="260" t="s">
        <v>237</v>
      </c>
      <c r="AB88" s="260" t="s">
        <v>237</v>
      </c>
      <c r="AC88" s="260" t="s">
        <v>237</v>
      </c>
      <c r="AD88" s="260" t="s">
        <v>237</v>
      </c>
      <c r="AE88" s="260" t="s">
        <v>237</v>
      </c>
      <c r="AF88" s="260" t="s">
        <v>237</v>
      </c>
      <c r="AG88" s="260" t="s">
        <v>237</v>
      </c>
      <c r="AH88" s="261" t="s">
        <v>237</v>
      </c>
    </row>
    <row r="89" spans="2:34" hidden="1" outlineLevel="1">
      <c r="B89" s="87">
        <v>0</v>
      </c>
      <c r="C89" s="133" t="s">
        <v>237</v>
      </c>
      <c r="D89" s="262" t="s">
        <v>237</v>
      </c>
      <c r="E89" s="263" t="s">
        <v>237</v>
      </c>
      <c r="F89" s="263" t="s">
        <v>237</v>
      </c>
      <c r="G89" s="263" t="s">
        <v>237</v>
      </c>
      <c r="H89" s="263" t="s">
        <v>237</v>
      </c>
      <c r="I89" s="263" t="s">
        <v>237</v>
      </c>
      <c r="J89" s="263" t="s">
        <v>237</v>
      </c>
      <c r="K89" s="263" t="s">
        <v>237</v>
      </c>
      <c r="L89" s="263" t="s">
        <v>237</v>
      </c>
      <c r="M89" s="263" t="s">
        <v>237</v>
      </c>
      <c r="N89" s="263" t="s">
        <v>237</v>
      </c>
      <c r="O89" s="263" t="s">
        <v>237</v>
      </c>
      <c r="P89" s="263" t="s">
        <v>237</v>
      </c>
      <c r="Q89" s="263" t="s">
        <v>237</v>
      </c>
      <c r="R89" s="263" t="s">
        <v>237</v>
      </c>
      <c r="S89" s="263" t="s">
        <v>237</v>
      </c>
      <c r="T89" s="263" t="s">
        <v>237</v>
      </c>
      <c r="U89" s="263" t="s">
        <v>237</v>
      </c>
      <c r="V89" s="263" t="s">
        <v>237</v>
      </c>
      <c r="W89" s="263" t="s">
        <v>237</v>
      </c>
      <c r="X89" s="263" t="s">
        <v>237</v>
      </c>
      <c r="Y89" s="263" t="s">
        <v>237</v>
      </c>
      <c r="Z89" s="263" t="s">
        <v>237</v>
      </c>
      <c r="AA89" s="263" t="s">
        <v>237</v>
      </c>
      <c r="AB89" s="263" t="s">
        <v>237</v>
      </c>
      <c r="AC89" s="263" t="s">
        <v>237</v>
      </c>
      <c r="AD89" s="263" t="s">
        <v>237</v>
      </c>
      <c r="AE89" s="263" t="s">
        <v>237</v>
      </c>
      <c r="AF89" s="263" t="s">
        <v>237</v>
      </c>
      <c r="AG89" s="263" t="s">
        <v>237</v>
      </c>
      <c r="AH89" s="264" t="s">
        <v>237</v>
      </c>
    </row>
    <row r="90" spans="2:34" hidden="1" outlineLevel="1">
      <c r="B90" s="196">
        <v>0</v>
      </c>
      <c r="C90" s="197" t="s">
        <v>237</v>
      </c>
      <c r="D90" s="259" t="s">
        <v>237</v>
      </c>
      <c r="E90" s="260" t="s">
        <v>237</v>
      </c>
      <c r="F90" s="260" t="s">
        <v>237</v>
      </c>
      <c r="G90" s="260" t="s">
        <v>237</v>
      </c>
      <c r="H90" s="260" t="s">
        <v>237</v>
      </c>
      <c r="I90" s="260" t="s">
        <v>237</v>
      </c>
      <c r="J90" s="260" t="s">
        <v>237</v>
      </c>
      <c r="K90" s="260" t="s">
        <v>237</v>
      </c>
      <c r="L90" s="260" t="s">
        <v>237</v>
      </c>
      <c r="M90" s="260" t="s">
        <v>237</v>
      </c>
      <c r="N90" s="260" t="s">
        <v>237</v>
      </c>
      <c r="O90" s="260" t="s">
        <v>237</v>
      </c>
      <c r="P90" s="260" t="s">
        <v>237</v>
      </c>
      <c r="Q90" s="260" t="s">
        <v>237</v>
      </c>
      <c r="R90" s="260" t="s">
        <v>237</v>
      </c>
      <c r="S90" s="260" t="s">
        <v>237</v>
      </c>
      <c r="T90" s="260" t="s">
        <v>237</v>
      </c>
      <c r="U90" s="260" t="s">
        <v>237</v>
      </c>
      <c r="V90" s="260" t="s">
        <v>237</v>
      </c>
      <c r="W90" s="260" t="s">
        <v>237</v>
      </c>
      <c r="X90" s="260" t="s">
        <v>237</v>
      </c>
      <c r="Y90" s="260" t="s">
        <v>237</v>
      </c>
      <c r="Z90" s="260" t="s">
        <v>237</v>
      </c>
      <c r="AA90" s="260" t="s">
        <v>237</v>
      </c>
      <c r="AB90" s="260" t="s">
        <v>237</v>
      </c>
      <c r="AC90" s="260" t="s">
        <v>237</v>
      </c>
      <c r="AD90" s="260" t="s">
        <v>237</v>
      </c>
      <c r="AE90" s="260" t="s">
        <v>237</v>
      </c>
      <c r="AF90" s="260" t="s">
        <v>237</v>
      </c>
      <c r="AG90" s="260" t="s">
        <v>237</v>
      </c>
      <c r="AH90" s="261" t="s">
        <v>237</v>
      </c>
    </row>
    <row r="91" spans="2:34" hidden="1" outlineLevel="1">
      <c r="B91" s="87">
        <v>0</v>
      </c>
      <c r="C91" s="133" t="s">
        <v>237</v>
      </c>
      <c r="D91" s="262" t="s">
        <v>237</v>
      </c>
      <c r="E91" s="263" t="s">
        <v>237</v>
      </c>
      <c r="F91" s="263" t="s">
        <v>237</v>
      </c>
      <c r="G91" s="263" t="s">
        <v>237</v>
      </c>
      <c r="H91" s="263" t="s">
        <v>237</v>
      </c>
      <c r="I91" s="263" t="s">
        <v>237</v>
      </c>
      <c r="J91" s="263" t="s">
        <v>237</v>
      </c>
      <c r="K91" s="263" t="s">
        <v>237</v>
      </c>
      <c r="L91" s="263" t="s">
        <v>237</v>
      </c>
      <c r="M91" s="263" t="s">
        <v>237</v>
      </c>
      <c r="N91" s="263" t="s">
        <v>237</v>
      </c>
      <c r="O91" s="263" t="s">
        <v>237</v>
      </c>
      <c r="P91" s="263" t="s">
        <v>237</v>
      </c>
      <c r="Q91" s="263" t="s">
        <v>237</v>
      </c>
      <c r="R91" s="263" t="s">
        <v>237</v>
      </c>
      <c r="S91" s="263" t="s">
        <v>237</v>
      </c>
      <c r="T91" s="263" t="s">
        <v>237</v>
      </c>
      <c r="U91" s="263" t="s">
        <v>237</v>
      </c>
      <c r="V91" s="263" t="s">
        <v>237</v>
      </c>
      <c r="W91" s="263" t="s">
        <v>237</v>
      </c>
      <c r="X91" s="263" t="s">
        <v>237</v>
      </c>
      <c r="Y91" s="263" t="s">
        <v>237</v>
      </c>
      <c r="Z91" s="263" t="s">
        <v>237</v>
      </c>
      <c r="AA91" s="263" t="s">
        <v>237</v>
      </c>
      <c r="AB91" s="263" t="s">
        <v>237</v>
      </c>
      <c r="AC91" s="263" t="s">
        <v>237</v>
      </c>
      <c r="AD91" s="263" t="s">
        <v>237</v>
      </c>
      <c r="AE91" s="263" t="s">
        <v>237</v>
      </c>
      <c r="AF91" s="263" t="s">
        <v>237</v>
      </c>
      <c r="AG91" s="263" t="s">
        <v>237</v>
      </c>
      <c r="AH91" s="264" t="s">
        <v>237</v>
      </c>
    </row>
    <row r="92" spans="2:34" hidden="1" outlineLevel="1">
      <c r="B92" s="196">
        <v>0</v>
      </c>
      <c r="C92" s="197" t="s">
        <v>237</v>
      </c>
      <c r="D92" s="259" t="s">
        <v>237</v>
      </c>
      <c r="E92" s="260" t="s">
        <v>237</v>
      </c>
      <c r="F92" s="260" t="s">
        <v>237</v>
      </c>
      <c r="G92" s="260" t="s">
        <v>237</v>
      </c>
      <c r="H92" s="260" t="s">
        <v>237</v>
      </c>
      <c r="I92" s="260" t="s">
        <v>237</v>
      </c>
      <c r="J92" s="260" t="s">
        <v>237</v>
      </c>
      <c r="K92" s="260" t="s">
        <v>237</v>
      </c>
      <c r="L92" s="260" t="s">
        <v>237</v>
      </c>
      <c r="M92" s="260" t="s">
        <v>237</v>
      </c>
      <c r="N92" s="260" t="s">
        <v>237</v>
      </c>
      <c r="O92" s="260" t="s">
        <v>237</v>
      </c>
      <c r="P92" s="260" t="s">
        <v>237</v>
      </c>
      <c r="Q92" s="260" t="s">
        <v>237</v>
      </c>
      <c r="R92" s="260" t="s">
        <v>237</v>
      </c>
      <c r="S92" s="260" t="s">
        <v>237</v>
      </c>
      <c r="T92" s="260" t="s">
        <v>237</v>
      </c>
      <c r="U92" s="260" t="s">
        <v>237</v>
      </c>
      <c r="V92" s="260" t="s">
        <v>237</v>
      </c>
      <c r="W92" s="260" t="s">
        <v>237</v>
      </c>
      <c r="X92" s="260" t="s">
        <v>237</v>
      </c>
      <c r="Y92" s="260" t="s">
        <v>237</v>
      </c>
      <c r="Z92" s="260" t="s">
        <v>237</v>
      </c>
      <c r="AA92" s="260" t="s">
        <v>237</v>
      </c>
      <c r="AB92" s="260" t="s">
        <v>237</v>
      </c>
      <c r="AC92" s="260" t="s">
        <v>237</v>
      </c>
      <c r="AD92" s="260" t="s">
        <v>237</v>
      </c>
      <c r="AE92" s="260" t="s">
        <v>237</v>
      </c>
      <c r="AF92" s="260" t="s">
        <v>237</v>
      </c>
      <c r="AG92" s="260" t="s">
        <v>237</v>
      </c>
      <c r="AH92" s="261" t="s">
        <v>237</v>
      </c>
    </row>
    <row r="93" spans="2:34" hidden="1" outlineLevel="1">
      <c r="B93" s="87">
        <v>0</v>
      </c>
      <c r="C93" s="133" t="s">
        <v>237</v>
      </c>
      <c r="D93" s="262" t="s">
        <v>237</v>
      </c>
      <c r="E93" s="263" t="s">
        <v>237</v>
      </c>
      <c r="F93" s="263" t="s">
        <v>237</v>
      </c>
      <c r="G93" s="263" t="s">
        <v>237</v>
      </c>
      <c r="H93" s="263" t="s">
        <v>237</v>
      </c>
      <c r="I93" s="263" t="s">
        <v>237</v>
      </c>
      <c r="J93" s="263" t="s">
        <v>237</v>
      </c>
      <c r="K93" s="263" t="s">
        <v>237</v>
      </c>
      <c r="L93" s="263" t="s">
        <v>237</v>
      </c>
      <c r="M93" s="263" t="s">
        <v>237</v>
      </c>
      <c r="N93" s="263" t="s">
        <v>237</v>
      </c>
      <c r="O93" s="263" t="s">
        <v>237</v>
      </c>
      <c r="P93" s="263" t="s">
        <v>237</v>
      </c>
      <c r="Q93" s="263" t="s">
        <v>237</v>
      </c>
      <c r="R93" s="263" t="s">
        <v>237</v>
      </c>
      <c r="S93" s="263" t="s">
        <v>237</v>
      </c>
      <c r="T93" s="263" t="s">
        <v>237</v>
      </c>
      <c r="U93" s="263" t="s">
        <v>237</v>
      </c>
      <c r="V93" s="263" t="s">
        <v>237</v>
      </c>
      <c r="W93" s="263" t="s">
        <v>237</v>
      </c>
      <c r="X93" s="263" t="s">
        <v>237</v>
      </c>
      <c r="Y93" s="263" t="s">
        <v>237</v>
      </c>
      <c r="Z93" s="263" t="s">
        <v>237</v>
      </c>
      <c r="AA93" s="263" t="s">
        <v>237</v>
      </c>
      <c r="AB93" s="263" t="s">
        <v>237</v>
      </c>
      <c r="AC93" s="263" t="s">
        <v>237</v>
      </c>
      <c r="AD93" s="263" t="s">
        <v>237</v>
      </c>
      <c r="AE93" s="263" t="s">
        <v>237</v>
      </c>
      <c r="AF93" s="263" t="s">
        <v>237</v>
      </c>
      <c r="AG93" s="263" t="s">
        <v>237</v>
      </c>
      <c r="AH93" s="264" t="s">
        <v>237</v>
      </c>
    </row>
    <row r="94" spans="2:34" hidden="1" outlineLevel="1">
      <c r="B94" s="196">
        <v>0</v>
      </c>
      <c r="C94" s="197" t="s">
        <v>237</v>
      </c>
      <c r="D94" s="259" t="s">
        <v>237</v>
      </c>
      <c r="E94" s="260" t="s">
        <v>237</v>
      </c>
      <c r="F94" s="260" t="s">
        <v>237</v>
      </c>
      <c r="G94" s="260" t="s">
        <v>237</v>
      </c>
      <c r="H94" s="260" t="s">
        <v>237</v>
      </c>
      <c r="I94" s="260" t="s">
        <v>237</v>
      </c>
      <c r="J94" s="260" t="s">
        <v>237</v>
      </c>
      <c r="K94" s="260" t="s">
        <v>237</v>
      </c>
      <c r="L94" s="260" t="s">
        <v>237</v>
      </c>
      <c r="M94" s="260" t="s">
        <v>237</v>
      </c>
      <c r="N94" s="260" t="s">
        <v>237</v>
      </c>
      <c r="O94" s="260" t="s">
        <v>237</v>
      </c>
      <c r="P94" s="260" t="s">
        <v>237</v>
      </c>
      <c r="Q94" s="260" t="s">
        <v>237</v>
      </c>
      <c r="R94" s="260" t="s">
        <v>237</v>
      </c>
      <c r="S94" s="260" t="s">
        <v>237</v>
      </c>
      <c r="T94" s="260" t="s">
        <v>237</v>
      </c>
      <c r="U94" s="260" t="s">
        <v>237</v>
      </c>
      <c r="V94" s="260" t="s">
        <v>237</v>
      </c>
      <c r="W94" s="260" t="s">
        <v>237</v>
      </c>
      <c r="X94" s="260" t="s">
        <v>237</v>
      </c>
      <c r="Y94" s="260" t="s">
        <v>237</v>
      </c>
      <c r="Z94" s="260" t="s">
        <v>237</v>
      </c>
      <c r="AA94" s="260" t="s">
        <v>237</v>
      </c>
      <c r="AB94" s="260" t="s">
        <v>237</v>
      </c>
      <c r="AC94" s="260" t="s">
        <v>237</v>
      </c>
      <c r="AD94" s="260" t="s">
        <v>237</v>
      </c>
      <c r="AE94" s="260" t="s">
        <v>237</v>
      </c>
      <c r="AF94" s="260" t="s">
        <v>237</v>
      </c>
      <c r="AG94" s="260" t="s">
        <v>237</v>
      </c>
      <c r="AH94" s="261" t="s">
        <v>237</v>
      </c>
    </row>
    <row r="95" spans="2:34" hidden="1" outlineLevel="1">
      <c r="B95" s="87">
        <v>0</v>
      </c>
      <c r="C95" s="133" t="s">
        <v>237</v>
      </c>
      <c r="D95" s="262" t="s">
        <v>237</v>
      </c>
      <c r="E95" s="263" t="s">
        <v>237</v>
      </c>
      <c r="F95" s="263" t="s">
        <v>237</v>
      </c>
      <c r="G95" s="263" t="s">
        <v>237</v>
      </c>
      <c r="H95" s="263" t="s">
        <v>237</v>
      </c>
      <c r="I95" s="263" t="s">
        <v>237</v>
      </c>
      <c r="J95" s="263" t="s">
        <v>237</v>
      </c>
      <c r="K95" s="263" t="s">
        <v>237</v>
      </c>
      <c r="L95" s="263" t="s">
        <v>237</v>
      </c>
      <c r="M95" s="263" t="s">
        <v>237</v>
      </c>
      <c r="N95" s="263" t="s">
        <v>237</v>
      </c>
      <c r="O95" s="263" t="s">
        <v>237</v>
      </c>
      <c r="P95" s="263" t="s">
        <v>237</v>
      </c>
      <c r="Q95" s="263" t="s">
        <v>237</v>
      </c>
      <c r="R95" s="263" t="s">
        <v>237</v>
      </c>
      <c r="S95" s="263" t="s">
        <v>237</v>
      </c>
      <c r="T95" s="263" t="s">
        <v>237</v>
      </c>
      <c r="U95" s="263" t="s">
        <v>237</v>
      </c>
      <c r="V95" s="263" t="s">
        <v>237</v>
      </c>
      <c r="W95" s="263" t="s">
        <v>237</v>
      </c>
      <c r="X95" s="263" t="s">
        <v>237</v>
      </c>
      <c r="Y95" s="263" t="s">
        <v>237</v>
      </c>
      <c r="Z95" s="263" t="s">
        <v>237</v>
      </c>
      <c r="AA95" s="263" t="s">
        <v>237</v>
      </c>
      <c r="AB95" s="263" t="s">
        <v>237</v>
      </c>
      <c r="AC95" s="263" t="s">
        <v>237</v>
      </c>
      <c r="AD95" s="263" t="s">
        <v>237</v>
      </c>
      <c r="AE95" s="263" t="s">
        <v>237</v>
      </c>
      <c r="AF95" s="263" t="s">
        <v>237</v>
      </c>
      <c r="AG95" s="263" t="s">
        <v>237</v>
      </c>
      <c r="AH95" s="264" t="s">
        <v>237</v>
      </c>
    </row>
    <row r="96" spans="2:34" hidden="1" outlineLevel="1">
      <c r="B96" s="196">
        <v>0</v>
      </c>
      <c r="C96" s="197" t="s">
        <v>237</v>
      </c>
      <c r="D96" s="259" t="s">
        <v>237</v>
      </c>
      <c r="E96" s="260" t="s">
        <v>237</v>
      </c>
      <c r="F96" s="260" t="s">
        <v>237</v>
      </c>
      <c r="G96" s="260" t="s">
        <v>237</v>
      </c>
      <c r="H96" s="260" t="s">
        <v>237</v>
      </c>
      <c r="I96" s="260" t="s">
        <v>237</v>
      </c>
      <c r="J96" s="260" t="s">
        <v>237</v>
      </c>
      <c r="K96" s="260" t="s">
        <v>237</v>
      </c>
      <c r="L96" s="260" t="s">
        <v>237</v>
      </c>
      <c r="M96" s="260" t="s">
        <v>237</v>
      </c>
      <c r="N96" s="260" t="s">
        <v>237</v>
      </c>
      <c r="O96" s="260" t="s">
        <v>237</v>
      </c>
      <c r="P96" s="260" t="s">
        <v>237</v>
      </c>
      <c r="Q96" s="260" t="s">
        <v>237</v>
      </c>
      <c r="R96" s="260" t="s">
        <v>237</v>
      </c>
      <c r="S96" s="260" t="s">
        <v>237</v>
      </c>
      <c r="T96" s="260" t="s">
        <v>237</v>
      </c>
      <c r="U96" s="260" t="s">
        <v>237</v>
      </c>
      <c r="V96" s="260" t="s">
        <v>237</v>
      </c>
      <c r="W96" s="260" t="s">
        <v>237</v>
      </c>
      <c r="X96" s="260" t="s">
        <v>237</v>
      </c>
      <c r="Y96" s="260" t="s">
        <v>237</v>
      </c>
      <c r="Z96" s="260" t="s">
        <v>237</v>
      </c>
      <c r="AA96" s="260" t="s">
        <v>237</v>
      </c>
      <c r="AB96" s="260" t="s">
        <v>237</v>
      </c>
      <c r="AC96" s="260" t="s">
        <v>237</v>
      </c>
      <c r="AD96" s="260" t="s">
        <v>237</v>
      </c>
      <c r="AE96" s="260" t="s">
        <v>237</v>
      </c>
      <c r="AF96" s="260" t="s">
        <v>237</v>
      </c>
      <c r="AG96" s="260" t="s">
        <v>237</v>
      </c>
      <c r="AH96" s="261" t="s">
        <v>237</v>
      </c>
    </row>
    <row r="97" spans="2:34" hidden="1" outlineLevel="1">
      <c r="B97" s="87">
        <v>0</v>
      </c>
      <c r="C97" s="133" t="s">
        <v>237</v>
      </c>
      <c r="D97" s="262" t="s">
        <v>237</v>
      </c>
      <c r="E97" s="263" t="s">
        <v>237</v>
      </c>
      <c r="F97" s="263" t="s">
        <v>237</v>
      </c>
      <c r="G97" s="263" t="s">
        <v>237</v>
      </c>
      <c r="H97" s="263" t="s">
        <v>237</v>
      </c>
      <c r="I97" s="263" t="s">
        <v>237</v>
      </c>
      <c r="J97" s="263" t="s">
        <v>237</v>
      </c>
      <c r="K97" s="263" t="s">
        <v>237</v>
      </c>
      <c r="L97" s="263" t="s">
        <v>237</v>
      </c>
      <c r="M97" s="263" t="s">
        <v>237</v>
      </c>
      <c r="N97" s="263" t="s">
        <v>237</v>
      </c>
      <c r="O97" s="263" t="s">
        <v>237</v>
      </c>
      <c r="P97" s="263" t="s">
        <v>237</v>
      </c>
      <c r="Q97" s="263" t="s">
        <v>237</v>
      </c>
      <c r="R97" s="263" t="s">
        <v>237</v>
      </c>
      <c r="S97" s="263" t="s">
        <v>237</v>
      </c>
      <c r="T97" s="263" t="s">
        <v>237</v>
      </c>
      <c r="U97" s="263" t="s">
        <v>237</v>
      </c>
      <c r="V97" s="263" t="s">
        <v>237</v>
      </c>
      <c r="W97" s="263" t="s">
        <v>237</v>
      </c>
      <c r="X97" s="263" t="s">
        <v>237</v>
      </c>
      <c r="Y97" s="263" t="s">
        <v>237</v>
      </c>
      <c r="Z97" s="263" t="s">
        <v>237</v>
      </c>
      <c r="AA97" s="263" t="s">
        <v>237</v>
      </c>
      <c r="AB97" s="263" t="s">
        <v>237</v>
      </c>
      <c r="AC97" s="263" t="s">
        <v>237</v>
      </c>
      <c r="AD97" s="263" t="s">
        <v>237</v>
      </c>
      <c r="AE97" s="263" t="s">
        <v>237</v>
      </c>
      <c r="AF97" s="263" t="s">
        <v>237</v>
      </c>
      <c r="AG97" s="263" t="s">
        <v>237</v>
      </c>
      <c r="AH97" s="264" t="s">
        <v>237</v>
      </c>
    </row>
    <row r="98" spans="2:34" hidden="1" outlineLevel="1">
      <c r="B98" s="196">
        <v>0</v>
      </c>
      <c r="C98" s="197" t="s">
        <v>237</v>
      </c>
      <c r="D98" s="259" t="s">
        <v>237</v>
      </c>
      <c r="E98" s="260" t="s">
        <v>237</v>
      </c>
      <c r="F98" s="260" t="s">
        <v>237</v>
      </c>
      <c r="G98" s="260" t="s">
        <v>237</v>
      </c>
      <c r="H98" s="260" t="s">
        <v>237</v>
      </c>
      <c r="I98" s="260" t="s">
        <v>237</v>
      </c>
      <c r="J98" s="260" t="s">
        <v>237</v>
      </c>
      <c r="K98" s="260" t="s">
        <v>237</v>
      </c>
      <c r="L98" s="260" t="s">
        <v>237</v>
      </c>
      <c r="M98" s="260" t="s">
        <v>237</v>
      </c>
      <c r="N98" s="260" t="s">
        <v>237</v>
      </c>
      <c r="O98" s="260" t="s">
        <v>237</v>
      </c>
      <c r="P98" s="260" t="s">
        <v>237</v>
      </c>
      <c r="Q98" s="260" t="s">
        <v>237</v>
      </c>
      <c r="R98" s="260" t="s">
        <v>237</v>
      </c>
      <c r="S98" s="260" t="s">
        <v>237</v>
      </c>
      <c r="T98" s="260" t="s">
        <v>237</v>
      </c>
      <c r="U98" s="260" t="s">
        <v>237</v>
      </c>
      <c r="V98" s="260" t="s">
        <v>237</v>
      </c>
      <c r="W98" s="260" t="s">
        <v>237</v>
      </c>
      <c r="X98" s="260" t="s">
        <v>237</v>
      </c>
      <c r="Y98" s="260" t="s">
        <v>237</v>
      </c>
      <c r="Z98" s="260" t="s">
        <v>237</v>
      </c>
      <c r="AA98" s="260" t="s">
        <v>237</v>
      </c>
      <c r="AB98" s="260" t="s">
        <v>237</v>
      </c>
      <c r="AC98" s="260" t="s">
        <v>237</v>
      </c>
      <c r="AD98" s="260" t="s">
        <v>237</v>
      </c>
      <c r="AE98" s="260" t="s">
        <v>237</v>
      </c>
      <c r="AF98" s="260" t="s">
        <v>237</v>
      </c>
      <c r="AG98" s="260" t="s">
        <v>237</v>
      </c>
      <c r="AH98" s="261" t="s">
        <v>237</v>
      </c>
    </row>
    <row r="99" spans="2:34" hidden="1" outlineLevel="1">
      <c r="B99" s="87">
        <v>0</v>
      </c>
      <c r="C99" s="133" t="s">
        <v>237</v>
      </c>
      <c r="D99" s="262" t="s">
        <v>237</v>
      </c>
      <c r="E99" s="263" t="s">
        <v>237</v>
      </c>
      <c r="F99" s="263" t="s">
        <v>237</v>
      </c>
      <c r="G99" s="263" t="s">
        <v>237</v>
      </c>
      <c r="H99" s="263" t="s">
        <v>237</v>
      </c>
      <c r="I99" s="263" t="s">
        <v>237</v>
      </c>
      <c r="J99" s="263" t="s">
        <v>237</v>
      </c>
      <c r="K99" s="263" t="s">
        <v>237</v>
      </c>
      <c r="L99" s="263" t="s">
        <v>237</v>
      </c>
      <c r="M99" s="263" t="s">
        <v>237</v>
      </c>
      <c r="N99" s="263" t="s">
        <v>237</v>
      </c>
      <c r="O99" s="263" t="s">
        <v>237</v>
      </c>
      <c r="P99" s="263" t="s">
        <v>237</v>
      </c>
      <c r="Q99" s="263" t="s">
        <v>237</v>
      </c>
      <c r="R99" s="263" t="s">
        <v>237</v>
      </c>
      <c r="S99" s="263" t="s">
        <v>237</v>
      </c>
      <c r="T99" s="263" t="s">
        <v>237</v>
      </c>
      <c r="U99" s="263" t="s">
        <v>237</v>
      </c>
      <c r="V99" s="263" t="s">
        <v>237</v>
      </c>
      <c r="W99" s="263" t="s">
        <v>237</v>
      </c>
      <c r="X99" s="263" t="s">
        <v>237</v>
      </c>
      <c r="Y99" s="263" t="s">
        <v>237</v>
      </c>
      <c r="Z99" s="263" t="s">
        <v>237</v>
      </c>
      <c r="AA99" s="263" t="s">
        <v>237</v>
      </c>
      <c r="AB99" s="263" t="s">
        <v>237</v>
      </c>
      <c r="AC99" s="263" t="s">
        <v>237</v>
      </c>
      <c r="AD99" s="263" t="s">
        <v>237</v>
      </c>
      <c r="AE99" s="263" t="s">
        <v>237</v>
      </c>
      <c r="AF99" s="263" t="s">
        <v>237</v>
      </c>
      <c r="AG99" s="263" t="s">
        <v>237</v>
      </c>
      <c r="AH99" s="264" t="s">
        <v>237</v>
      </c>
    </row>
    <row r="100" spans="2:34" hidden="1" outlineLevel="1">
      <c r="B100" s="196">
        <v>0</v>
      </c>
      <c r="C100" s="197" t="s">
        <v>237</v>
      </c>
      <c r="D100" s="259" t="s">
        <v>237</v>
      </c>
      <c r="E100" s="260" t="s">
        <v>237</v>
      </c>
      <c r="F100" s="260" t="s">
        <v>237</v>
      </c>
      <c r="G100" s="260" t="s">
        <v>237</v>
      </c>
      <c r="H100" s="260" t="s">
        <v>237</v>
      </c>
      <c r="I100" s="260" t="s">
        <v>237</v>
      </c>
      <c r="J100" s="260" t="s">
        <v>237</v>
      </c>
      <c r="K100" s="260" t="s">
        <v>237</v>
      </c>
      <c r="L100" s="260" t="s">
        <v>237</v>
      </c>
      <c r="M100" s="260" t="s">
        <v>237</v>
      </c>
      <c r="N100" s="260" t="s">
        <v>237</v>
      </c>
      <c r="O100" s="260" t="s">
        <v>237</v>
      </c>
      <c r="P100" s="260" t="s">
        <v>237</v>
      </c>
      <c r="Q100" s="260" t="s">
        <v>237</v>
      </c>
      <c r="R100" s="260" t="s">
        <v>237</v>
      </c>
      <c r="S100" s="260" t="s">
        <v>237</v>
      </c>
      <c r="T100" s="260" t="s">
        <v>237</v>
      </c>
      <c r="U100" s="260" t="s">
        <v>237</v>
      </c>
      <c r="V100" s="260" t="s">
        <v>237</v>
      </c>
      <c r="W100" s="260" t="s">
        <v>237</v>
      </c>
      <c r="X100" s="260" t="s">
        <v>237</v>
      </c>
      <c r="Y100" s="260" t="s">
        <v>237</v>
      </c>
      <c r="Z100" s="260" t="s">
        <v>237</v>
      </c>
      <c r="AA100" s="260" t="s">
        <v>237</v>
      </c>
      <c r="AB100" s="260" t="s">
        <v>237</v>
      </c>
      <c r="AC100" s="260" t="s">
        <v>237</v>
      </c>
      <c r="AD100" s="260" t="s">
        <v>237</v>
      </c>
      <c r="AE100" s="260" t="s">
        <v>237</v>
      </c>
      <c r="AF100" s="260" t="s">
        <v>237</v>
      </c>
      <c r="AG100" s="260" t="s">
        <v>237</v>
      </c>
      <c r="AH100" s="261" t="s">
        <v>237</v>
      </c>
    </row>
    <row r="101" spans="2:34" hidden="1" outlineLevel="1">
      <c r="B101" s="87">
        <v>0</v>
      </c>
      <c r="C101" s="133" t="s">
        <v>237</v>
      </c>
      <c r="D101" s="262" t="s">
        <v>237</v>
      </c>
      <c r="E101" s="263" t="s">
        <v>237</v>
      </c>
      <c r="F101" s="263" t="s">
        <v>237</v>
      </c>
      <c r="G101" s="263" t="s">
        <v>237</v>
      </c>
      <c r="H101" s="263" t="s">
        <v>237</v>
      </c>
      <c r="I101" s="263" t="s">
        <v>237</v>
      </c>
      <c r="J101" s="263" t="s">
        <v>237</v>
      </c>
      <c r="K101" s="263" t="s">
        <v>237</v>
      </c>
      <c r="L101" s="263" t="s">
        <v>237</v>
      </c>
      <c r="M101" s="263" t="s">
        <v>237</v>
      </c>
      <c r="N101" s="263" t="s">
        <v>237</v>
      </c>
      <c r="O101" s="263" t="s">
        <v>237</v>
      </c>
      <c r="P101" s="263" t="s">
        <v>237</v>
      </c>
      <c r="Q101" s="263" t="s">
        <v>237</v>
      </c>
      <c r="R101" s="263" t="s">
        <v>237</v>
      </c>
      <c r="S101" s="263" t="s">
        <v>237</v>
      </c>
      <c r="T101" s="263" t="s">
        <v>237</v>
      </c>
      <c r="U101" s="263" t="s">
        <v>237</v>
      </c>
      <c r="V101" s="263" t="s">
        <v>237</v>
      </c>
      <c r="W101" s="263" t="s">
        <v>237</v>
      </c>
      <c r="X101" s="263" t="s">
        <v>237</v>
      </c>
      <c r="Y101" s="263" t="s">
        <v>237</v>
      </c>
      <c r="Z101" s="263" t="s">
        <v>237</v>
      </c>
      <c r="AA101" s="263" t="s">
        <v>237</v>
      </c>
      <c r="AB101" s="263" t="s">
        <v>237</v>
      </c>
      <c r="AC101" s="263" t="s">
        <v>237</v>
      </c>
      <c r="AD101" s="263" t="s">
        <v>237</v>
      </c>
      <c r="AE101" s="263" t="s">
        <v>237</v>
      </c>
      <c r="AF101" s="263" t="s">
        <v>237</v>
      </c>
      <c r="AG101" s="263" t="s">
        <v>237</v>
      </c>
      <c r="AH101" s="264" t="s">
        <v>237</v>
      </c>
    </row>
    <row r="102" spans="2:34" hidden="1" outlineLevel="1">
      <c r="B102" s="196">
        <v>0</v>
      </c>
      <c r="C102" s="197" t="s">
        <v>237</v>
      </c>
      <c r="D102" s="259" t="s">
        <v>237</v>
      </c>
      <c r="E102" s="260" t="s">
        <v>237</v>
      </c>
      <c r="F102" s="260" t="s">
        <v>237</v>
      </c>
      <c r="G102" s="260" t="s">
        <v>237</v>
      </c>
      <c r="H102" s="260" t="s">
        <v>237</v>
      </c>
      <c r="I102" s="260" t="s">
        <v>237</v>
      </c>
      <c r="J102" s="260" t="s">
        <v>237</v>
      </c>
      <c r="K102" s="260" t="s">
        <v>237</v>
      </c>
      <c r="L102" s="260" t="s">
        <v>237</v>
      </c>
      <c r="M102" s="260" t="s">
        <v>237</v>
      </c>
      <c r="N102" s="260" t="s">
        <v>237</v>
      </c>
      <c r="O102" s="260" t="s">
        <v>237</v>
      </c>
      <c r="P102" s="260" t="s">
        <v>237</v>
      </c>
      <c r="Q102" s="260" t="s">
        <v>237</v>
      </c>
      <c r="R102" s="260" t="s">
        <v>237</v>
      </c>
      <c r="S102" s="260" t="s">
        <v>237</v>
      </c>
      <c r="T102" s="260" t="s">
        <v>237</v>
      </c>
      <c r="U102" s="260" t="s">
        <v>237</v>
      </c>
      <c r="V102" s="260" t="s">
        <v>237</v>
      </c>
      <c r="W102" s="260" t="s">
        <v>237</v>
      </c>
      <c r="X102" s="260" t="s">
        <v>237</v>
      </c>
      <c r="Y102" s="260" t="s">
        <v>237</v>
      </c>
      <c r="Z102" s="260" t="s">
        <v>237</v>
      </c>
      <c r="AA102" s="260" t="s">
        <v>237</v>
      </c>
      <c r="AB102" s="260" t="s">
        <v>237</v>
      </c>
      <c r="AC102" s="260" t="s">
        <v>237</v>
      </c>
      <c r="AD102" s="260" t="s">
        <v>237</v>
      </c>
      <c r="AE102" s="260" t="s">
        <v>237</v>
      </c>
      <c r="AF102" s="260" t="s">
        <v>237</v>
      </c>
      <c r="AG102" s="260" t="s">
        <v>237</v>
      </c>
      <c r="AH102" s="261" t="s">
        <v>237</v>
      </c>
    </row>
    <row r="103" spans="2:34" hidden="1" outlineLevel="1">
      <c r="B103" s="87">
        <v>0</v>
      </c>
      <c r="C103" s="133" t="s">
        <v>237</v>
      </c>
      <c r="D103" s="262" t="s">
        <v>237</v>
      </c>
      <c r="E103" s="263" t="s">
        <v>237</v>
      </c>
      <c r="F103" s="263" t="s">
        <v>237</v>
      </c>
      <c r="G103" s="263" t="s">
        <v>237</v>
      </c>
      <c r="H103" s="263" t="s">
        <v>237</v>
      </c>
      <c r="I103" s="263" t="s">
        <v>237</v>
      </c>
      <c r="J103" s="263" t="s">
        <v>237</v>
      </c>
      <c r="K103" s="263" t="s">
        <v>237</v>
      </c>
      <c r="L103" s="263" t="s">
        <v>237</v>
      </c>
      <c r="M103" s="263" t="s">
        <v>237</v>
      </c>
      <c r="N103" s="263" t="s">
        <v>237</v>
      </c>
      <c r="O103" s="263" t="s">
        <v>237</v>
      </c>
      <c r="P103" s="263" t="s">
        <v>237</v>
      </c>
      <c r="Q103" s="263" t="s">
        <v>237</v>
      </c>
      <c r="R103" s="263" t="s">
        <v>237</v>
      </c>
      <c r="S103" s="263" t="s">
        <v>237</v>
      </c>
      <c r="T103" s="263" t="s">
        <v>237</v>
      </c>
      <c r="U103" s="263" t="s">
        <v>237</v>
      </c>
      <c r="V103" s="263" t="s">
        <v>237</v>
      </c>
      <c r="W103" s="263" t="s">
        <v>237</v>
      </c>
      <c r="X103" s="263" t="s">
        <v>237</v>
      </c>
      <c r="Y103" s="263" t="s">
        <v>237</v>
      </c>
      <c r="Z103" s="263" t="s">
        <v>237</v>
      </c>
      <c r="AA103" s="263" t="s">
        <v>237</v>
      </c>
      <c r="AB103" s="263" t="s">
        <v>237</v>
      </c>
      <c r="AC103" s="263" t="s">
        <v>237</v>
      </c>
      <c r="AD103" s="263" t="s">
        <v>237</v>
      </c>
      <c r="AE103" s="263" t="s">
        <v>237</v>
      </c>
      <c r="AF103" s="263" t="s">
        <v>237</v>
      </c>
      <c r="AG103" s="263" t="s">
        <v>237</v>
      </c>
      <c r="AH103" s="264" t="s">
        <v>237</v>
      </c>
    </row>
    <row r="104" spans="2:34" hidden="1" outlineLevel="1">
      <c r="B104" s="196">
        <v>0</v>
      </c>
      <c r="C104" s="197" t="s">
        <v>237</v>
      </c>
      <c r="D104" s="259" t="s">
        <v>237</v>
      </c>
      <c r="E104" s="260" t="s">
        <v>237</v>
      </c>
      <c r="F104" s="260" t="s">
        <v>237</v>
      </c>
      <c r="G104" s="260" t="s">
        <v>237</v>
      </c>
      <c r="H104" s="260" t="s">
        <v>237</v>
      </c>
      <c r="I104" s="260" t="s">
        <v>237</v>
      </c>
      <c r="J104" s="260" t="s">
        <v>237</v>
      </c>
      <c r="K104" s="260" t="s">
        <v>237</v>
      </c>
      <c r="L104" s="260" t="s">
        <v>237</v>
      </c>
      <c r="M104" s="260" t="s">
        <v>237</v>
      </c>
      <c r="N104" s="260" t="s">
        <v>237</v>
      </c>
      <c r="O104" s="260" t="s">
        <v>237</v>
      </c>
      <c r="P104" s="260" t="s">
        <v>237</v>
      </c>
      <c r="Q104" s="260" t="s">
        <v>237</v>
      </c>
      <c r="R104" s="260" t="s">
        <v>237</v>
      </c>
      <c r="S104" s="260" t="s">
        <v>237</v>
      </c>
      <c r="T104" s="260" t="s">
        <v>237</v>
      </c>
      <c r="U104" s="260" t="s">
        <v>237</v>
      </c>
      <c r="V104" s="260" t="s">
        <v>237</v>
      </c>
      <c r="W104" s="260" t="s">
        <v>237</v>
      </c>
      <c r="X104" s="260" t="s">
        <v>237</v>
      </c>
      <c r="Y104" s="260" t="s">
        <v>237</v>
      </c>
      <c r="Z104" s="260" t="s">
        <v>237</v>
      </c>
      <c r="AA104" s="260" t="s">
        <v>237</v>
      </c>
      <c r="AB104" s="260" t="s">
        <v>237</v>
      </c>
      <c r="AC104" s="260" t="s">
        <v>237</v>
      </c>
      <c r="AD104" s="260" t="s">
        <v>237</v>
      </c>
      <c r="AE104" s="260" t="s">
        <v>237</v>
      </c>
      <c r="AF104" s="260" t="s">
        <v>237</v>
      </c>
      <c r="AG104" s="260" t="s">
        <v>237</v>
      </c>
      <c r="AH104" s="261" t="s">
        <v>237</v>
      </c>
    </row>
    <row r="105" spans="2:34" hidden="1" outlineLevel="1">
      <c r="B105" s="87">
        <v>0</v>
      </c>
      <c r="C105" s="133" t="s">
        <v>237</v>
      </c>
      <c r="D105" s="262" t="s">
        <v>237</v>
      </c>
      <c r="E105" s="263" t="s">
        <v>237</v>
      </c>
      <c r="F105" s="263" t="s">
        <v>237</v>
      </c>
      <c r="G105" s="263" t="s">
        <v>237</v>
      </c>
      <c r="H105" s="263" t="s">
        <v>237</v>
      </c>
      <c r="I105" s="263" t="s">
        <v>237</v>
      </c>
      <c r="J105" s="263" t="s">
        <v>237</v>
      </c>
      <c r="K105" s="263" t="s">
        <v>237</v>
      </c>
      <c r="L105" s="263" t="s">
        <v>237</v>
      </c>
      <c r="M105" s="263" t="s">
        <v>237</v>
      </c>
      <c r="N105" s="263" t="s">
        <v>237</v>
      </c>
      <c r="O105" s="263" t="s">
        <v>237</v>
      </c>
      <c r="P105" s="263" t="s">
        <v>237</v>
      </c>
      <c r="Q105" s="263" t="s">
        <v>237</v>
      </c>
      <c r="R105" s="263" t="s">
        <v>237</v>
      </c>
      <c r="S105" s="263" t="s">
        <v>237</v>
      </c>
      <c r="T105" s="263" t="s">
        <v>237</v>
      </c>
      <c r="U105" s="263" t="s">
        <v>237</v>
      </c>
      <c r="V105" s="263" t="s">
        <v>237</v>
      </c>
      <c r="W105" s="263" t="s">
        <v>237</v>
      </c>
      <c r="X105" s="263" t="s">
        <v>237</v>
      </c>
      <c r="Y105" s="263" t="s">
        <v>237</v>
      </c>
      <c r="Z105" s="263" t="s">
        <v>237</v>
      </c>
      <c r="AA105" s="263" t="s">
        <v>237</v>
      </c>
      <c r="AB105" s="263" t="s">
        <v>237</v>
      </c>
      <c r="AC105" s="263" t="s">
        <v>237</v>
      </c>
      <c r="AD105" s="263" t="s">
        <v>237</v>
      </c>
      <c r="AE105" s="263" t="s">
        <v>237</v>
      </c>
      <c r="AF105" s="263" t="s">
        <v>237</v>
      </c>
      <c r="AG105" s="263" t="s">
        <v>237</v>
      </c>
      <c r="AH105" s="264" t="s">
        <v>237</v>
      </c>
    </row>
    <row r="106" spans="2:34" hidden="1" outlineLevel="1">
      <c r="B106" s="196">
        <v>0</v>
      </c>
      <c r="C106" s="197" t="s">
        <v>237</v>
      </c>
      <c r="D106" s="259" t="s">
        <v>237</v>
      </c>
      <c r="E106" s="260" t="s">
        <v>237</v>
      </c>
      <c r="F106" s="260" t="s">
        <v>237</v>
      </c>
      <c r="G106" s="260" t="s">
        <v>237</v>
      </c>
      <c r="H106" s="260" t="s">
        <v>237</v>
      </c>
      <c r="I106" s="260" t="s">
        <v>237</v>
      </c>
      <c r="J106" s="260" t="s">
        <v>237</v>
      </c>
      <c r="K106" s="260" t="s">
        <v>237</v>
      </c>
      <c r="L106" s="260" t="s">
        <v>237</v>
      </c>
      <c r="M106" s="260" t="s">
        <v>237</v>
      </c>
      <c r="N106" s="260" t="s">
        <v>237</v>
      </c>
      <c r="O106" s="260" t="s">
        <v>237</v>
      </c>
      <c r="P106" s="260" t="s">
        <v>237</v>
      </c>
      <c r="Q106" s="260" t="s">
        <v>237</v>
      </c>
      <c r="R106" s="260" t="s">
        <v>237</v>
      </c>
      <c r="S106" s="260" t="s">
        <v>237</v>
      </c>
      <c r="T106" s="260" t="s">
        <v>237</v>
      </c>
      <c r="U106" s="260" t="s">
        <v>237</v>
      </c>
      <c r="V106" s="260" t="s">
        <v>237</v>
      </c>
      <c r="W106" s="260" t="s">
        <v>237</v>
      </c>
      <c r="X106" s="260" t="s">
        <v>237</v>
      </c>
      <c r="Y106" s="260" t="s">
        <v>237</v>
      </c>
      <c r="Z106" s="260" t="s">
        <v>237</v>
      </c>
      <c r="AA106" s="260" t="s">
        <v>237</v>
      </c>
      <c r="AB106" s="260" t="s">
        <v>237</v>
      </c>
      <c r="AC106" s="260" t="s">
        <v>237</v>
      </c>
      <c r="AD106" s="260" t="s">
        <v>237</v>
      </c>
      <c r="AE106" s="260" t="s">
        <v>237</v>
      </c>
      <c r="AF106" s="260" t="s">
        <v>237</v>
      </c>
      <c r="AG106" s="260" t="s">
        <v>237</v>
      </c>
      <c r="AH106" s="261" t="s">
        <v>237</v>
      </c>
    </row>
    <row r="107" spans="2:34" collapsed="1"/>
  </sheetData>
  <pageMargins left="0.7" right="0.7" top="0.75" bottom="0.75" header="0.3" footer="0.3"/>
  <headerFooter>
    <oddHeader>&amp;C&amp;"Calibri"&amp;10&amp;K808080 Corporate Use&amp;1#_x000D_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8FCB-6D1A-4560-97DC-43E9AAC24DEC}">
  <sheetPr>
    <tabColor rgb="FF00B050"/>
  </sheetPr>
  <dimension ref="B1:X15"/>
  <sheetViews>
    <sheetView tabSelected="1" topLeftCell="A4" workbookViewId="0">
      <selection activeCell="I13" sqref="I13"/>
    </sheetView>
  </sheetViews>
  <sheetFormatPr defaultColWidth="9.296875" defaultRowHeight="14.4"/>
  <cols>
    <col min="1" max="1" width="3.296875" style="3" customWidth="1"/>
    <col min="2" max="2" width="29.3984375" style="3" customWidth="1"/>
    <col min="3" max="4" width="10.59765625" style="3" customWidth="1"/>
    <col min="5" max="12" width="11.69921875" style="3" customWidth="1"/>
    <col min="13" max="15" width="13.59765625" style="3" hidden="1" customWidth="1"/>
    <col min="16" max="16" width="3.69921875" style="3" customWidth="1"/>
    <col min="17" max="18" width="13.59765625" style="3" customWidth="1"/>
    <col min="19" max="19" width="10.69921875" style="3" customWidth="1"/>
    <col min="20" max="20" width="9.296875" style="3"/>
    <col min="21" max="21" width="3.296875" style="3" customWidth="1"/>
    <col min="22" max="22" width="8" style="3" customWidth="1"/>
    <col min="23" max="23" width="7.69921875" style="3" customWidth="1"/>
    <col min="24" max="24" width="7" style="3" customWidth="1"/>
    <col min="25" max="16384" width="9.296875" style="3"/>
  </cols>
  <sheetData>
    <row r="1" spans="2:24" hidden="1">
      <c r="F1" s="3" t="str">
        <f>H7&amp;" to "&amp;J7</f>
        <v>25th percentile to 75th percentile</v>
      </c>
    </row>
    <row r="2" spans="2:24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24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24" ht="15.6">
      <c r="B5" s="583" t="s">
        <v>417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6" spans="2:24">
      <c r="R6" s="565" t="s">
        <v>27</v>
      </c>
      <c r="V6" s="565" t="s">
        <v>20</v>
      </c>
    </row>
    <row r="7" spans="2:24" s="43" customFormat="1" ht="51" customHeight="1">
      <c r="B7" s="378" t="s">
        <v>188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  <c r="R7" s="43" t="s">
        <v>12</v>
      </c>
      <c r="S7" s="43" t="s">
        <v>540</v>
      </c>
      <c r="T7" s="43" t="s">
        <v>539</v>
      </c>
      <c r="V7" s="43" t="str">
        <f>R7</f>
        <v>All</v>
      </c>
      <c r="W7" s="43" t="str">
        <f t="shared" ref="W7:X7" si="0">S7</f>
        <v>High Income</v>
      </c>
      <c r="X7" s="43" t="str">
        <f t="shared" si="0"/>
        <v>EMDE</v>
      </c>
    </row>
    <row r="8" spans="2:24" ht="15" customHeight="1">
      <c r="B8" s="376" t="s">
        <v>133</v>
      </c>
      <c r="C8" s="76">
        <v>52</v>
      </c>
      <c r="D8" s="76">
        <v>2030.0731322480474</v>
      </c>
      <c r="E8" s="448">
        <v>0.57599948406984769</v>
      </c>
      <c r="F8" s="131">
        <v>0</v>
      </c>
      <c r="G8" s="131">
        <v>5.2589198169884638E-2</v>
      </c>
      <c r="H8" s="131">
        <v>0.21812432757895131</v>
      </c>
      <c r="I8" s="564">
        <v>0.62268264109035387</v>
      </c>
      <c r="J8" s="131">
        <v>0.91335557223207242</v>
      </c>
      <c r="K8" s="131">
        <v>1</v>
      </c>
      <c r="L8" s="131">
        <v>1</v>
      </c>
      <c r="M8" s="3">
        <f t="shared" ref="M8" si="1">IF(ISERROR(L8),IF(N8="Grey",2,1),0)</f>
        <v>0</v>
      </c>
      <c r="O8" s="45"/>
      <c r="Q8" s="3" t="s">
        <v>534</v>
      </c>
      <c r="R8" s="38">
        <f>RR_SecGrp_Year!G1</f>
        <v>0.71634305025091161</v>
      </c>
      <c r="S8" s="566">
        <f>R8*$E$8/$E$13</f>
        <v>0.56573067125011534</v>
      </c>
      <c r="T8" s="566">
        <f>R8*$E$14/$E$13</f>
        <v>0.72906703032086007</v>
      </c>
      <c r="V8" s="566">
        <f>R8*I$14/E$14</f>
        <v>0.89077119004459815</v>
      </c>
      <c r="W8" s="566">
        <f>S8*I$8/E$8</f>
        <v>0.61158156953682796</v>
      </c>
      <c r="X8" s="566">
        <f>T8*I$14/E$14</f>
        <v>0.90659343451956287</v>
      </c>
    </row>
    <row r="9" spans="2:24" ht="15" customHeight="1">
      <c r="B9" s="377" t="s">
        <v>134</v>
      </c>
      <c r="C9" s="74">
        <v>555</v>
      </c>
      <c r="D9" s="74">
        <v>10596.035084137748</v>
      </c>
      <c r="E9" s="449">
        <v>0.73305910647267292</v>
      </c>
      <c r="F9" s="198">
        <v>0</v>
      </c>
      <c r="G9" s="198">
        <v>0.14801711143145169</v>
      </c>
      <c r="H9" s="198">
        <v>0.51691692481781981</v>
      </c>
      <c r="I9" s="449">
        <v>0.89177300182235197</v>
      </c>
      <c r="J9" s="198">
        <v>0.99519916189956437</v>
      </c>
      <c r="K9" s="198">
        <v>1</v>
      </c>
      <c r="L9" s="198">
        <v>1</v>
      </c>
      <c r="M9" s="3">
        <f>IF(ISERROR(L9),IF(N9="Grey",2,1),0)</f>
        <v>0</v>
      </c>
      <c r="N9" s="3" t="s">
        <v>101</v>
      </c>
      <c r="O9" s="45"/>
      <c r="Q9" s="3" t="s">
        <v>88</v>
      </c>
      <c r="R9" s="38">
        <f>RR_SecGrp_Year!F7</f>
        <v>0.72265483407178477</v>
      </c>
      <c r="S9" s="566">
        <f>R9*$E$8/$E$13</f>
        <v>0.57071539148508865</v>
      </c>
      <c r="T9" s="566">
        <f t="shared" ref="T9:T10" si="2">R9*$E$14/$E$13</f>
        <v>0.73549092664357774</v>
      </c>
      <c r="V9" s="566">
        <f t="shared" ref="V9:V10" si="3">R9*I$14/E$14</f>
        <v>0.89861988095247269</v>
      </c>
      <c r="W9" s="566">
        <f t="shared" ref="W9:W10" si="4">S9*I$8/E$8</f>
        <v>0.61697028749032057</v>
      </c>
      <c r="X9" s="566">
        <f t="shared" ref="X9:X10" si="5">T9*I$14/E$14</f>
        <v>0.91458153710547607</v>
      </c>
    </row>
    <row r="10" spans="2:24" ht="15" customHeight="1">
      <c r="B10" s="376" t="s">
        <v>135</v>
      </c>
      <c r="C10" s="76">
        <v>647</v>
      </c>
      <c r="D10" s="76">
        <v>9331.3716218253503</v>
      </c>
      <c r="E10" s="448">
        <v>0.73803405102117425</v>
      </c>
      <c r="F10" s="131">
        <v>0</v>
      </c>
      <c r="G10" s="131">
        <v>9.9958336544786489E-2</v>
      </c>
      <c r="H10" s="131">
        <v>0.54844991200637094</v>
      </c>
      <c r="I10" s="448">
        <v>0.91812520908349948</v>
      </c>
      <c r="J10" s="131">
        <v>0.99863944241067304</v>
      </c>
      <c r="K10" s="131">
        <v>1</v>
      </c>
      <c r="L10" s="131">
        <v>1</v>
      </c>
      <c r="M10" s="3">
        <f t="shared" ref="M10:M11" si="6">IF(ISERROR(L10),IF(N10="Grey",2,1),0)</f>
        <v>0</v>
      </c>
      <c r="O10" s="45"/>
      <c r="Q10" s="3" t="s">
        <v>90</v>
      </c>
      <c r="R10" s="38">
        <f>RR_SecGrp_Year!H7</f>
        <v>0.69951162672858325</v>
      </c>
      <c r="S10" s="566">
        <f>R10*$E$8/$E$13</f>
        <v>0.55243808395685334</v>
      </c>
      <c r="T10" s="566">
        <f t="shared" si="2"/>
        <v>0.71193664012694613</v>
      </c>
      <c r="V10" s="566">
        <f t="shared" si="3"/>
        <v>0.86984134762359955</v>
      </c>
      <c r="W10" s="566">
        <f t="shared" si="4"/>
        <v>0.59721165499418094</v>
      </c>
      <c r="X10" s="566">
        <f t="shared" si="5"/>
        <v>0.88529182762379366</v>
      </c>
    </row>
    <row r="11" spans="2:24" ht="15" customHeight="1">
      <c r="B11" s="377" t="s">
        <v>136</v>
      </c>
      <c r="C11" s="74">
        <v>467</v>
      </c>
      <c r="D11" s="74">
        <v>4116.0079511277072</v>
      </c>
      <c r="E11" s="449">
        <v>0.75919467944029206</v>
      </c>
      <c r="F11" s="198">
        <v>0</v>
      </c>
      <c r="G11" s="198">
        <v>0.13587203911187831</v>
      </c>
      <c r="H11" s="198">
        <v>0.54395704392140254</v>
      </c>
      <c r="I11" s="449">
        <v>0.96704155090443322</v>
      </c>
      <c r="J11" s="198">
        <v>1</v>
      </c>
      <c r="K11" s="198">
        <v>1</v>
      </c>
      <c r="L11" s="198">
        <v>1</v>
      </c>
      <c r="M11" s="3">
        <f t="shared" si="6"/>
        <v>0</v>
      </c>
      <c r="N11" s="3" t="s">
        <v>101</v>
      </c>
      <c r="O11" s="45"/>
    </row>
    <row r="12" spans="2:24" ht="15" customHeight="1">
      <c r="B12" s="376" t="s">
        <v>137</v>
      </c>
      <c r="C12" s="456">
        <v>80</v>
      </c>
      <c r="D12" s="456">
        <v>1376.345328090875</v>
      </c>
      <c r="E12" s="457">
        <v>0.55874832471710711</v>
      </c>
      <c r="F12" s="458">
        <v>0</v>
      </c>
      <c r="G12" s="458">
        <v>0</v>
      </c>
      <c r="H12" s="458">
        <v>0.22148817140543561</v>
      </c>
      <c r="I12" s="457">
        <v>0.68913168149758208</v>
      </c>
      <c r="J12" s="458">
        <v>0.95293611365957731</v>
      </c>
      <c r="K12" s="458">
        <v>1</v>
      </c>
      <c r="L12" s="458">
        <v>1</v>
      </c>
      <c r="M12" s="3">
        <f t="shared" ref="M12" si="7">IF(ISERROR(L12),IF(N12="Grey",2,1),0)</f>
        <v>0</v>
      </c>
      <c r="O12" s="78" t="s">
        <v>189</v>
      </c>
    </row>
    <row r="13" spans="2:24" s="17" customFormat="1" ht="21" customHeight="1">
      <c r="B13" s="436" t="s">
        <v>145</v>
      </c>
      <c r="C13" s="393">
        <f>RR!C5</f>
        <v>1801</v>
      </c>
      <c r="D13" s="393">
        <f>RR!D5</f>
        <v>27449.833117429749</v>
      </c>
      <c r="E13" s="450">
        <f>RR!E5</f>
        <v>0.72934569103311975</v>
      </c>
      <c r="F13" s="450">
        <f>RR!F5</f>
        <v>0</v>
      </c>
      <c r="G13" s="450">
        <f>RR!G5</f>
        <v>0.1113689440293414</v>
      </c>
      <c r="H13" s="450">
        <f>RR!H5</f>
        <v>0.50618334346212235</v>
      </c>
      <c r="I13" s="450">
        <f>RR!I5</f>
        <v>0.91081310600256249</v>
      </c>
      <c r="J13" s="450">
        <f>RR!J5</f>
        <v>0.99822109295292116</v>
      </c>
      <c r="K13" s="450">
        <f>RR!K5</f>
        <v>1</v>
      </c>
      <c r="L13" s="450">
        <f>RR!L5</f>
        <v>1</v>
      </c>
      <c r="N13" s="48"/>
    </row>
    <row r="14" spans="2:24">
      <c r="E14" s="563">
        <f>SUMPRODUCT(E9:E11,C9:C11)/SUM(C9:C11)</f>
        <v>0.74230062935988594</v>
      </c>
      <c r="H14" s="3" t="s">
        <v>539</v>
      </c>
      <c r="I14" s="563">
        <f>SUMPRODUCT(I9:I11,C9:C11)/SUM(C9:C11)</f>
        <v>0.9230493891916115</v>
      </c>
    </row>
    <row r="15" spans="2:24">
      <c r="B15" s="36" t="s">
        <v>418</v>
      </c>
    </row>
  </sheetData>
  <mergeCells count="1">
    <mergeCell ref="B5:L5"/>
  </mergeCells>
  <conditionalFormatting sqref="C8:L12">
    <cfRule type="expression" dxfId="9" priority="3">
      <formula>$M8=2</formula>
    </cfRule>
    <cfRule type="expression" dxfId="8" priority="4">
      <formula>$M8=1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981A-3679-4303-B755-A677480279EC}">
  <dimension ref="A3:T71"/>
  <sheetViews>
    <sheetView workbookViewId="0"/>
  </sheetViews>
  <sheetFormatPr defaultColWidth="9.296875" defaultRowHeight="14.4"/>
  <cols>
    <col min="1" max="1" width="9" style="3" customWidth="1"/>
    <col min="2" max="2" width="2.296875" style="3" customWidth="1"/>
    <col min="3" max="3" width="26.59765625" style="4" bestFit="1" customWidth="1"/>
    <col min="4" max="7" width="11.59765625" style="8" customWidth="1"/>
    <col min="8" max="8" width="13" style="8" customWidth="1"/>
    <col min="9" max="9" width="13.69921875" style="8" customWidth="1"/>
    <col min="10" max="16384" width="9.296875" style="3"/>
  </cols>
  <sheetData>
    <row r="3" spans="1:20" ht="15.6">
      <c r="C3" s="583" t="s">
        <v>419</v>
      </c>
      <c r="D3" s="583"/>
      <c r="E3" s="583"/>
      <c r="F3" s="583"/>
      <c r="G3" s="583"/>
      <c r="H3" s="583"/>
      <c r="I3" s="583"/>
    </row>
    <row r="5" spans="1:20" ht="45.75" customHeight="1">
      <c r="C5" s="414" t="s">
        <v>132</v>
      </c>
      <c r="D5" s="52" t="s">
        <v>2</v>
      </c>
      <c r="E5" s="461" t="s">
        <v>16</v>
      </c>
      <c r="F5" s="52" t="s">
        <v>76</v>
      </c>
      <c r="G5" s="52" t="s">
        <v>77</v>
      </c>
      <c r="H5" s="52" t="s">
        <v>78</v>
      </c>
      <c r="I5" s="52" t="s">
        <v>79</v>
      </c>
      <c r="J5" s="52" t="s">
        <v>80</v>
      </c>
      <c r="K5" s="52" t="s">
        <v>81</v>
      </c>
    </row>
    <row r="6" spans="1:20" s="17" customFormat="1" ht="19.2" customHeight="1">
      <c r="A6" s="3"/>
      <c r="B6" s="3"/>
      <c r="C6" s="376" t="s">
        <v>133</v>
      </c>
      <c r="D6" s="462">
        <v>52</v>
      </c>
      <c r="E6" s="463">
        <v>0.57599948406984769</v>
      </c>
      <c r="F6" s="460" t="s">
        <v>237</v>
      </c>
      <c r="G6" s="460">
        <v>0.63132959200866623</v>
      </c>
      <c r="H6" s="460">
        <v>0.55135518219349078</v>
      </c>
      <c r="I6" s="460" t="s">
        <v>237</v>
      </c>
      <c r="J6" s="460" t="s">
        <v>237</v>
      </c>
      <c r="K6" s="460" t="s">
        <v>237</v>
      </c>
    </row>
    <row r="7" spans="1:20" s="17" customFormat="1" ht="19.2" customHeight="1">
      <c r="A7" s="3"/>
      <c r="B7" s="3"/>
      <c r="C7" s="377" t="s">
        <v>134</v>
      </c>
      <c r="D7" s="464">
        <v>555</v>
      </c>
      <c r="E7" s="465">
        <v>0.73305910647267292</v>
      </c>
      <c r="F7" s="459">
        <v>0.75321683805467055</v>
      </c>
      <c r="G7" s="459">
        <v>0.75574676719399569</v>
      </c>
      <c r="H7" s="459">
        <v>0.70711445987183086</v>
      </c>
      <c r="I7" s="459">
        <v>0.75231129957253351</v>
      </c>
      <c r="J7" s="459" t="s">
        <v>237</v>
      </c>
      <c r="K7" s="459">
        <v>0.60425916260764001</v>
      </c>
    </row>
    <row r="8" spans="1:20" s="17" customFormat="1" ht="19.2" customHeight="1">
      <c r="A8" s="3"/>
      <c r="B8" s="3"/>
      <c r="C8" s="376" t="s">
        <v>135</v>
      </c>
      <c r="D8" s="462">
        <v>647</v>
      </c>
      <c r="E8" s="463">
        <v>0.73803405102117425</v>
      </c>
      <c r="F8" s="460">
        <v>0.72762966082232161</v>
      </c>
      <c r="G8" s="460">
        <v>0.70967275332279967</v>
      </c>
      <c r="H8" s="460">
        <v>0.69399980493668256</v>
      </c>
      <c r="I8" s="460">
        <v>0.7467434238186399</v>
      </c>
      <c r="J8" s="460">
        <v>0.72043743051696929</v>
      </c>
      <c r="K8" s="460">
        <v>0.81019332519935428</v>
      </c>
    </row>
    <row r="9" spans="1:20" s="17" customFormat="1" ht="19.2" customHeight="1">
      <c r="A9" s="3"/>
      <c r="B9" s="3"/>
      <c r="C9" s="377" t="s">
        <v>136</v>
      </c>
      <c r="D9" s="464">
        <v>467</v>
      </c>
      <c r="E9" s="465">
        <v>0.75919467944029206</v>
      </c>
      <c r="F9" s="459">
        <v>0.62396870548934313</v>
      </c>
      <c r="G9" s="459">
        <v>0.58018805902243709</v>
      </c>
      <c r="H9" s="459" t="s">
        <v>237</v>
      </c>
      <c r="I9" s="459" t="s">
        <v>237</v>
      </c>
      <c r="J9" s="459">
        <v>0.7301908728124904</v>
      </c>
      <c r="K9" s="459">
        <v>0.78841013651796898</v>
      </c>
    </row>
    <row r="10" spans="1:20" s="17" customFormat="1" ht="19.2" customHeight="1">
      <c r="A10" s="3"/>
      <c r="B10" s="3"/>
      <c r="C10" s="376" t="s">
        <v>189</v>
      </c>
      <c r="D10" s="462">
        <v>80</v>
      </c>
      <c r="E10" s="463">
        <v>0.55874832471710711</v>
      </c>
      <c r="F10" s="460" t="s">
        <v>237</v>
      </c>
      <c r="G10" s="460" t="s">
        <v>237</v>
      </c>
      <c r="H10" s="460">
        <v>0.54875513823207267</v>
      </c>
      <c r="I10" s="460" t="s">
        <v>237</v>
      </c>
      <c r="J10" s="460" t="s">
        <v>237</v>
      </c>
      <c r="K10" s="460">
        <v>0.63374960464637897</v>
      </c>
    </row>
    <row r="12" spans="1:20">
      <c r="C12"/>
      <c r="D12"/>
      <c r="E12" s="3"/>
      <c r="F12" s="3"/>
      <c r="G12" s="3"/>
    </row>
    <row r="13" spans="1:20">
      <c r="C13"/>
      <c r="D13"/>
      <c r="E13" s="3"/>
      <c r="F13" s="3"/>
      <c r="G13" s="3"/>
    </row>
    <row r="14" spans="1:20" s="8" customFormat="1">
      <c r="A14" s="3"/>
      <c r="B14" s="3"/>
      <c r="C14"/>
      <c r="D14"/>
      <c r="E14" s="3"/>
      <c r="F14" s="3"/>
      <c r="G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s="8" customFormat="1">
      <c r="A15" s="3"/>
      <c r="B15" s="3"/>
      <c r="C15"/>
      <c r="D15"/>
      <c r="E15" s="3"/>
      <c r="F15" s="3"/>
      <c r="G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s="8" customFormat="1">
      <c r="A16" s="3"/>
      <c r="B16" s="3"/>
      <c r="C16"/>
      <c r="D16"/>
      <c r="E16" s="3"/>
      <c r="F16" s="3"/>
      <c r="G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s="8" customFormat="1">
      <c r="A17" s="3"/>
      <c r="B17" s="3"/>
      <c r="C17"/>
      <c r="D17"/>
      <c r="E17" s="3"/>
      <c r="F17" s="3"/>
      <c r="G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s="8" customFormat="1">
      <c r="A18" s="3"/>
      <c r="B18" s="3"/>
      <c r="C18"/>
      <c r="D18"/>
      <c r="E18" s="3"/>
      <c r="F18" s="3"/>
      <c r="G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s="8" customFormat="1">
      <c r="A19" s="3"/>
      <c r="B19" s="3"/>
      <c r="C19"/>
      <c r="D19"/>
      <c r="E19" s="3"/>
      <c r="F19" s="3"/>
      <c r="G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s="8" customFormat="1">
      <c r="A20" s="3"/>
      <c r="B20" s="3"/>
      <c r="C20"/>
      <c r="D20"/>
      <c r="E20" s="3"/>
      <c r="F20" s="3"/>
      <c r="G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s="8" customFormat="1">
      <c r="A21" s="3"/>
      <c r="B21" s="3"/>
      <c r="C21"/>
      <c r="D21"/>
      <c r="E21" s="3"/>
      <c r="F21" s="3"/>
      <c r="G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s="8" customFormat="1">
      <c r="A22" s="3"/>
      <c r="B22" s="3"/>
      <c r="C22"/>
      <c r="D22"/>
      <c r="E22" s="3"/>
      <c r="F22" s="3"/>
      <c r="G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s="8" customFormat="1">
      <c r="A23" s="3"/>
      <c r="B23" s="3"/>
      <c r="C23"/>
      <c r="D23"/>
      <c r="E23" s="3"/>
      <c r="F23" s="3"/>
      <c r="G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s="8" customFormat="1">
      <c r="A24" s="3"/>
      <c r="B24" s="3"/>
      <c r="C24"/>
      <c r="D24"/>
      <c r="E24" s="3"/>
      <c r="F24" s="3"/>
      <c r="G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s="8" customFormat="1">
      <c r="A25" s="3"/>
      <c r="B25" s="3"/>
      <c r="C25"/>
      <c r="D25"/>
      <c r="E25" s="3"/>
      <c r="F25" s="3"/>
      <c r="G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s="8" customFormat="1">
      <c r="A26" s="3"/>
      <c r="B26" s="3"/>
      <c r="C26"/>
      <c r="D26"/>
      <c r="E26" s="3"/>
      <c r="F26" s="3"/>
      <c r="G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s="8" customFormat="1">
      <c r="A27" s="3"/>
      <c r="B27" s="3"/>
      <c r="C27"/>
      <c r="D27"/>
      <c r="E27" s="3"/>
      <c r="F27" s="3"/>
      <c r="G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s="8" customFormat="1">
      <c r="A28" s="3"/>
      <c r="B28" s="3"/>
      <c r="C28"/>
      <c r="D28"/>
      <c r="E28" s="3"/>
      <c r="F28" s="3"/>
      <c r="G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s="8" customFormat="1">
      <c r="A29" s="3"/>
      <c r="B29" s="3"/>
      <c r="C29"/>
      <c r="D29"/>
      <c r="E29" s="3"/>
      <c r="F29" s="3"/>
      <c r="G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s="8" customFormat="1">
      <c r="A30" s="3"/>
      <c r="B30" s="3"/>
      <c r="C30"/>
      <c r="D30"/>
      <c r="E30" s="3"/>
      <c r="F30" s="3"/>
      <c r="G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s="8" customFormat="1">
      <c r="A31" s="3"/>
      <c r="B31" s="3"/>
      <c r="C31"/>
      <c r="D31"/>
      <c r="E31" s="3"/>
      <c r="F31" s="3"/>
      <c r="G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s="8" customFormat="1">
      <c r="A32" s="3"/>
      <c r="B32" s="3"/>
      <c r="C32"/>
      <c r="D32"/>
      <c r="E32" s="3"/>
      <c r="F32" s="3"/>
      <c r="G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8" customFormat="1">
      <c r="A33" s="3"/>
      <c r="B33" s="3"/>
      <c r="C33"/>
      <c r="D33"/>
      <c r="E33" s="3"/>
      <c r="F33" s="3"/>
      <c r="G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s="8" customFormat="1">
      <c r="A34" s="3"/>
      <c r="B34" s="3"/>
      <c r="C34"/>
      <c r="D34"/>
      <c r="E34" s="3"/>
      <c r="F34" s="3"/>
      <c r="G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s="8" customFormat="1">
      <c r="A35" s="3"/>
      <c r="B35" s="3"/>
      <c r="C35"/>
      <c r="D35"/>
      <c r="E35" s="3"/>
      <c r="F35" s="3"/>
      <c r="G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s="8" customFormat="1">
      <c r="A36" s="3"/>
      <c r="B36" s="3"/>
      <c r="C36"/>
      <c r="D36"/>
      <c r="E36" s="3"/>
      <c r="F36" s="3"/>
      <c r="G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s="8" customFormat="1">
      <c r="A37" s="3"/>
      <c r="B37" s="3"/>
      <c r="C37"/>
      <c r="D37"/>
      <c r="E37" s="3"/>
      <c r="F37" s="3"/>
      <c r="G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s="8" customFormat="1">
      <c r="A38" s="3"/>
      <c r="B38" s="3"/>
      <c r="C38"/>
      <c r="D38"/>
      <c r="E38" s="3"/>
      <c r="F38" s="3"/>
      <c r="G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s="8" customFormat="1">
      <c r="A39" s="3"/>
      <c r="B39" s="3"/>
      <c r="C39"/>
      <c r="D39"/>
      <c r="E39" s="3"/>
      <c r="F39" s="3"/>
      <c r="G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s="8" customFormat="1">
      <c r="A40" s="3"/>
      <c r="B40" s="3"/>
      <c r="C40"/>
      <c r="D40"/>
      <c r="E40" s="3"/>
      <c r="F40" s="3"/>
      <c r="G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s="8" customFormat="1">
      <c r="A41" s="3"/>
      <c r="B41" s="3"/>
      <c r="C41"/>
      <c r="D41"/>
      <c r="E41" s="3"/>
      <c r="F41" s="3"/>
      <c r="G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s="8" customFormat="1">
      <c r="A42" s="3"/>
      <c r="B42" s="3"/>
      <c r="C42"/>
      <c r="D42"/>
      <c r="E42" s="3"/>
      <c r="F42" s="3"/>
      <c r="G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s="8" customFormat="1">
      <c r="A43" s="3"/>
      <c r="B43" s="3"/>
      <c r="C43"/>
      <c r="D43"/>
      <c r="E43" s="3"/>
      <c r="F43" s="3"/>
      <c r="G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s="8" customFormat="1">
      <c r="A44" s="3"/>
      <c r="B44" s="3"/>
      <c r="C44"/>
      <c r="D44"/>
      <c r="E44" s="3"/>
      <c r="F44" s="3"/>
      <c r="G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s="8" customFormat="1">
      <c r="A45" s="3"/>
      <c r="B45" s="3"/>
      <c r="C45"/>
      <c r="D45"/>
      <c r="E45" s="3"/>
      <c r="F45" s="3"/>
      <c r="G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s="8" customFormat="1">
      <c r="A46" s="3"/>
      <c r="B46" s="3"/>
      <c r="C46"/>
      <c r="D46"/>
      <c r="E46" s="3"/>
      <c r="F46" s="3"/>
      <c r="G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s="8" customFormat="1">
      <c r="A47" s="3"/>
      <c r="B47" s="3"/>
      <c r="C47"/>
      <c r="D47"/>
      <c r="E47" s="3"/>
      <c r="F47" s="3"/>
      <c r="G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s="8" customFormat="1">
      <c r="A48" s="3"/>
      <c r="B48" s="3"/>
      <c r="C48"/>
      <c r="D48"/>
      <c r="E48" s="3"/>
      <c r="F48" s="3"/>
      <c r="G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s="8" customFormat="1">
      <c r="A49" s="3"/>
      <c r="B49" s="3"/>
      <c r="C49"/>
      <c r="D49"/>
      <c r="E49" s="3"/>
      <c r="F49" s="3"/>
      <c r="G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s="8" customFormat="1">
      <c r="A50" s="3"/>
      <c r="B50" s="3"/>
      <c r="C50"/>
      <c r="D50"/>
      <c r="E50" s="3"/>
      <c r="F50" s="3"/>
      <c r="G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s="8" customFormat="1">
      <c r="A51" s="3"/>
      <c r="B51" s="3"/>
      <c r="C51"/>
      <c r="D51"/>
      <c r="E51" s="3"/>
      <c r="F51" s="3"/>
      <c r="G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C52" s="5"/>
    </row>
    <row r="53" spans="1:20">
      <c r="C53" s="5"/>
    </row>
    <row r="54" spans="1:20">
      <c r="C54" s="5"/>
    </row>
    <row r="55" spans="1:20">
      <c r="C55" s="5"/>
    </row>
    <row r="56" spans="1:20">
      <c r="C56" s="5"/>
    </row>
    <row r="57" spans="1:20">
      <c r="C57" s="5"/>
    </row>
    <row r="58" spans="1:20">
      <c r="C58" s="5"/>
    </row>
    <row r="59" spans="1:20">
      <c r="C59" s="5"/>
    </row>
    <row r="60" spans="1:20">
      <c r="C60" s="5"/>
    </row>
    <row r="61" spans="1:20">
      <c r="C61" s="5"/>
    </row>
    <row r="62" spans="1:20">
      <c r="C62" s="5"/>
    </row>
    <row r="63" spans="1:20">
      <c r="C63" s="5"/>
    </row>
    <row r="64" spans="1:20">
      <c r="C64" s="5"/>
    </row>
    <row r="65" spans="1:20">
      <c r="C65" s="5"/>
    </row>
    <row r="66" spans="1:20">
      <c r="C66" s="5"/>
    </row>
    <row r="67" spans="1:20">
      <c r="C67" s="5"/>
    </row>
    <row r="68" spans="1:20" s="8" customFormat="1">
      <c r="A68" s="3"/>
      <c r="B68" s="3"/>
      <c r="C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s="8" customFormat="1">
      <c r="A69" s="3"/>
      <c r="B69" s="3"/>
      <c r="C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s="8" customFormat="1">
      <c r="A70" s="3"/>
      <c r="B70" s="3"/>
      <c r="C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s="8" customFormat="1">
      <c r="A71" s="3"/>
      <c r="B71" s="3"/>
      <c r="C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</sheetData>
  <mergeCells count="1">
    <mergeCell ref="C3:I3"/>
  </mergeCells>
  <conditionalFormatting sqref="D6:K10">
    <cfRule type="expression" dxfId="7" priority="1">
      <formula>ISERROR(D6)=TRUE</formula>
    </cfRule>
  </conditionalFormatting>
  <pageMargins left="0.7" right="0.7" top="0.75" bottom="0.75" header="0.3" footer="0.3"/>
  <headerFooter>
    <oddHeader>&amp;C&amp;"Calibri"&amp;10&amp;K808080 Corporate Use&amp;1#_x000D_</oddHead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AF59-9171-42CF-9E0B-5D25ADEA2143}">
  <dimension ref="B1:O13"/>
  <sheetViews>
    <sheetView topLeftCell="A4" workbookViewId="0">
      <selection activeCell="A4" sqref="A4"/>
    </sheetView>
  </sheetViews>
  <sheetFormatPr defaultColWidth="9.296875" defaultRowHeight="14.4"/>
  <cols>
    <col min="1" max="1" width="3.296875" style="3" customWidth="1"/>
    <col min="2" max="2" width="32.8984375" style="3" customWidth="1"/>
    <col min="3" max="5" width="10.59765625" style="3" customWidth="1"/>
    <col min="6" max="12" width="11.69921875" style="3" customWidth="1"/>
    <col min="13" max="13" width="13.59765625" style="3" customWidth="1"/>
    <col min="14" max="14" width="13.59765625" style="3" hidden="1" customWidth="1"/>
    <col min="15" max="18" width="13.59765625" style="3" customWidth="1"/>
    <col min="19" max="16384" width="9.296875" style="3"/>
  </cols>
  <sheetData>
    <row r="1" spans="2:15" hidden="1">
      <c r="F1" s="3" t="str">
        <f>H7&amp;" to "&amp;J7</f>
        <v>25th percentile to 75th percentile</v>
      </c>
    </row>
    <row r="2" spans="2:15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420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378" t="s">
        <v>190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</row>
    <row r="8" spans="2:15" ht="15" customHeight="1">
      <c r="B8" s="376" t="s">
        <v>191</v>
      </c>
      <c r="C8" s="76">
        <v>329</v>
      </c>
      <c r="D8" s="76">
        <v>3351.3616390942866</v>
      </c>
      <c r="E8" s="448">
        <v>0.80716292714263627</v>
      </c>
      <c r="F8" s="131">
        <v>0</v>
      </c>
      <c r="G8" s="131">
        <v>0.21049926135745509</v>
      </c>
      <c r="H8" s="131">
        <v>0.78863798078599334</v>
      </c>
      <c r="I8" s="448">
        <v>0.98078601690433087</v>
      </c>
      <c r="J8" s="131">
        <v>0.99977014933872521</v>
      </c>
      <c r="K8" s="131">
        <v>1</v>
      </c>
      <c r="L8" s="131">
        <v>1</v>
      </c>
      <c r="O8" s="45"/>
    </row>
    <row r="9" spans="2:15" ht="15" customHeight="1">
      <c r="B9" s="377" t="s">
        <v>192</v>
      </c>
      <c r="C9" s="74">
        <v>1379</v>
      </c>
      <c r="D9" s="74">
        <v>22380.213608018508</v>
      </c>
      <c r="E9" s="449">
        <v>0.70907731754453951</v>
      </c>
      <c r="F9" s="198">
        <v>0</v>
      </c>
      <c r="G9" s="198">
        <v>9.2457505080597593E-2</v>
      </c>
      <c r="H9" s="198">
        <v>0.46419772948887489</v>
      </c>
      <c r="I9" s="449">
        <v>0.87780722546312073</v>
      </c>
      <c r="J9" s="198">
        <v>0.9973439819548926</v>
      </c>
      <c r="K9" s="198">
        <v>1</v>
      </c>
      <c r="L9" s="198">
        <v>1</v>
      </c>
      <c r="O9" s="45"/>
    </row>
    <row r="10" spans="2:15" ht="15" customHeight="1">
      <c r="B10" s="376" t="s">
        <v>193</v>
      </c>
      <c r="C10" s="76">
        <v>93</v>
      </c>
      <c r="D10" s="76">
        <v>1718.257870317</v>
      </c>
      <c r="E10" s="448">
        <v>0.75459532932046303</v>
      </c>
      <c r="F10" s="131">
        <v>0</v>
      </c>
      <c r="G10" s="131">
        <v>0.16540744781596031</v>
      </c>
      <c r="H10" s="131">
        <v>0.61116507865623537</v>
      </c>
      <c r="I10" s="448">
        <v>0.91317477266364633</v>
      </c>
      <c r="J10" s="131">
        <v>0.99522705664030675</v>
      </c>
      <c r="K10" s="131">
        <v>1</v>
      </c>
      <c r="L10" s="131">
        <v>1</v>
      </c>
      <c r="N10" s="3" t="s">
        <v>144</v>
      </c>
      <c r="O10" s="45"/>
    </row>
    <row r="11" spans="2:15" s="17" customFormat="1" ht="21" customHeight="1">
      <c r="B11" s="436" t="s">
        <v>183</v>
      </c>
      <c r="C11" s="393">
        <f>RR!C5</f>
        <v>1801</v>
      </c>
      <c r="D11" s="393">
        <f>RR!D5</f>
        <v>27449.833117429749</v>
      </c>
      <c r="E11" s="450">
        <f>RR!E5</f>
        <v>0.72934569103311975</v>
      </c>
      <c r="F11" s="450">
        <f>RR!F5</f>
        <v>0</v>
      </c>
      <c r="G11" s="450">
        <f>RR!G5</f>
        <v>0.1113689440293414</v>
      </c>
      <c r="H11" s="450">
        <f>RR!H5</f>
        <v>0.50618334346212235</v>
      </c>
      <c r="I11" s="450">
        <f>RR!I5</f>
        <v>0.91081310600256249</v>
      </c>
      <c r="J11" s="450">
        <f>RR!J5</f>
        <v>0.99822109295292116</v>
      </c>
      <c r="K11" s="450">
        <f>RR!K5</f>
        <v>1</v>
      </c>
      <c r="L11" s="450">
        <f>RR!L5</f>
        <v>1</v>
      </c>
      <c r="N11" s="48"/>
    </row>
    <row r="13" spans="2:15">
      <c r="B13" s="36" t="s">
        <v>421</v>
      </c>
    </row>
  </sheetData>
  <mergeCells count="1">
    <mergeCell ref="B5:L5"/>
  </mergeCells>
  <conditionalFormatting sqref="C8:L10">
    <cfRule type="expression" dxfId="6" priority="1">
      <formula>ISERROR(C8)=TRUE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31EA-4545-4F81-80D6-033DB183327B}">
  <dimension ref="B1:O16"/>
  <sheetViews>
    <sheetView topLeftCell="A4" workbookViewId="0">
      <selection activeCell="A4" sqref="A4"/>
    </sheetView>
  </sheetViews>
  <sheetFormatPr defaultColWidth="9.296875" defaultRowHeight="14.4"/>
  <cols>
    <col min="1" max="1" width="3.296875" style="3" customWidth="1"/>
    <col min="2" max="2" width="27.296875" style="3" customWidth="1"/>
    <col min="3" max="5" width="10.59765625" style="3" customWidth="1"/>
    <col min="6" max="12" width="11.69921875" style="3" customWidth="1"/>
    <col min="13" max="13" width="13.59765625" style="3" customWidth="1"/>
    <col min="14" max="14" width="13.59765625" style="3" hidden="1" customWidth="1"/>
    <col min="15" max="18" width="13.59765625" style="3" customWidth="1"/>
    <col min="19" max="16384" width="9.296875" style="3"/>
  </cols>
  <sheetData>
    <row r="1" spans="2:15" hidden="1">
      <c r="F1" s="3" t="str">
        <f>H7&amp;" to "&amp;J7</f>
        <v>25th percentile to 75th percentile</v>
      </c>
    </row>
    <row r="2" spans="2:15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422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414" t="s">
        <v>194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</row>
    <row r="8" spans="2:15" ht="15" customHeight="1">
      <c r="B8" s="376" t="s">
        <v>140</v>
      </c>
      <c r="C8" s="76">
        <v>455</v>
      </c>
      <c r="D8" s="76">
        <v>5917.8000396000552</v>
      </c>
      <c r="E8" s="448">
        <v>0.70764219219053215</v>
      </c>
      <c r="F8" s="131">
        <v>0</v>
      </c>
      <c r="G8" s="131">
        <v>2.155965888057406E-2</v>
      </c>
      <c r="H8" s="131">
        <v>0.4534020032187564</v>
      </c>
      <c r="I8" s="448">
        <v>0.9120705057459334</v>
      </c>
      <c r="J8" s="131">
        <v>0.99829953112067837</v>
      </c>
      <c r="K8" s="131">
        <v>1</v>
      </c>
      <c r="L8" s="131">
        <v>1</v>
      </c>
      <c r="N8" s="3" t="s">
        <v>195</v>
      </c>
      <c r="O8" s="45"/>
    </row>
    <row r="9" spans="2:15" ht="15" customHeight="1">
      <c r="B9" s="377" t="s">
        <v>141</v>
      </c>
      <c r="C9" s="74">
        <v>398</v>
      </c>
      <c r="D9" s="74">
        <v>3544.8745181315057</v>
      </c>
      <c r="E9" s="449">
        <v>0.81087409549121259</v>
      </c>
      <c r="F9" s="198">
        <v>0</v>
      </c>
      <c r="G9" s="198">
        <v>0.30219037817017869</v>
      </c>
      <c r="H9" s="198">
        <v>0.74162559483695112</v>
      </c>
      <c r="I9" s="449">
        <v>0.98078487650353807</v>
      </c>
      <c r="J9" s="198">
        <v>0.99967467034942314</v>
      </c>
      <c r="K9" s="198">
        <v>1</v>
      </c>
      <c r="L9" s="198">
        <v>1</v>
      </c>
      <c r="N9" s="3" t="s">
        <v>196</v>
      </c>
      <c r="O9" s="45"/>
    </row>
    <row r="10" spans="2:15" ht="15" customHeight="1">
      <c r="B10" s="376" t="s">
        <v>143</v>
      </c>
      <c r="C10" s="76"/>
      <c r="D10" s="76"/>
      <c r="E10" s="448"/>
      <c r="F10" s="131"/>
      <c r="G10" s="131"/>
      <c r="H10" s="131"/>
      <c r="I10" s="448"/>
      <c r="J10" s="131"/>
      <c r="K10" s="131"/>
      <c r="L10" s="131"/>
      <c r="N10" s="3" t="s">
        <v>197</v>
      </c>
      <c r="O10" s="17"/>
    </row>
    <row r="11" spans="2:15" ht="15" customHeight="1">
      <c r="B11" s="377" t="s">
        <v>142</v>
      </c>
      <c r="C11" s="74">
        <v>211</v>
      </c>
      <c r="D11" s="74">
        <v>7857.8481562311645</v>
      </c>
      <c r="E11" s="449">
        <v>0.70884723124408733</v>
      </c>
      <c r="F11" s="198">
        <v>0</v>
      </c>
      <c r="G11" s="198">
        <v>6.9196497426742887E-2</v>
      </c>
      <c r="H11" s="198">
        <v>0.45939843436899352</v>
      </c>
      <c r="I11" s="449">
        <v>0.86353344334157756</v>
      </c>
      <c r="J11" s="198">
        <v>0.99662776113376506</v>
      </c>
      <c r="K11" s="198">
        <v>1</v>
      </c>
      <c r="L11" s="198">
        <v>1</v>
      </c>
      <c r="N11" s="3" t="s">
        <v>198</v>
      </c>
      <c r="O11" s="45"/>
    </row>
    <row r="12" spans="2:15" ht="15" customHeight="1">
      <c r="B12" s="376" t="s">
        <v>199</v>
      </c>
      <c r="C12" s="76"/>
      <c r="D12" s="76"/>
      <c r="E12" s="448"/>
      <c r="F12" s="131"/>
      <c r="G12" s="131"/>
      <c r="H12" s="131"/>
      <c r="I12" s="448"/>
      <c r="J12" s="131"/>
      <c r="K12" s="131"/>
      <c r="L12" s="131"/>
      <c r="N12" s="3" t="s">
        <v>200</v>
      </c>
      <c r="O12" s="45"/>
    </row>
    <row r="13" spans="2:15" ht="15" customHeight="1">
      <c r="B13" s="377" t="s">
        <v>82</v>
      </c>
      <c r="C13" s="74">
        <v>726</v>
      </c>
      <c r="D13" s="74">
        <v>9800.2240512203061</v>
      </c>
      <c r="E13" s="449">
        <v>0.70859173633344252</v>
      </c>
      <c r="F13" s="198">
        <v>0</v>
      </c>
      <c r="G13" s="198">
        <v>0.13147063521020219</v>
      </c>
      <c r="H13" s="198">
        <v>0.46085695677105809</v>
      </c>
      <c r="I13" s="449">
        <v>0.87404657780918216</v>
      </c>
      <c r="J13" s="198">
        <v>0.99652357442716288</v>
      </c>
      <c r="K13" s="198">
        <v>1</v>
      </c>
      <c r="L13" s="198">
        <v>1</v>
      </c>
      <c r="N13" s="3" t="s">
        <v>201</v>
      </c>
      <c r="O13" s="45"/>
    </row>
    <row r="14" spans="2:15" s="17" customFormat="1" ht="21" customHeight="1">
      <c r="B14" s="392" t="s">
        <v>202</v>
      </c>
      <c r="C14" s="393">
        <f>RR!C5</f>
        <v>1801</v>
      </c>
      <c r="D14" s="393">
        <f>RR!D5</f>
        <v>27449.833117429749</v>
      </c>
      <c r="E14" s="450">
        <f>RR!E5</f>
        <v>0.72934569103311975</v>
      </c>
      <c r="F14" s="450">
        <f>RR!F5</f>
        <v>0</v>
      </c>
      <c r="G14" s="450">
        <f>RR!G5</f>
        <v>0.1113689440293414</v>
      </c>
      <c r="H14" s="450">
        <f>RR!H5</f>
        <v>0.50618334346212235</v>
      </c>
      <c r="I14" s="450">
        <f>RR!I5</f>
        <v>0.91081310600256249</v>
      </c>
      <c r="J14" s="450">
        <f>RR!J5</f>
        <v>0.99822109295292116</v>
      </c>
      <c r="K14" s="450">
        <f>RR!K5</f>
        <v>1</v>
      </c>
      <c r="L14" s="450">
        <f>RR!L5</f>
        <v>1</v>
      </c>
      <c r="N14" s="48"/>
    </row>
    <row r="16" spans="2:15">
      <c r="B16" s="36" t="s">
        <v>423</v>
      </c>
    </row>
  </sheetData>
  <mergeCells count="1">
    <mergeCell ref="B5:L5"/>
  </mergeCells>
  <conditionalFormatting sqref="C8:L13">
    <cfRule type="expression" dxfId="5" priority="1">
      <formula>ISERROR(C8)=TRUE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0093-6DDD-434A-9439-345BD962EC24}">
  <dimension ref="B1:O15"/>
  <sheetViews>
    <sheetView topLeftCell="A4" workbookViewId="0">
      <selection activeCell="B4" sqref="B4"/>
    </sheetView>
  </sheetViews>
  <sheetFormatPr defaultColWidth="9.296875" defaultRowHeight="14.4"/>
  <cols>
    <col min="1" max="1" width="3.296875" style="3" customWidth="1"/>
    <col min="2" max="2" width="29" style="3" customWidth="1"/>
    <col min="3" max="5" width="10.59765625" style="3" customWidth="1"/>
    <col min="6" max="12" width="11.69921875" style="3" customWidth="1"/>
    <col min="13" max="18" width="13.59765625" style="3" customWidth="1"/>
    <col min="19" max="16384" width="9.296875" style="3"/>
  </cols>
  <sheetData>
    <row r="1" spans="2:15" hidden="1">
      <c r="F1" s="3" t="str">
        <f>H7&amp;" to "&amp;J7</f>
        <v>25th percentile to 75th percentile</v>
      </c>
    </row>
    <row r="2" spans="2:15" hidden="1">
      <c r="C2" s="3">
        <v>2</v>
      </c>
      <c r="D2" s="3">
        <v>3</v>
      </c>
      <c r="E2" s="3">
        <v>5</v>
      </c>
      <c r="F2" s="3">
        <v>7</v>
      </c>
      <c r="G2" s="3">
        <v>9</v>
      </c>
      <c r="H2" s="3">
        <v>10</v>
      </c>
      <c r="I2" s="3">
        <v>11</v>
      </c>
      <c r="J2" s="3">
        <v>12</v>
      </c>
      <c r="K2" s="3">
        <v>13</v>
      </c>
      <c r="L2" s="3">
        <v>8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424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414" t="s">
        <v>203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</row>
    <row r="8" spans="2:15" ht="15" customHeight="1">
      <c r="B8" s="376" t="s">
        <v>204</v>
      </c>
      <c r="C8" s="76">
        <v>1025</v>
      </c>
      <c r="D8" s="76">
        <v>16564.334932078076</v>
      </c>
      <c r="E8" s="448">
        <v>0.76303699515972601</v>
      </c>
      <c r="F8" s="131">
        <v>0</v>
      </c>
      <c r="G8" s="131">
        <v>0.20494160417554261</v>
      </c>
      <c r="H8" s="131">
        <v>0.57811869907167257</v>
      </c>
      <c r="I8" s="448">
        <v>0.9423319389122482</v>
      </c>
      <c r="J8" s="131">
        <v>0.99999628084779846</v>
      </c>
      <c r="K8" s="131">
        <v>1</v>
      </c>
      <c r="L8" s="131">
        <v>1</v>
      </c>
      <c r="O8" s="45"/>
    </row>
    <row r="9" spans="2:15" ht="15" customHeight="1">
      <c r="B9" s="377" t="s">
        <v>205</v>
      </c>
      <c r="C9" s="74">
        <v>512</v>
      </c>
      <c r="D9" s="74">
        <v>7876.2163677538392</v>
      </c>
      <c r="E9" s="449">
        <v>0.69608693166013946</v>
      </c>
      <c r="F9" s="198">
        <v>0</v>
      </c>
      <c r="G9" s="198">
        <v>5.4288834752808671E-2</v>
      </c>
      <c r="H9" s="198">
        <v>0.4368406122219759</v>
      </c>
      <c r="I9" s="449">
        <v>0.88630575779014831</v>
      </c>
      <c r="J9" s="198">
        <v>0.99555622098605756</v>
      </c>
      <c r="K9" s="198">
        <v>1</v>
      </c>
      <c r="L9" s="198">
        <v>1</v>
      </c>
      <c r="N9"/>
      <c r="O9" s="45"/>
    </row>
    <row r="10" spans="2:15" ht="15" customHeight="1">
      <c r="B10" s="376" t="s">
        <v>228</v>
      </c>
      <c r="C10" s="76">
        <v>64</v>
      </c>
      <c r="D10" s="76">
        <v>864.04185801638459</v>
      </c>
      <c r="E10" s="448">
        <v>0.67270539668920093</v>
      </c>
      <c r="F10" s="131">
        <v>0</v>
      </c>
      <c r="G10" s="131">
        <v>6.7828660241525066E-3</v>
      </c>
      <c r="H10" s="131">
        <v>0.40442868831947792</v>
      </c>
      <c r="I10" s="448">
        <v>0.8503323880343554</v>
      </c>
      <c r="J10" s="131">
        <v>0.98876605585762178</v>
      </c>
      <c r="K10" s="131">
        <v>1</v>
      </c>
      <c r="L10" s="131">
        <v>1</v>
      </c>
      <c r="N10"/>
      <c r="O10" s="17"/>
    </row>
    <row r="11" spans="2:15" ht="15" customHeight="1">
      <c r="B11" s="377" t="s">
        <v>206</v>
      </c>
      <c r="C11" s="74">
        <v>174</v>
      </c>
      <c r="D11" s="74">
        <v>1937.3753198471825</v>
      </c>
      <c r="E11" s="449">
        <v>0.64567593441687665</v>
      </c>
      <c r="F11" s="198">
        <v>0</v>
      </c>
      <c r="G11" s="198">
        <v>0</v>
      </c>
      <c r="H11" s="198">
        <v>0.25031084949480348</v>
      </c>
      <c r="I11" s="449">
        <v>0.85285425773637225</v>
      </c>
      <c r="J11" s="198">
        <v>0.99438862850858234</v>
      </c>
      <c r="K11" s="198">
        <v>1</v>
      </c>
      <c r="L11" s="198">
        <v>1</v>
      </c>
      <c r="O11" s="45"/>
    </row>
    <row r="12" spans="2:15" ht="15" customHeight="1">
      <c r="B12" s="376" t="s">
        <v>137</v>
      </c>
      <c r="C12" s="76">
        <v>26</v>
      </c>
      <c r="D12" s="76">
        <v>207.86463973427604</v>
      </c>
      <c r="E12" s="448">
        <v>0.75543855866514831</v>
      </c>
      <c r="F12" s="131">
        <v>0</v>
      </c>
      <c r="G12" s="131">
        <v>0.60936215740635857</v>
      </c>
      <c r="H12" s="131">
        <v>0.72959534847705299</v>
      </c>
      <c r="I12" s="448">
        <v>0.81557336906926914</v>
      </c>
      <c r="J12" s="131">
        <v>0.89543616919504632</v>
      </c>
      <c r="K12" s="131">
        <v>0.91973346525267607</v>
      </c>
      <c r="L12" s="131">
        <v>0.99623027071422898</v>
      </c>
      <c r="N12"/>
      <c r="O12" s="45"/>
    </row>
    <row r="13" spans="2:15" s="17" customFormat="1" ht="21" customHeight="1">
      <c r="B13" s="436" t="s">
        <v>207</v>
      </c>
      <c r="C13" s="393">
        <f>RR!C5</f>
        <v>1801</v>
      </c>
      <c r="D13" s="393">
        <f>RR!D5</f>
        <v>27449.833117429749</v>
      </c>
      <c r="E13" s="450">
        <f>RR!E5</f>
        <v>0.72934569103311975</v>
      </c>
      <c r="F13" s="450">
        <f>RR!F5</f>
        <v>0</v>
      </c>
      <c r="G13" s="450">
        <f>RR!G5</f>
        <v>0.1113689440293414</v>
      </c>
      <c r="H13" s="450">
        <f>RR!H5</f>
        <v>0.50618334346212235</v>
      </c>
      <c r="I13" s="450">
        <f>RR!I5</f>
        <v>0.91081310600256249</v>
      </c>
      <c r="J13" s="450">
        <f>RR!J5</f>
        <v>0.99822109295292116</v>
      </c>
      <c r="K13" s="450">
        <f>RR!K5</f>
        <v>1</v>
      </c>
      <c r="L13" s="450">
        <f>RR!L5</f>
        <v>1</v>
      </c>
      <c r="N13" s="48"/>
    </row>
    <row r="14" spans="2:15">
      <c r="B14" s="486" t="s">
        <v>229</v>
      </c>
      <c r="C14" s="486"/>
      <c r="D14" s="486"/>
      <c r="E14" s="486"/>
      <c r="F14" s="486"/>
      <c r="G14" s="486"/>
      <c r="H14" s="486"/>
      <c r="I14" s="486"/>
      <c r="J14" s="486"/>
      <c r="K14" s="486"/>
      <c r="L14" s="486"/>
    </row>
    <row r="15" spans="2:15">
      <c r="B15" s="36" t="s">
        <v>425</v>
      </c>
    </row>
  </sheetData>
  <mergeCells count="1">
    <mergeCell ref="B5:L5"/>
  </mergeCells>
  <conditionalFormatting sqref="C8:L12">
    <cfRule type="expression" dxfId="4" priority="1">
      <formula>ISERROR(C8)=TRUE</formula>
    </cfRule>
  </conditionalFormatting>
  <pageMargins left="0.7" right="0.7" top="0.75" bottom="0.75" header="0.3" footer="0.3"/>
  <pageSetup paperSize="9" orientation="portrait" horizontalDpi="90" verticalDpi="90" r:id="rId1"/>
  <headerFooter>
    <oddHeader>&amp;C&amp;"Calibri"&amp;10&amp;K808080 Corporate Use&amp;1#_x000D_</oddHead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E890-029D-495E-8113-EA14B62C7D22}">
  <dimension ref="B1:O16"/>
  <sheetViews>
    <sheetView topLeftCell="A4" workbookViewId="0">
      <selection activeCell="B4" sqref="B4"/>
    </sheetView>
  </sheetViews>
  <sheetFormatPr defaultColWidth="9.296875" defaultRowHeight="14.4"/>
  <cols>
    <col min="1" max="1" width="3.296875" style="3" customWidth="1"/>
    <col min="2" max="2" width="28.59765625" style="3" customWidth="1"/>
    <col min="3" max="5" width="10.59765625" style="3" customWidth="1"/>
    <col min="6" max="12" width="11.69921875" style="3" customWidth="1"/>
    <col min="13" max="13" width="13.59765625" style="3" customWidth="1"/>
    <col min="14" max="14" width="13.59765625" style="3" hidden="1" customWidth="1"/>
    <col min="15" max="18" width="13.59765625" style="3" customWidth="1"/>
    <col min="19" max="16384" width="9.296875" style="3"/>
  </cols>
  <sheetData>
    <row r="1" spans="2:15" hidden="1">
      <c r="F1" s="3" t="str">
        <f>H7&amp;" to "&amp;J7</f>
        <v>25th percentile to 75th percentile</v>
      </c>
    </row>
    <row r="2" spans="2:15" hidden="1">
      <c r="C2" s="3">
        <v>4</v>
      </c>
      <c r="D2" s="3">
        <v>5</v>
      </c>
      <c r="E2" s="3">
        <v>7</v>
      </c>
      <c r="F2" s="3">
        <v>9</v>
      </c>
      <c r="G2" s="3">
        <v>11</v>
      </c>
      <c r="H2" s="3">
        <v>12</v>
      </c>
      <c r="I2" s="3">
        <v>13</v>
      </c>
      <c r="J2" s="3">
        <v>14</v>
      </c>
      <c r="K2" s="3">
        <v>15</v>
      </c>
      <c r="L2" s="3">
        <v>10</v>
      </c>
    </row>
    <row r="3" spans="2:15" hidden="1">
      <c r="C3" s="3" t="s">
        <v>170</v>
      </c>
      <c r="D3" s="3" t="s">
        <v>95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176</v>
      </c>
      <c r="K3" s="3" t="s">
        <v>177</v>
      </c>
      <c r="L3" s="3" t="s">
        <v>178</v>
      </c>
    </row>
    <row r="5" spans="2:15" ht="15.6">
      <c r="B5" s="583" t="s">
        <v>426</v>
      </c>
      <c r="C5" s="583"/>
      <c r="D5" s="583"/>
      <c r="E5" s="583"/>
      <c r="F5" s="583"/>
      <c r="G5" s="583"/>
      <c r="H5" s="583"/>
      <c r="I5" s="583"/>
      <c r="J5" s="583"/>
      <c r="K5" s="583"/>
      <c r="L5" s="583"/>
    </row>
    <row r="7" spans="2:15" s="43" customFormat="1" ht="51" customHeight="1">
      <c r="B7" s="414" t="s">
        <v>208</v>
      </c>
      <c r="C7" s="52" t="str">
        <f>RR!$C$4</f>
        <v>Number of
defaults</v>
      </c>
      <c r="D7" s="52" t="str">
        <f>RR!$D$4</f>
        <v>Signed amount 
€ million</v>
      </c>
      <c r="E7" s="52" t="str">
        <f>RR!$E$4</f>
        <v>Average recovery rate</v>
      </c>
      <c r="F7" s="52" t="str">
        <f>RR!$F$4</f>
        <v>Minimum observation</v>
      </c>
      <c r="G7" s="52" t="str">
        <f>RR!$G$4</f>
        <v>10th percentile</v>
      </c>
      <c r="H7" s="52" t="str">
        <f>RR!$H$4</f>
        <v>25th percentile</v>
      </c>
      <c r="I7" s="52" t="str">
        <f>RR!$I$4</f>
        <v>Median</v>
      </c>
      <c r="J7" s="52" t="str">
        <f>RR!$J$4</f>
        <v>75th percentile</v>
      </c>
      <c r="K7" s="52" t="str">
        <f>RR!$K$4</f>
        <v>90th percentile</v>
      </c>
      <c r="L7" s="52" t="str">
        <f>RR!$L$4</f>
        <v>Maximum observation</v>
      </c>
    </row>
    <row r="8" spans="2:15" ht="15" customHeight="1">
      <c r="B8" s="376" t="s">
        <v>209</v>
      </c>
      <c r="C8" s="76">
        <v>191</v>
      </c>
      <c r="D8" s="76">
        <v>102.05760056686536</v>
      </c>
      <c r="E8" s="448">
        <v>0.74819283792706426</v>
      </c>
      <c r="F8" s="131">
        <v>0</v>
      </c>
      <c r="G8" s="131">
        <v>1.9245025020243521E-2</v>
      </c>
      <c r="H8" s="131">
        <v>0.6456346120934815</v>
      </c>
      <c r="I8" s="448">
        <v>0.96454240186633766</v>
      </c>
      <c r="J8" s="131">
        <v>0.99862016664359787</v>
      </c>
      <c r="K8" s="131">
        <v>1</v>
      </c>
      <c r="L8" s="131">
        <v>1</v>
      </c>
      <c r="N8" s="3">
        <v>0</v>
      </c>
      <c r="O8" s="45"/>
    </row>
    <row r="9" spans="2:15" ht="15" customHeight="1">
      <c r="B9" s="377" t="s">
        <v>210</v>
      </c>
      <c r="C9" s="74">
        <v>144</v>
      </c>
      <c r="D9" s="74">
        <v>246.21744016297077</v>
      </c>
      <c r="E9" s="449">
        <v>0.68832040066288491</v>
      </c>
      <c r="F9" s="198">
        <v>0</v>
      </c>
      <c r="G9" s="198">
        <v>2.1165060764879281E-2</v>
      </c>
      <c r="H9" s="198">
        <v>0.43302093661124069</v>
      </c>
      <c r="I9" s="449">
        <v>0.89428164987397274</v>
      </c>
      <c r="J9" s="198">
        <v>0.99491910670443784</v>
      </c>
      <c r="K9" s="198">
        <v>1</v>
      </c>
      <c r="L9" s="198">
        <v>1</v>
      </c>
      <c r="N9" s="3">
        <v>1</v>
      </c>
      <c r="O9" s="45"/>
    </row>
    <row r="10" spans="2:15" ht="15" customHeight="1">
      <c r="B10" s="376" t="s">
        <v>211</v>
      </c>
      <c r="C10" s="76">
        <v>355</v>
      </c>
      <c r="D10" s="76">
        <v>1291.2008241626158</v>
      </c>
      <c r="E10" s="448">
        <v>0.68964306570801603</v>
      </c>
      <c r="F10" s="131">
        <v>0</v>
      </c>
      <c r="G10" s="131">
        <v>6.9071108955336608E-2</v>
      </c>
      <c r="H10" s="131">
        <v>0.44751645303623139</v>
      </c>
      <c r="I10" s="448">
        <v>0.86725208594426073</v>
      </c>
      <c r="J10" s="131">
        <v>0.99308732223990426</v>
      </c>
      <c r="K10" s="131">
        <v>1</v>
      </c>
      <c r="L10" s="131">
        <v>1</v>
      </c>
      <c r="N10" s="3">
        <v>2</v>
      </c>
      <c r="O10" s="45"/>
    </row>
    <row r="11" spans="2:15" ht="15" customHeight="1">
      <c r="B11" s="377" t="s">
        <v>212</v>
      </c>
      <c r="C11" s="74">
        <v>370</v>
      </c>
      <c r="D11" s="74">
        <v>2682.7504167304878</v>
      </c>
      <c r="E11" s="449">
        <v>0.7431592120106929</v>
      </c>
      <c r="F11" s="198">
        <v>0</v>
      </c>
      <c r="G11" s="198">
        <v>0.18915190134592991</v>
      </c>
      <c r="H11" s="198">
        <v>0.52631218434023563</v>
      </c>
      <c r="I11" s="449">
        <v>0.90017143893630158</v>
      </c>
      <c r="J11" s="198">
        <v>1</v>
      </c>
      <c r="K11" s="198">
        <v>1</v>
      </c>
      <c r="L11" s="198">
        <v>1</v>
      </c>
      <c r="N11" s="3">
        <v>3</v>
      </c>
      <c r="O11" s="45"/>
    </row>
    <row r="12" spans="2:15" ht="15" customHeight="1">
      <c r="B12" s="376" t="s">
        <v>213</v>
      </c>
      <c r="C12" s="76">
        <v>457</v>
      </c>
      <c r="D12" s="76">
        <v>7238.4573178979526</v>
      </c>
      <c r="E12" s="448">
        <v>0.76404614183090436</v>
      </c>
      <c r="F12" s="131">
        <v>0</v>
      </c>
      <c r="G12" s="131">
        <v>0.15232325560071111</v>
      </c>
      <c r="H12" s="131">
        <v>0.61924813716767202</v>
      </c>
      <c r="I12" s="448">
        <v>0.95345426838243008</v>
      </c>
      <c r="J12" s="131">
        <v>1</v>
      </c>
      <c r="K12" s="131">
        <v>1</v>
      </c>
      <c r="L12" s="131">
        <v>1</v>
      </c>
      <c r="N12" s="3">
        <v>4</v>
      </c>
      <c r="O12" s="45"/>
    </row>
    <row r="13" spans="2:15" ht="15" customHeight="1">
      <c r="B13" s="377" t="s">
        <v>214</v>
      </c>
      <c r="C13" s="74">
        <v>284</v>
      </c>
      <c r="D13" s="74">
        <v>15889.14951790886</v>
      </c>
      <c r="E13" s="449">
        <v>0.71326526839471893</v>
      </c>
      <c r="F13" s="198">
        <v>0</v>
      </c>
      <c r="G13" s="198">
        <v>0.16885159023143481</v>
      </c>
      <c r="H13" s="198">
        <v>0.46314031885190893</v>
      </c>
      <c r="I13" s="449">
        <v>0.87595834565801878</v>
      </c>
      <c r="J13" s="198">
        <v>0.99332837844365474</v>
      </c>
      <c r="K13" s="198">
        <v>1</v>
      </c>
      <c r="L13" s="198">
        <v>1</v>
      </c>
      <c r="N13" s="3">
        <v>5</v>
      </c>
      <c r="O13" s="45"/>
    </row>
    <row r="14" spans="2:15" s="17" customFormat="1" ht="21" customHeight="1">
      <c r="B14" s="436" t="s">
        <v>207</v>
      </c>
      <c r="C14" s="393">
        <f>RR!C5</f>
        <v>1801</v>
      </c>
      <c r="D14" s="393">
        <f>RR!D5</f>
        <v>27449.833117429749</v>
      </c>
      <c r="E14" s="450">
        <f>RR!E5</f>
        <v>0.72934569103311975</v>
      </c>
      <c r="F14" s="450">
        <f>RR!F5</f>
        <v>0</v>
      </c>
      <c r="G14" s="450">
        <f>RR!G5</f>
        <v>0.1113689440293414</v>
      </c>
      <c r="H14" s="450">
        <f>RR!H5</f>
        <v>0.50618334346212235</v>
      </c>
      <c r="I14" s="450">
        <f>RR!I5</f>
        <v>0.91081310600256249</v>
      </c>
      <c r="J14" s="450">
        <f>RR!J5</f>
        <v>0.99822109295292116</v>
      </c>
      <c r="K14" s="450">
        <f>RR!K5</f>
        <v>1</v>
      </c>
      <c r="L14" s="450">
        <f>RR!L5</f>
        <v>1</v>
      </c>
      <c r="N14" s="48"/>
    </row>
    <row r="16" spans="2:15">
      <c r="B16" s="36" t="s">
        <v>427</v>
      </c>
    </row>
  </sheetData>
  <mergeCells count="1">
    <mergeCell ref="B5:L5"/>
  </mergeCells>
  <conditionalFormatting sqref="C8:L13">
    <cfRule type="expression" dxfId="3" priority="1">
      <formula>ISERROR(C8)=TRUE</formula>
    </cfRule>
  </conditionalFormatting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6ABE-8BF9-4A6E-BCB8-3FD3A7F7AEBC}">
  <sheetPr>
    <tabColor theme="4" tint="0.59999389629810485"/>
  </sheetPr>
  <dimension ref="A2:AA80"/>
  <sheetViews>
    <sheetView workbookViewId="0"/>
  </sheetViews>
  <sheetFormatPr defaultColWidth="9.296875" defaultRowHeight="14.4"/>
  <cols>
    <col min="1" max="16384" width="9.296875" style="3"/>
  </cols>
  <sheetData>
    <row r="2" spans="1:27" ht="18">
      <c r="A2" s="235" t="s">
        <v>428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Q2" s="36"/>
    </row>
    <row r="3" spans="1:27">
      <c r="A3" s="592"/>
      <c r="B3" s="592"/>
      <c r="C3" s="592"/>
      <c r="D3" s="592"/>
      <c r="E3" s="592"/>
      <c r="F3" s="592"/>
      <c r="G3" s="592"/>
      <c r="H3" s="592"/>
      <c r="I3" s="592"/>
      <c r="J3" s="592"/>
      <c r="K3" s="592"/>
      <c r="L3" s="592"/>
      <c r="M3" s="592"/>
      <c r="N3" s="592"/>
      <c r="O3" s="592"/>
    </row>
    <row r="11" spans="1:27">
      <c r="Q11" s="207" t="s">
        <v>349</v>
      </c>
      <c r="R11" s="207" t="s">
        <v>350</v>
      </c>
      <c r="S11" s="207" t="s">
        <v>351</v>
      </c>
      <c r="T11" s="207" t="s">
        <v>352</v>
      </c>
      <c r="V11" s="534"/>
      <c r="W11" s="534" t="s">
        <v>215</v>
      </c>
      <c r="X11" s="534" t="s">
        <v>216</v>
      </c>
      <c r="Y11" s="534" t="s">
        <v>217</v>
      </c>
      <c r="Z11" s="534" t="s">
        <v>218</v>
      </c>
      <c r="AA11" s="534"/>
    </row>
    <row r="12" spans="1:27">
      <c r="Q12" s="209">
        <v>1994</v>
      </c>
      <c r="R12" s="209">
        <v>52</v>
      </c>
      <c r="S12" s="209">
        <v>108</v>
      </c>
      <c r="T12" s="209">
        <v>216</v>
      </c>
      <c r="V12" s="534">
        <f>Q12</f>
        <v>1994</v>
      </c>
      <c r="W12" s="534">
        <f t="shared" ref="W12:W40" si="0">+R12</f>
        <v>52</v>
      </c>
      <c r="X12" s="534">
        <f>-S12</f>
        <v>-108</v>
      </c>
      <c r="Y12" s="542">
        <f>IF(R43&gt;S43,(R43-S43)/(R43+S43),IF(S43&gt;R43,-(S43-R43)/(R43+S43),0))</f>
        <v>-0.20895522388059701</v>
      </c>
      <c r="Z12" s="543">
        <f t="shared" ref="Z12:Z40" si="1">IF(R12&gt;S12,(R12-S12)/(R12+S12),IF(S12&gt;R12,-(S12-R12)/(R12+S12),0))</f>
        <v>-0.35</v>
      </c>
      <c r="AA12" s="534"/>
    </row>
    <row r="13" spans="1:27">
      <c r="Q13" s="209">
        <v>1995</v>
      </c>
      <c r="R13" s="209">
        <v>104</v>
      </c>
      <c r="S13" s="209">
        <v>125</v>
      </c>
      <c r="T13" s="209">
        <v>265</v>
      </c>
      <c r="V13" s="534">
        <f t="shared" ref="V13:V40" si="2">Q13</f>
        <v>1995</v>
      </c>
      <c r="W13" s="534">
        <f t="shared" si="0"/>
        <v>104</v>
      </c>
      <c r="X13" s="534">
        <f t="shared" ref="X13:X40" si="3">-S13</f>
        <v>-125</v>
      </c>
      <c r="Y13" s="542">
        <f t="shared" ref="Y13:Y41" si="4">+Y12</f>
        <v>-0.20895522388059701</v>
      </c>
      <c r="Z13" s="543">
        <f t="shared" si="1"/>
        <v>-9.1703056768558958E-2</v>
      </c>
      <c r="AA13" s="534"/>
    </row>
    <row r="14" spans="1:27">
      <c r="Q14" s="209">
        <v>1996</v>
      </c>
      <c r="R14" s="209">
        <v>136</v>
      </c>
      <c r="S14" s="209">
        <v>93</v>
      </c>
      <c r="T14" s="209">
        <v>333</v>
      </c>
      <c r="V14" s="534">
        <f t="shared" si="2"/>
        <v>1996</v>
      </c>
      <c r="W14" s="534">
        <f t="shared" si="0"/>
        <v>136</v>
      </c>
      <c r="X14" s="534">
        <f t="shared" si="3"/>
        <v>-93</v>
      </c>
      <c r="Y14" s="542">
        <f t="shared" si="4"/>
        <v>-0.20895522388059701</v>
      </c>
      <c r="Z14" s="543">
        <f t="shared" si="1"/>
        <v>0.18777292576419213</v>
      </c>
      <c r="AA14" s="534"/>
    </row>
    <row r="15" spans="1:27">
      <c r="Q15" s="209">
        <v>1997</v>
      </c>
      <c r="R15" s="209">
        <v>72</v>
      </c>
      <c r="S15" s="209">
        <v>149</v>
      </c>
      <c r="T15" s="209">
        <v>361</v>
      </c>
      <c r="V15" s="534">
        <f t="shared" si="2"/>
        <v>1997</v>
      </c>
      <c r="W15" s="534">
        <f t="shared" si="0"/>
        <v>72</v>
      </c>
      <c r="X15" s="534">
        <f t="shared" si="3"/>
        <v>-149</v>
      </c>
      <c r="Y15" s="542">
        <f t="shared" si="4"/>
        <v>-0.20895522388059701</v>
      </c>
      <c r="Z15" s="543">
        <f t="shared" si="1"/>
        <v>-0.34841628959276016</v>
      </c>
      <c r="AA15" s="534"/>
    </row>
    <row r="16" spans="1:27">
      <c r="Q16" s="209">
        <v>1998</v>
      </c>
      <c r="R16" s="209">
        <v>98</v>
      </c>
      <c r="S16" s="209">
        <v>197</v>
      </c>
      <c r="T16" s="209">
        <v>342</v>
      </c>
      <c r="V16" s="534">
        <f t="shared" si="2"/>
        <v>1998</v>
      </c>
      <c r="W16" s="534">
        <f t="shared" si="0"/>
        <v>98</v>
      </c>
      <c r="X16" s="534">
        <f t="shared" si="3"/>
        <v>-197</v>
      </c>
      <c r="Y16" s="542">
        <f t="shared" si="4"/>
        <v>-0.20895522388059701</v>
      </c>
      <c r="Z16" s="543">
        <f t="shared" si="1"/>
        <v>-0.33559322033898303</v>
      </c>
      <c r="AA16" s="534"/>
    </row>
    <row r="17" spans="17:27">
      <c r="Q17" s="209">
        <v>1999</v>
      </c>
      <c r="R17" s="209">
        <v>123</v>
      </c>
      <c r="S17" s="209">
        <v>265</v>
      </c>
      <c r="T17" s="209">
        <v>335</v>
      </c>
      <c r="V17" s="534">
        <f t="shared" si="2"/>
        <v>1999</v>
      </c>
      <c r="W17" s="534">
        <f t="shared" si="0"/>
        <v>123</v>
      </c>
      <c r="X17" s="534">
        <f t="shared" si="3"/>
        <v>-265</v>
      </c>
      <c r="Y17" s="542">
        <f t="shared" si="4"/>
        <v>-0.20895522388059701</v>
      </c>
      <c r="Z17" s="543">
        <f t="shared" si="1"/>
        <v>-0.36597938144329895</v>
      </c>
      <c r="AA17" s="534"/>
    </row>
    <row r="18" spans="17:27">
      <c r="Q18" s="209">
        <v>2000</v>
      </c>
      <c r="R18" s="209">
        <v>158</v>
      </c>
      <c r="S18" s="209">
        <v>206</v>
      </c>
      <c r="T18" s="209">
        <v>400</v>
      </c>
      <c r="V18" s="534">
        <f t="shared" si="2"/>
        <v>2000</v>
      </c>
      <c r="W18" s="534">
        <f t="shared" si="0"/>
        <v>158</v>
      </c>
      <c r="X18" s="534">
        <f t="shared" si="3"/>
        <v>-206</v>
      </c>
      <c r="Y18" s="542">
        <f t="shared" si="4"/>
        <v>-0.20895522388059701</v>
      </c>
      <c r="Z18" s="543">
        <f t="shared" si="1"/>
        <v>-0.13186813186813187</v>
      </c>
      <c r="AA18" s="534"/>
    </row>
    <row r="19" spans="17:27">
      <c r="Q19" s="209">
        <v>2001</v>
      </c>
      <c r="R19" s="209">
        <v>108</v>
      </c>
      <c r="S19" s="209">
        <v>247</v>
      </c>
      <c r="T19" s="209">
        <v>420</v>
      </c>
      <c r="V19" s="534">
        <f t="shared" si="2"/>
        <v>2001</v>
      </c>
      <c r="W19" s="534">
        <f t="shared" si="0"/>
        <v>108</v>
      </c>
      <c r="X19" s="534">
        <f t="shared" si="3"/>
        <v>-247</v>
      </c>
      <c r="Y19" s="542">
        <f t="shared" si="4"/>
        <v>-0.20895522388059701</v>
      </c>
      <c r="Z19" s="543">
        <f t="shared" si="1"/>
        <v>-0.39154929577464787</v>
      </c>
      <c r="AA19" s="534"/>
    </row>
    <row r="20" spans="17:27">
      <c r="Q20" s="209">
        <v>2002</v>
      </c>
      <c r="R20" s="209">
        <v>123</v>
      </c>
      <c r="S20" s="209">
        <v>189</v>
      </c>
      <c r="T20" s="209">
        <v>484</v>
      </c>
      <c r="V20" s="534">
        <f t="shared" si="2"/>
        <v>2002</v>
      </c>
      <c r="W20" s="534">
        <f t="shared" si="0"/>
        <v>123</v>
      </c>
      <c r="X20" s="534">
        <f t="shared" si="3"/>
        <v>-189</v>
      </c>
      <c r="Y20" s="542">
        <f t="shared" si="4"/>
        <v>-0.20895522388059701</v>
      </c>
      <c r="Z20" s="543">
        <f t="shared" si="1"/>
        <v>-0.21153846153846154</v>
      </c>
      <c r="AA20" s="534"/>
    </row>
    <row r="21" spans="17:27">
      <c r="Q21" s="209">
        <v>2003</v>
      </c>
      <c r="R21" s="209">
        <v>167</v>
      </c>
      <c r="S21" s="209">
        <v>156</v>
      </c>
      <c r="T21" s="209">
        <v>493</v>
      </c>
      <c r="V21" s="534">
        <f t="shared" si="2"/>
        <v>2003</v>
      </c>
      <c r="W21" s="534">
        <f t="shared" si="0"/>
        <v>167</v>
      </c>
      <c r="X21" s="534">
        <f t="shared" si="3"/>
        <v>-156</v>
      </c>
      <c r="Y21" s="542">
        <f t="shared" si="4"/>
        <v>-0.20895522388059701</v>
      </c>
      <c r="Z21" s="543">
        <f t="shared" si="1"/>
        <v>3.4055727554179564E-2</v>
      </c>
      <c r="AA21" s="534"/>
    </row>
    <row r="22" spans="17:27">
      <c r="Q22" s="209">
        <v>2004</v>
      </c>
      <c r="R22" s="209">
        <v>144</v>
      </c>
      <c r="S22" s="209">
        <v>121</v>
      </c>
      <c r="T22" s="209">
        <v>572</v>
      </c>
      <c r="V22" s="534">
        <f t="shared" si="2"/>
        <v>2004</v>
      </c>
      <c r="W22" s="534">
        <f t="shared" si="0"/>
        <v>144</v>
      </c>
      <c r="X22" s="534">
        <f t="shared" si="3"/>
        <v>-121</v>
      </c>
      <c r="Y22" s="542">
        <f t="shared" si="4"/>
        <v>-0.20895522388059701</v>
      </c>
      <c r="Z22" s="543">
        <f t="shared" si="1"/>
        <v>8.6792452830188674E-2</v>
      </c>
      <c r="AA22" s="534"/>
    </row>
    <row r="23" spans="17:27">
      <c r="Q23" s="209">
        <v>2005</v>
      </c>
      <c r="R23" s="209">
        <v>155</v>
      </c>
      <c r="S23" s="209">
        <v>123</v>
      </c>
      <c r="T23" s="209">
        <v>596</v>
      </c>
      <c r="V23" s="534">
        <f t="shared" si="2"/>
        <v>2005</v>
      </c>
      <c r="W23" s="534">
        <f t="shared" si="0"/>
        <v>155</v>
      </c>
      <c r="X23" s="534">
        <f t="shared" si="3"/>
        <v>-123</v>
      </c>
      <c r="Y23" s="542">
        <f t="shared" si="4"/>
        <v>-0.20895522388059701</v>
      </c>
      <c r="Z23" s="543">
        <f t="shared" si="1"/>
        <v>0.11510791366906475</v>
      </c>
      <c r="AA23" s="534"/>
    </row>
    <row r="24" spans="17:27">
      <c r="Q24" s="209">
        <v>2006</v>
      </c>
      <c r="R24" s="209">
        <v>145</v>
      </c>
      <c r="S24" s="209">
        <v>111</v>
      </c>
      <c r="T24" s="209">
        <v>611</v>
      </c>
      <c r="V24" s="534">
        <f t="shared" si="2"/>
        <v>2006</v>
      </c>
      <c r="W24" s="534">
        <f t="shared" si="0"/>
        <v>145</v>
      </c>
      <c r="X24" s="534">
        <f t="shared" si="3"/>
        <v>-111</v>
      </c>
      <c r="Y24" s="542">
        <f t="shared" si="4"/>
        <v>-0.20895522388059701</v>
      </c>
      <c r="Z24" s="543">
        <f t="shared" si="1"/>
        <v>0.1328125</v>
      </c>
      <c r="AA24" s="534"/>
    </row>
    <row r="25" spans="17:27">
      <c r="Q25" s="209">
        <v>2007</v>
      </c>
      <c r="R25" s="209">
        <v>141</v>
      </c>
      <c r="S25" s="209">
        <v>116</v>
      </c>
      <c r="T25" s="209">
        <v>668</v>
      </c>
      <c r="V25" s="534">
        <f t="shared" si="2"/>
        <v>2007</v>
      </c>
      <c r="W25" s="534">
        <f t="shared" si="0"/>
        <v>141</v>
      </c>
      <c r="X25" s="534">
        <f t="shared" si="3"/>
        <v>-116</v>
      </c>
      <c r="Y25" s="542">
        <f t="shared" si="4"/>
        <v>-0.20895522388059701</v>
      </c>
      <c r="Z25" s="543">
        <f t="shared" si="1"/>
        <v>9.727626459143969E-2</v>
      </c>
      <c r="AA25" s="534"/>
    </row>
    <row r="26" spans="17:27">
      <c r="Q26" s="209">
        <v>2008</v>
      </c>
      <c r="R26" s="209">
        <v>109</v>
      </c>
      <c r="S26" s="209">
        <v>175</v>
      </c>
      <c r="T26" s="209">
        <v>815</v>
      </c>
      <c r="V26" s="534">
        <f t="shared" si="2"/>
        <v>2008</v>
      </c>
      <c r="W26" s="534">
        <f t="shared" si="0"/>
        <v>109</v>
      </c>
      <c r="X26" s="534">
        <f t="shared" si="3"/>
        <v>-175</v>
      </c>
      <c r="Y26" s="542">
        <f t="shared" si="4"/>
        <v>-0.20895522388059701</v>
      </c>
      <c r="Z26" s="543">
        <f t="shared" si="1"/>
        <v>-0.23239436619718309</v>
      </c>
      <c r="AA26" s="534"/>
    </row>
    <row r="27" spans="17:27">
      <c r="Q27" s="209">
        <v>2009</v>
      </c>
      <c r="R27" s="209">
        <v>102</v>
      </c>
      <c r="S27" s="209">
        <v>455</v>
      </c>
      <c r="T27" s="209">
        <v>738</v>
      </c>
      <c r="V27" s="534">
        <f t="shared" si="2"/>
        <v>2009</v>
      </c>
      <c r="W27" s="534">
        <f t="shared" si="0"/>
        <v>102</v>
      </c>
      <c r="X27" s="534">
        <f t="shared" si="3"/>
        <v>-455</v>
      </c>
      <c r="Y27" s="542">
        <f t="shared" si="4"/>
        <v>-0.20895522388059701</v>
      </c>
      <c r="Z27" s="543">
        <f t="shared" si="1"/>
        <v>-0.63375224416517051</v>
      </c>
      <c r="AA27" s="534"/>
    </row>
    <row r="28" spans="17:27">
      <c r="Q28" s="209">
        <v>2010</v>
      </c>
      <c r="R28" s="209">
        <v>298</v>
      </c>
      <c r="S28" s="209">
        <v>280</v>
      </c>
      <c r="T28" s="209">
        <v>813</v>
      </c>
      <c r="V28" s="534">
        <f t="shared" si="2"/>
        <v>2010</v>
      </c>
      <c r="W28" s="534">
        <f t="shared" si="0"/>
        <v>298</v>
      </c>
      <c r="X28" s="534">
        <f t="shared" si="3"/>
        <v>-280</v>
      </c>
      <c r="Y28" s="542">
        <f t="shared" si="4"/>
        <v>-0.20895522388059701</v>
      </c>
      <c r="Z28" s="543">
        <f t="shared" si="1"/>
        <v>3.1141868512110725E-2</v>
      </c>
      <c r="AA28" s="534"/>
    </row>
    <row r="29" spans="17:27">
      <c r="Q29" s="209">
        <v>2011</v>
      </c>
      <c r="R29" s="209">
        <v>228</v>
      </c>
      <c r="S29" s="209">
        <v>252</v>
      </c>
      <c r="T29" s="209">
        <v>1031</v>
      </c>
      <c r="V29" s="534">
        <f t="shared" si="2"/>
        <v>2011</v>
      </c>
      <c r="W29" s="534">
        <f t="shared" si="0"/>
        <v>228</v>
      </c>
      <c r="X29" s="534">
        <f t="shared" si="3"/>
        <v>-252</v>
      </c>
      <c r="Y29" s="542">
        <f t="shared" si="4"/>
        <v>-0.20895522388059701</v>
      </c>
      <c r="Z29" s="543">
        <f t="shared" si="1"/>
        <v>-0.05</v>
      </c>
      <c r="AA29" s="534"/>
    </row>
    <row r="30" spans="17:27">
      <c r="Q30" s="209">
        <v>2012</v>
      </c>
      <c r="R30" s="209">
        <v>205</v>
      </c>
      <c r="S30" s="209">
        <v>273</v>
      </c>
      <c r="T30" s="209">
        <v>1204</v>
      </c>
      <c r="V30" s="534">
        <f t="shared" si="2"/>
        <v>2012</v>
      </c>
      <c r="W30" s="534">
        <f t="shared" si="0"/>
        <v>205</v>
      </c>
      <c r="X30" s="534">
        <f t="shared" si="3"/>
        <v>-273</v>
      </c>
      <c r="Y30" s="542">
        <f t="shared" si="4"/>
        <v>-0.20895522388059701</v>
      </c>
      <c r="Z30" s="543">
        <f t="shared" si="1"/>
        <v>-0.14225941422594143</v>
      </c>
      <c r="AA30" s="534"/>
    </row>
    <row r="31" spans="17:27">
      <c r="Q31" s="209">
        <v>2013</v>
      </c>
      <c r="R31" s="209">
        <v>163</v>
      </c>
      <c r="S31" s="209">
        <v>305</v>
      </c>
      <c r="T31" s="209">
        <v>1395</v>
      </c>
      <c r="V31" s="534">
        <f t="shared" si="2"/>
        <v>2013</v>
      </c>
      <c r="W31" s="534">
        <f t="shared" si="0"/>
        <v>163</v>
      </c>
      <c r="X31" s="534">
        <f t="shared" si="3"/>
        <v>-305</v>
      </c>
      <c r="Y31" s="542">
        <f t="shared" si="4"/>
        <v>-0.20895522388059701</v>
      </c>
      <c r="Z31" s="543">
        <f t="shared" si="1"/>
        <v>-0.3034188034188034</v>
      </c>
      <c r="AA31" s="534"/>
    </row>
    <row r="32" spans="17:27">
      <c r="Q32" s="209">
        <v>2014</v>
      </c>
      <c r="R32" s="209">
        <v>187</v>
      </c>
      <c r="S32" s="209">
        <v>350</v>
      </c>
      <c r="T32" s="209">
        <v>1417</v>
      </c>
      <c r="V32" s="534">
        <f t="shared" si="2"/>
        <v>2014</v>
      </c>
      <c r="W32" s="534">
        <f t="shared" si="0"/>
        <v>187</v>
      </c>
      <c r="X32" s="534">
        <f t="shared" si="3"/>
        <v>-350</v>
      </c>
      <c r="Y32" s="542">
        <f t="shared" si="4"/>
        <v>-0.20895522388059701</v>
      </c>
      <c r="Z32" s="543">
        <f t="shared" si="1"/>
        <v>-0.30353817504655495</v>
      </c>
      <c r="AA32" s="534"/>
    </row>
    <row r="33" spans="17:27">
      <c r="Q33" s="209">
        <v>2015</v>
      </c>
      <c r="R33" s="209">
        <v>215</v>
      </c>
      <c r="S33" s="209">
        <v>358</v>
      </c>
      <c r="T33" s="209">
        <v>1698</v>
      </c>
      <c r="V33" s="534">
        <f t="shared" si="2"/>
        <v>2015</v>
      </c>
      <c r="W33" s="534">
        <f t="shared" si="0"/>
        <v>215</v>
      </c>
      <c r="X33" s="534">
        <f t="shared" si="3"/>
        <v>-358</v>
      </c>
      <c r="Y33" s="542">
        <f t="shared" si="4"/>
        <v>-0.20895522388059701</v>
      </c>
      <c r="Z33" s="543">
        <f t="shared" si="1"/>
        <v>-0.24956369982547993</v>
      </c>
      <c r="AA33" s="534"/>
    </row>
    <row r="34" spans="17:27">
      <c r="Q34" s="209">
        <v>2016</v>
      </c>
      <c r="R34" s="209">
        <v>232</v>
      </c>
      <c r="S34" s="209">
        <v>673</v>
      </c>
      <c r="T34" s="209">
        <v>1722</v>
      </c>
      <c r="V34" s="534">
        <f t="shared" si="2"/>
        <v>2016</v>
      </c>
      <c r="W34" s="534">
        <f t="shared" si="0"/>
        <v>232</v>
      </c>
      <c r="X34" s="534">
        <f t="shared" si="3"/>
        <v>-673</v>
      </c>
      <c r="Y34" s="542">
        <f t="shared" si="4"/>
        <v>-0.20895522388059701</v>
      </c>
      <c r="Z34" s="543">
        <f t="shared" si="1"/>
        <v>-0.48729281767955801</v>
      </c>
      <c r="AA34" s="534"/>
    </row>
    <row r="35" spans="17:27">
      <c r="Q35" s="209">
        <v>2017</v>
      </c>
      <c r="R35" s="209">
        <v>525</v>
      </c>
      <c r="S35" s="209">
        <v>455</v>
      </c>
      <c r="T35" s="209">
        <v>1688</v>
      </c>
      <c r="V35" s="534">
        <f t="shared" si="2"/>
        <v>2017</v>
      </c>
      <c r="W35" s="534">
        <f t="shared" si="0"/>
        <v>525</v>
      </c>
      <c r="X35" s="534">
        <f t="shared" si="3"/>
        <v>-455</v>
      </c>
      <c r="Y35" s="542">
        <f t="shared" si="4"/>
        <v>-0.20895522388059701</v>
      </c>
      <c r="Z35" s="543">
        <f t="shared" si="1"/>
        <v>7.1428571428571425E-2</v>
      </c>
      <c r="AA35" s="534"/>
    </row>
    <row r="36" spans="17:27">
      <c r="Q36" s="209">
        <v>2018</v>
      </c>
      <c r="R36" s="209">
        <v>352</v>
      </c>
      <c r="S36" s="209">
        <v>494</v>
      </c>
      <c r="T36" s="209">
        <v>1927</v>
      </c>
      <c r="V36" s="534">
        <f t="shared" si="2"/>
        <v>2018</v>
      </c>
      <c r="W36" s="534">
        <f t="shared" si="0"/>
        <v>352</v>
      </c>
      <c r="X36" s="534">
        <f t="shared" si="3"/>
        <v>-494</v>
      </c>
      <c r="Y36" s="542">
        <f t="shared" si="4"/>
        <v>-0.20895522388059701</v>
      </c>
      <c r="Z36" s="543">
        <f t="shared" si="1"/>
        <v>-0.16784869976359337</v>
      </c>
      <c r="AA36" s="534"/>
    </row>
    <row r="37" spans="17:27">
      <c r="Q37" s="209">
        <v>2019</v>
      </c>
      <c r="R37" s="209">
        <v>332</v>
      </c>
      <c r="S37" s="209">
        <v>488</v>
      </c>
      <c r="T37" s="209">
        <v>2263</v>
      </c>
      <c r="V37" s="534">
        <f t="shared" si="2"/>
        <v>2019</v>
      </c>
      <c r="W37" s="534">
        <f t="shared" si="0"/>
        <v>332</v>
      </c>
      <c r="X37" s="534">
        <f t="shared" si="3"/>
        <v>-488</v>
      </c>
      <c r="Y37" s="542">
        <f t="shared" si="4"/>
        <v>-0.20895522388059701</v>
      </c>
      <c r="Z37" s="543">
        <f t="shared" si="1"/>
        <v>-0.19024390243902439</v>
      </c>
      <c r="AA37" s="534"/>
    </row>
    <row r="38" spans="17:27">
      <c r="Q38" s="209">
        <v>2020</v>
      </c>
      <c r="R38" s="209">
        <v>200</v>
      </c>
      <c r="S38" s="209">
        <v>823</v>
      </c>
      <c r="T38" s="209">
        <v>2190</v>
      </c>
      <c r="V38" s="534">
        <f t="shared" si="2"/>
        <v>2020</v>
      </c>
      <c r="W38" s="534">
        <f t="shared" si="0"/>
        <v>200</v>
      </c>
      <c r="X38" s="534">
        <f t="shared" si="3"/>
        <v>-823</v>
      </c>
      <c r="Y38" s="542">
        <f t="shared" si="4"/>
        <v>-0.20895522388059701</v>
      </c>
      <c r="Z38" s="543">
        <f t="shared" si="1"/>
        <v>-0.60899315738025417</v>
      </c>
      <c r="AA38" s="534"/>
    </row>
    <row r="39" spans="17:27">
      <c r="Q39" s="209">
        <v>2021</v>
      </c>
      <c r="R39" s="209">
        <v>339</v>
      </c>
      <c r="S39" s="209">
        <v>421</v>
      </c>
      <c r="T39" s="209">
        <v>2423</v>
      </c>
      <c r="V39" s="534">
        <f t="shared" si="2"/>
        <v>2021</v>
      </c>
      <c r="W39" s="534">
        <f t="shared" si="0"/>
        <v>339</v>
      </c>
      <c r="X39" s="534">
        <f t="shared" si="3"/>
        <v>-421</v>
      </c>
      <c r="Y39" s="542">
        <f t="shared" si="4"/>
        <v>-0.20895522388059701</v>
      </c>
      <c r="Z39" s="543">
        <f t="shared" si="1"/>
        <v>-0.10789473684210527</v>
      </c>
      <c r="AA39" s="534"/>
    </row>
    <row r="40" spans="17:27">
      <c r="Q40" s="209">
        <v>2022</v>
      </c>
      <c r="R40" s="209">
        <v>309</v>
      </c>
      <c r="S40" s="209">
        <v>529</v>
      </c>
      <c r="T40" s="209">
        <v>2392</v>
      </c>
      <c r="V40" s="534">
        <f t="shared" si="2"/>
        <v>2022</v>
      </c>
      <c r="W40" s="534">
        <f t="shared" si="0"/>
        <v>309</v>
      </c>
      <c r="X40" s="534">
        <f t="shared" si="3"/>
        <v>-529</v>
      </c>
      <c r="Y40" s="542">
        <f t="shared" si="4"/>
        <v>-0.20895522388059701</v>
      </c>
      <c r="Z40" s="543">
        <f t="shared" si="1"/>
        <v>-0.26252983293556087</v>
      </c>
      <c r="AA40" s="534"/>
    </row>
    <row r="41" spans="17:27">
      <c r="Q41" s="209">
        <v>2023</v>
      </c>
      <c r="R41" s="209">
        <v>361</v>
      </c>
      <c r="S41" s="209">
        <v>454</v>
      </c>
      <c r="T41" s="209">
        <v>2413</v>
      </c>
      <c r="V41" s="534">
        <f t="shared" ref="V41" si="5">Q41</f>
        <v>2023</v>
      </c>
      <c r="W41" s="534">
        <f t="shared" ref="W41" si="6">+R41</f>
        <v>361</v>
      </c>
      <c r="X41" s="534">
        <f t="shared" ref="X41" si="7">-S41</f>
        <v>-454</v>
      </c>
      <c r="Y41" s="542">
        <f t="shared" si="4"/>
        <v>-0.20895522388059701</v>
      </c>
      <c r="Z41" s="543">
        <f t="shared" ref="Z41" si="8">IF(R41&gt;S41,(R41-S41)/(R41+S41),IF(S41&gt;R41,-(S41-R41)/(R41+S41),0))</f>
        <v>-0.11411042944785275</v>
      </c>
      <c r="AA41" s="534"/>
    </row>
    <row r="42" spans="17:27">
      <c r="V42" s="534"/>
      <c r="W42" s="534"/>
      <c r="X42" s="534"/>
      <c r="Y42" s="534"/>
      <c r="Z42" s="534"/>
      <c r="AA42" s="534"/>
    </row>
    <row r="43" spans="17:27">
      <c r="Q43" s="545" t="s">
        <v>219</v>
      </c>
      <c r="R43" s="534">
        <f>SUM(R12:R42)</f>
        <v>5883</v>
      </c>
      <c r="S43" s="534">
        <f>SUM(S12:S42)</f>
        <v>8991</v>
      </c>
      <c r="T43" s="534">
        <f>SUM(T12:T42)</f>
        <v>32225</v>
      </c>
      <c r="V43" s="534"/>
      <c r="W43" s="534"/>
      <c r="X43" s="534"/>
      <c r="Y43" s="534"/>
      <c r="Z43" s="544">
        <f>IF(R43&gt;S43,(R43-S43)/(R43+S43),IF(S43&gt;R43,-(S43-R43)/(R43+S43),0))</f>
        <v>-0.20895522388059701</v>
      </c>
      <c r="AA43" s="534"/>
    </row>
    <row r="67" spans="22:22">
      <c r="V67" s="208"/>
    </row>
    <row r="68" spans="22:22">
      <c r="V68" s="208"/>
    </row>
    <row r="69" spans="22:22">
      <c r="V69" s="208"/>
    </row>
    <row r="70" spans="22:22">
      <c r="V70" s="208"/>
    </row>
    <row r="71" spans="22:22">
      <c r="V71" s="208"/>
    </row>
    <row r="72" spans="22:22">
      <c r="V72" s="208"/>
    </row>
    <row r="73" spans="22:22">
      <c r="V73" s="208"/>
    </row>
    <row r="74" spans="22:22">
      <c r="V74" s="208"/>
    </row>
    <row r="75" spans="22:22">
      <c r="V75" s="208"/>
    </row>
    <row r="76" spans="22:22">
      <c r="V76" s="208"/>
    </row>
    <row r="77" spans="22:22">
      <c r="V77" s="208"/>
    </row>
    <row r="78" spans="22:22">
      <c r="V78" s="208"/>
    </row>
    <row r="79" spans="22:22">
      <c r="V79" s="208"/>
    </row>
    <row r="80" spans="22:22">
      <c r="V80" s="208"/>
    </row>
  </sheetData>
  <mergeCells count="1">
    <mergeCell ref="A3:O3"/>
  </mergeCells>
  <pageMargins left="0.7" right="0.7" top="0.75" bottom="0.75" header="0.3" footer="0.3"/>
  <headerFooter>
    <oddHeader>&amp;C&amp;"Calibri"&amp;10&amp;K808080 Corporate Use&amp;1#_x000D_</oddHead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656C-B1C4-4512-8B59-4B78B2F09D0C}">
  <sheetPr>
    <tabColor theme="4" tint="0.59999389629810485"/>
  </sheetPr>
  <dimension ref="B2:Z25"/>
  <sheetViews>
    <sheetView workbookViewId="0"/>
  </sheetViews>
  <sheetFormatPr defaultColWidth="9.296875" defaultRowHeight="14.4"/>
  <cols>
    <col min="1" max="1" width="9.296875" style="3"/>
    <col min="2" max="2" width="12" style="3" bestFit="1" customWidth="1"/>
    <col min="3" max="3" width="12.59765625" style="3" customWidth="1"/>
    <col min="4" max="24" width="7.296875" style="3" customWidth="1"/>
    <col min="25" max="25" width="8.59765625" style="3" hidden="1" customWidth="1"/>
    <col min="26" max="28" width="9.296875" style="3" customWidth="1"/>
    <col min="29" max="41" width="6.69921875" style="3" customWidth="1"/>
    <col min="42" max="42" width="7.59765625" style="3" customWidth="1"/>
    <col min="43" max="16384" width="9.296875" style="3"/>
  </cols>
  <sheetData>
    <row r="2" spans="2:26" ht="18">
      <c r="B2" s="242" t="s">
        <v>429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</row>
    <row r="3" spans="2:26" ht="15" thickBot="1"/>
    <row r="4" spans="2:26" s="17" customFormat="1" ht="39" customHeight="1" thickBot="1">
      <c r="B4" s="41" t="s">
        <v>220</v>
      </c>
      <c r="C4" s="39" t="s">
        <v>94</v>
      </c>
      <c r="D4" s="42" t="s">
        <v>147</v>
      </c>
      <c r="E4" s="42" t="s">
        <v>148</v>
      </c>
      <c r="F4" s="42" t="s">
        <v>149</v>
      </c>
      <c r="G4" s="42" t="s">
        <v>150</v>
      </c>
      <c r="H4" s="42" t="s">
        <v>151</v>
      </c>
      <c r="I4" s="42" t="s">
        <v>152</v>
      </c>
      <c r="J4" s="42" t="s">
        <v>153</v>
      </c>
      <c r="K4" s="42" t="s">
        <v>154</v>
      </c>
      <c r="L4" s="42" t="s">
        <v>155</v>
      </c>
      <c r="M4" s="42" t="s">
        <v>156</v>
      </c>
      <c r="N4" s="40" t="s">
        <v>157</v>
      </c>
      <c r="O4" s="42" t="s">
        <v>158</v>
      </c>
      <c r="P4" s="42" t="s">
        <v>159</v>
      </c>
      <c r="Q4" s="42" t="s">
        <v>160</v>
      </c>
      <c r="R4" s="42" t="s">
        <v>161</v>
      </c>
      <c r="S4" s="42" t="s">
        <v>162</v>
      </c>
      <c r="T4" s="42" t="s">
        <v>163</v>
      </c>
      <c r="U4" s="42" t="s">
        <v>164</v>
      </c>
      <c r="V4" s="42" t="s">
        <v>165</v>
      </c>
      <c r="W4" s="42" t="s">
        <v>166</v>
      </c>
      <c r="X4" s="210" t="s">
        <v>353</v>
      </c>
      <c r="Y4" s="210">
        <v>0</v>
      </c>
    </row>
    <row r="5" spans="2:26" s="17" customFormat="1" ht="20.100000000000001" customHeight="1">
      <c r="B5" s="93" t="s">
        <v>147</v>
      </c>
      <c r="C5" s="225">
        <v>8</v>
      </c>
      <c r="D5" s="226">
        <v>1</v>
      </c>
      <c r="E5" s="226" t="s">
        <v>237</v>
      </c>
      <c r="F5" s="226" t="s">
        <v>237</v>
      </c>
      <c r="G5" s="226" t="s">
        <v>237</v>
      </c>
      <c r="H5" s="226" t="s">
        <v>237</v>
      </c>
      <c r="I5" s="226" t="s">
        <v>237</v>
      </c>
      <c r="J5" s="226" t="s">
        <v>237</v>
      </c>
      <c r="K5" s="226" t="s">
        <v>237</v>
      </c>
      <c r="L5" s="226" t="s">
        <v>237</v>
      </c>
      <c r="M5" s="226" t="s">
        <v>237</v>
      </c>
      <c r="N5" s="227" t="s">
        <v>237</v>
      </c>
      <c r="O5" s="226" t="s">
        <v>237</v>
      </c>
      <c r="P5" s="226" t="s">
        <v>237</v>
      </c>
      <c r="Q5" s="226" t="s">
        <v>237</v>
      </c>
      <c r="R5" s="226" t="s">
        <v>237</v>
      </c>
      <c r="S5" s="226" t="s">
        <v>237</v>
      </c>
      <c r="T5" s="226" t="s">
        <v>237</v>
      </c>
      <c r="U5" s="226" t="s">
        <v>237</v>
      </c>
      <c r="V5" s="226" t="s">
        <v>237</v>
      </c>
      <c r="W5" s="226" t="s">
        <v>237</v>
      </c>
      <c r="X5" s="228" t="s">
        <v>237</v>
      </c>
      <c r="Y5" s="228" t="s">
        <v>237</v>
      </c>
      <c r="Z5" s="211"/>
    </row>
    <row r="6" spans="2:26" s="17" customFormat="1" ht="20.100000000000001" customHeight="1">
      <c r="B6" s="94" t="s">
        <v>148</v>
      </c>
      <c r="C6" s="212">
        <v>9</v>
      </c>
      <c r="D6" s="213" t="s">
        <v>237</v>
      </c>
      <c r="E6" s="213">
        <v>1</v>
      </c>
      <c r="F6" s="213" t="s">
        <v>237</v>
      </c>
      <c r="G6" s="213" t="s">
        <v>237</v>
      </c>
      <c r="H6" s="213" t="s">
        <v>237</v>
      </c>
      <c r="I6" s="213" t="s">
        <v>237</v>
      </c>
      <c r="J6" s="213" t="s">
        <v>237</v>
      </c>
      <c r="K6" s="213" t="s">
        <v>237</v>
      </c>
      <c r="L6" s="213" t="s">
        <v>237</v>
      </c>
      <c r="M6" s="213" t="s">
        <v>237</v>
      </c>
      <c r="N6" s="214" t="s">
        <v>237</v>
      </c>
      <c r="O6" s="213" t="s">
        <v>237</v>
      </c>
      <c r="P6" s="213" t="s">
        <v>237</v>
      </c>
      <c r="Q6" s="213" t="s">
        <v>237</v>
      </c>
      <c r="R6" s="213" t="s">
        <v>237</v>
      </c>
      <c r="S6" s="213" t="s">
        <v>237</v>
      </c>
      <c r="T6" s="213" t="s">
        <v>237</v>
      </c>
      <c r="U6" s="213" t="s">
        <v>237</v>
      </c>
      <c r="V6" s="213" t="s">
        <v>237</v>
      </c>
      <c r="W6" s="213" t="s">
        <v>237</v>
      </c>
      <c r="X6" s="215" t="s">
        <v>237</v>
      </c>
      <c r="Y6" s="215" t="s">
        <v>237</v>
      </c>
      <c r="Z6" s="211"/>
    </row>
    <row r="7" spans="2:26" s="17" customFormat="1" ht="20.100000000000001" customHeight="1">
      <c r="B7" s="94" t="s">
        <v>149</v>
      </c>
      <c r="C7" s="225">
        <v>44</v>
      </c>
      <c r="D7" s="226" t="s">
        <v>237</v>
      </c>
      <c r="E7" s="226">
        <v>4.5499999999999999E-2</v>
      </c>
      <c r="F7" s="226">
        <v>0.75</v>
      </c>
      <c r="G7" s="226">
        <v>6.8199999999999997E-2</v>
      </c>
      <c r="H7" s="226" t="s">
        <v>237</v>
      </c>
      <c r="I7" s="226">
        <v>2.2700000000000001E-2</v>
      </c>
      <c r="J7" s="226" t="s">
        <v>237</v>
      </c>
      <c r="K7" s="226" t="s">
        <v>237</v>
      </c>
      <c r="L7" s="226">
        <v>6.8199999999999997E-2</v>
      </c>
      <c r="M7" s="226" t="s">
        <v>237</v>
      </c>
      <c r="N7" s="227">
        <v>2.2700000000000001E-2</v>
      </c>
      <c r="O7" s="226" t="s">
        <v>237</v>
      </c>
      <c r="P7" s="226">
        <v>2.2700000000000001E-2</v>
      </c>
      <c r="Q7" s="226" t="s">
        <v>237</v>
      </c>
      <c r="R7" s="226" t="s">
        <v>237</v>
      </c>
      <c r="S7" s="226" t="s">
        <v>237</v>
      </c>
      <c r="T7" s="226" t="s">
        <v>237</v>
      </c>
      <c r="U7" s="226" t="s">
        <v>237</v>
      </c>
      <c r="V7" s="226" t="s">
        <v>237</v>
      </c>
      <c r="W7" s="226" t="s">
        <v>237</v>
      </c>
      <c r="X7" s="228" t="s">
        <v>237</v>
      </c>
      <c r="Y7" s="228" t="s">
        <v>237</v>
      </c>
      <c r="Z7" s="211"/>
    </row>
    <row r="8" spans="2:26" s="17" customFormat="1" ht="20.100000000000001" customHeight="1">
      <c r="B8" s="94" t="s">
        <v>150</v>
      </c>
      <c r="C8" s="212">
        <v>221</v>
      </c>
      <c r="D8" s="213" t="s">
        <v>237</v>
      </c>
      <c r="E8" s="213" t="s">
        <v>237</v>
      </c>
      <c r="F8" s="213" t="s">
        <v>237</v>
      </c>
      <c r="G8" s="213">
        <v>0.75109999999999999</v>
      </c>
      <c r="H8" s="213" t="s">
        <v>237</v>
      </c>
      <c r="I8" s="213" t="s">
        <v>237</v>
      </c>
      <c r="J8" s="213" t="s">
        <v>237</v>
      </c>
      <c r="K8" s="213">
        <v>3.1699999999999999E-2</v>
      </c>
      <c r="L8" s="213">
        <v>5.4300000000000001E-2</v>
      </c>
      <c r="M8" s="213">
        <v>4.5199999999999997E-2</v>
      </c>
      <c r="N8" s="214">
        <v>4.5199999999999997E-2</v>
      </c>
      <c r="O8" s="213">
        <v>3.1699999999999999E-2</v>
      </c>
      <c r="P8" s="213">
        <v>1.8100000000000002E-2</v>
      </c>
      <c r="Q8" s="213" t="s">
        <v>237</v>
      </c>
      <c r="R8" s="213" t="s">
        <v>237</v>
      </c>
      <c r="S8" s="213" t="s">
        <v>237</v>
      </c>
      <c r="T8" s="213">
        <v>1.8100000000000002E-2</v>
      </c>
      <c r="U8" s="213">
        <v>4.4999999999999997E-3</v>
      </c>
      <c r="V8" s="213" t="s">
        <v>237</v>
      </c>
      <c r="W8" s="213" t="s">
        <v>237</v>
      </c>
      <c r="X8" s="215" t="s">
        <v>237</v>
      </c>
      <c r="Y8" s="215" t="s">
        <v>237</v>
      </c>
      <c r="Z8" s="211"/>
    </row>
    <row r="9" spans="2:26" s="17" customFormat="1" ht="20.100000000000001" customHeight="1">
      <c r="B9" s="94" t="s">
        <v>151</v>
      </c>
      <c r="C9" s="225">
        <v>39</v>
      </c>
      <c r="D9" s="226" t="s">
        <v>237</v>
      </c>
      <c r="E9" s="226" t="s">
        <v>237</v>
      </c>
      <c r="F9" s="226" t="s">
        <v>237</v>
      </c>
      <c r="G9" s="226">
        <v>2.5600000000000001E-2</v>
      </c>
      <c r="H9" s="226">
        <v>0.74360000000000004</v>
      </c>
      <c r="I9" s="226">
        <v>0.1026</v>
      </c>
      <c r="J9" s="226">
        <v>2.5600000000000001E-2</v>
      </c>
      <c r="K9" s="226">
        <v>2.5600000000000001E-2</v>
      </c>
      <c r="L9" s="226" t="s">
        <v>237</v>
      </c>
      <c r="M9" s="226" t="s">
        <v>237</v>
      </c>
      <c r="N9" s="227" t="s">
        <v>237</v>
      </c>
      <c r="O9" s="226" t="s">
        <v>237</v>
      </c>
      <c r="P9" s="226" t="s">
        <v>237</v>
      </c>
      <c r="Q9" s="226" t="s">
        <v>237</v>
      </c>
      <c r="R9" s="226">
        <v>2.5600000000000001E-2</v>
      </c>
      <c r="S9" s="226" t="s">
        <v>237</v>
      </c>
      <c r="T9" s="226">
        <v>5.1299999999999998E-2</v>
      </c>
      <c r="U9" s="226" t="s">
        <v>237</v>
      </c>
      <c r="V9" s="226" t="s">
        <v>237</v>
      </c>
      <c r="W9" s="226" t="s">
        <v>237</v>
      </c>
      <c r="X9" s="228" t="s">
        <v>237</v>
      </c>
      <c r="Y9" s="228" t="s">
        <v>237</v>
      </c>
      <c r="Z9" s="211"/>
    </row>
    <row r="10" spans="2:26" s="17" customFormat="1" ht="20.100000000000001" customHeight="1">
      <c r="B10" s="94" t="s">
        <v>152</v>
      </c>
      <c r="C10" s="212">
        <v>107</v>
      </c>
      <c r="D10" s="213" t="s">
        <v>237</v>
      </c>
      <c r="E10" s="213" t="s">
        <v>237</v>
      </c>
      <c r="F10" s="213" t="s">
        <v>237</v>
      </c>
      <c r="G10" s="213" t="s">
        <v>237</v>
      </c>
      <c r="H10" s="213">
        <v>2.8000000000000001E-2</v>
      </c>
      <c r="I10" s="213">
        <v>0.66359999999999997</v>
      </c>
      <c r="J10" s="213">
        <v>0.1028</v>
      </c>
      <c r="K10" s="213">
        <v>6.54E-2</v>
      </c>
      <c r="L10" s="213">
        <v>1.8700000000000001E-2</v>
      </c>
      <c r="M10" s="213">
        <v>4.6699999999999998E-2</v>
      </c>
      <c r="N10" s="214">
        <v>9.2999999999999992E-3</v>
      </c>
      <c r="O10" s="213">
        <v>3.7400000000000003E-2</v>
      </c>
      <c r="P10" s="213" t="s">
        <v>237</v>
      </c>
      <c r="Q10" s="213" t="s">
        <v>237</v>
      </c>
      <c r="R10" s="213" t="s">
        <v>237</v>
      </c>
      <c r="S10" s="213">
        <v>1.8700000000000001E-2</v>
      </c>
      <c r="T10" s="213" t="s">
        <v>237</v>
      </c>
      <c r="U10" s="213" t="s">
        <v>237</v>
      </c>
      <c r="V10" s="213" t="s">
        <v>237</v>
      </c>
      <c r="W10" s="213">
        <v>9.2999999999999992E-3</v>
      </c>
      <c r="X10" s="215" t="s">
        <v>237</v>
      </c>
      <c r="Y10" s="215" t="s">
        <v>237</v>
      </c>
      <c r="Z10" s="211"/>
    </row>
    <row r="11" spans="2:26" s="17" customFormat="1" ht="20.100000000000001" customHeight="1">
      <c r="B11" s="94" t="s">
        <v>153</v>
      </c>
      <c r="C11" s="225">
        <v>107</v>
      </c>
      <c r="D11" s="226" t="s">
        <v>237</v>
      </c>
      <c r="E11" s="226" t="s">
        <v>237</v>
      </c>
      <c r="F11" s="226" t="s">
        <v>237</v>
      </c>
      <c r="G11" s="226" t="s">
        <v>237</v>
      </c>
      <c r="H11" s="226">
        <v>9.2999999999999992E-3</v>
      </c>
      <c r="I11" s="226">
        <v>1.8700000000000001E-2</v>
      </c>
      <c r="J11" s="226">
        <v>0.71960000000000002</v>
      </c>
      <c r="K11" s="226">
        <v>9.35E-2</v>
      </c>
      <c r="L11" s="226">
        <v>4.6699999999999998E-2</v>
      </c>
      <c r="M11" s="226">
        <v>3.7400000000000003E-2</v>
      </c>
      <c r="N11" s="227">
        <v>9.2999999999999992E-3</v>
      </c>
      <c r="O11" s="226">
        <v>1.8700000000000001E-2</v>
      </c>
      <c r="P11" s="226">
        <v>9.2999999999999992E-3</v>
      </c>
      <c r="Q11" s="226" t="s">
        <v>237</v>
      </c>
      <c r="R11" s="226" t="s">
        <v>237</v>
      </c>
      <c r="S11" s="226">
        <v>1.8700000000000001E-2</v>
      </c>
      <c r="T11" s="226" t="s">
        <v>237</v>
      </c>
      <c r="U11" s="226" t="s">
        <v>237</v>
      </c>
      <c r="V11" s="226">
        <v>1.8700000000000001E-2</v>
      </c>
      <c r="W11" s="226" t="s">
        <v>237</v>
      </c>
      <c r="X11" s="228" t="s">
        <v>237</v>
      </c>
      <c r="Y11" s="228" t="s">
        <v>237</v>
      </c>
      <c r="Z11" s="211"/>
    </row>
    <row r="12" spans="2:26" s="17" customFormat="1" ht="20.100000000000001" customHeight="1">
      <c r="B12" s="94" t="s">
        <v>154</v>
      </c>
      <c r="C12" s="212">
        <v>824</v>
      </c>
      <c r="D12" s="213" t="s">
        <v>237</v>
      </c>
      <c r="E12" s="213" t="s">
        <v>237</v>
      </c>
      <c r="F12" s="213" t="s">
        <v>237</v>
      </c>
      <c r="G12" s="213">
        <v>1.21E-2</v>
      </c>
      <c r="H12" s="213">
        <v>2.3999999999999998E-3</v>
      </c>
      <c r="I12" s="213">
        <v>1.3299999999999999E-2</v>
      </c>
      <c r="J12" s="213">
        <v>6.1000000000000004E-3</v>
      </c>
      <c r="K12" s="213">
        <v>0.80579999999999996</v>
      </c>
      <c r="L12" s="213">
        <v>2.4299999999999999E-2</v>
      </c>
      <c r="M12" s="213">
        <v>8.9800000000000005E-2</v>
      </c>
      <c r="N12" s="214">
        <v>1.46E-2</v>
      </c>
      <c r="O12" s="213">
        <v>2.3999999999999998E-3</v>
      </c>
      <c r="P12" s="213">
        <v>1.46E-2</v>
      </c>
      <c r="Q12" s="213">
        <v>1.1999999999999999E-3</v>
      </c>
      <c r="R12" s="213" t="s">
        <v>237</v>
      </c>
      <c r="S12" s="213">
        <v>1.1999999999999999E-3</v>
      </c>
      <c r="T12" s="213">
        <v>6.1000000000000004E-3</v>
      </c>
      <c r="U12" s="213">
        <v>1.1999999999999999E-3</v>
      </c>
      <c r="V12" s="213">
        <v>3.5999999999999999E-3</v>
      </c>
      <c r="W12" s="213" t="s">
        <v>237</v>
      </c>
      <c r="X12" s="215">
        <v>1.1999999999999999E-3</v>
      </c>
      <c r="Y12" s="215" t="s">
        <v>237</v>
      </c>
      <c r="Z12" s="211"/>
    </row>
    <row r="13" spans="2:26" s="17" customFormat="1" ht="20.100000000000001" customHeight="1">
      <c r="B13" s="94" t="s">
        <v>155</v>
      </c>
      <c r="C13" s="225">
        <v>1029</v>
      </c>
      <c r="D13" s="226" t="s">
        <v>237</v>
      </c>
      <c r="E13" s="226" t="s">
        <v>237</v>
      </c>
      <c r="F13" s="226">
        <v>1.9E-3</v>
      </c>
      <c r="G13" s="226">
        <v>1.0699999999999999E-2</v>
      </c>
      <c r="H13" s="226" t="s">
        <v>237</v>
      </c>
      <c r="I13" s="226">
        <v>1.9E-3</v>
      </c>
      <c r="J13" s="226">
        <v>1.9E-3</v>
      </c>
      <c r="K13" s="226">
        <v>2.7199999999999998E-2</v>
      </c>
      <c r="L13" s="226">
        <v>0.75509999999999999</v>
      </c>
      <c r="M13" s="226">
        <v>8.2600000000000007E-2</v>
      </c>
      <c r="N13" s="227">
        <v>5.6399999999999999E-2</v>
      </c>
      <c r="O13" s="226">
        <v>3.9800000000000002E-2</v>
      </c>
      <c r="P13" s="226">
        <v>1.26E-2</v>
      </c>
      <c r="Q13" s="226">
        <v>1E-3</v>
      </c>
      <c r="R13" s="226">
        <v>1.9E-3</v>
      </c>
      <c r="S13" s="226" t="s">
        <v>237</v>
      </c>
      <c r="T13" s="226">
        <v>1E-3</v>
      </c>
      <c r="U13" s="226" t="s">
        <v>237</v>
      </c>
      <c r="V13" s="226">
        <v>2.8999999999999998E-3</v>
      </c>
      <c r="W13" s="226" t="s">
        <v>237</v>
      </c>
      <c r="X13" s="228">
        <v>2.8999999999999998E-3</v>
      </c>
      <c r="Y13" s="228" t="s">
        <v>237</v>
      </c>
      <c r="Z13" s="211"/>
    </row>
    <row r="14" spans="2:26" s="17" customFormat="1" ht="20.100000000000001" customHeight="1">
      <c r="B14" s="216" t="s">
        <v>156</v>
      </c>
      <c r="C14" s="217">
        <v>3077</v>
      </c>
      <c r="D14" s="218" t="s">
        <v>237</v>
      </c>
      <c r="E14" s="218">
        <v>2.9999999999999997E-4</v>
      </c>
      <c r="F14" s="218">
        <v>2.9999999999999997E-4</v>
      </c>
      <c r="G14" s="218">
        <v>1.9E-3</v>
      </c>
      <c r="H14" s="218" t="s">
        <v>237</v>
      </c>
      <c r="I14" s="218">
        <v>5.9999999999999995E-4</v>
      </c>
      <c r="J14" s="218" t="s">
        <v>237</v>
      </c>
      <c r="K14" s="218">
        <v>3.0499999999999999E-2</v>
      </c>
      <c r="L14" s="218">
        <v>3.2199999999999999E-2</v>
      </c>
      <c r="M14" s="218">
        <v>0.74519999999999997</v>
      </c>
      <c r="N14" s="219">
        <v>0.1128</v>
      </c>
      <c r="O14" s="218">
        <v>3.7699999999999997E-2</v>
      </c>
      <c r="P14" s="218">
        <v>1.2999999999999999E-2</v>
      </c>
      <c r="Q14" s="218">
        <v>2.3E-3</v>
      </c>
      <c r="R14" s="218">
        <v>3.5999999999999999E-3</v>
      </c>
      <c r="S14" s="218">
        <v>2.8999999999999998E-3</v>
      </c>
      <c r="T14" s="218">
        <v>8.0999999999999996E-3</v>
      </c>
      <c r="U14" s="218">
        <v>1.2999999999999999E-3</v>
      </c>
      <c r="V14" s="218">
        <v>2.9999999999999997E-4</v>
      </c>
      <c r="W14" s="218">
        <v>1.9E-3</v>
      </c>
      <c r="X14" s="220">
        <v>4.8999999999999998E-3</v>
      </c>
      <c r="Y14" s="220" t="s">
        <v>237</v>
      </c>
      <c r="Z14" s="211"/>
    </row>
    <row r="15" spans="2:26" s="17" customFormat="1" ht="20.100000000000001" customHeight="1">
      <c r="B15" s="94" t="s">
        <v>157</v>
      </c>
      <c r="C15" s="225">
        <v>6264</v>
      </c>
      <c r="D15" s="226" t="s">
        <v>237</v>
      </c>
      <c r="E15" s="226" t="s">
        <v>237</v>
      </c>
      <c r="F15" s="226" t="s">
        <v>237</v>
      </c>
      <c r="G15" s="226">
        <v>1.2999999999999999E-3</v>
      </c>
      <c r="H15" s="226" t="s">
        <v>237</v>
      </c>
      <c r="I15" s="226">
        <v>2.9999999999999997E-4</v>
      </c>
      <c r="J15" s="226">
        <v>2.0000000000000001E-4</v>
      </c>
      <c r="K15" s="226">
        <v>4.3E-3</v>
      </c>
      <c r="L15" s="226">
        <v>7.0000000000000001E-3</v>
      </c>
      <c r="M15" s="226">
        <v>5.2499999999999998E-2</v>
      </c>
      <c r="N15" s="227">
        <v>0.74619999999999997</v>
      </c>
      <c r="O15" s="226">
        <v>5.4800000000000001E-2</v>
      </c>
      <c r="P15" s="226">
        <v>6.0299999999999999E-2</v>
      </c>
      <c r="Q15" s="226">
        <v>2.76E-2</v>
      </c>
      <c r="R15" s="226">
        <v>6.1000000000000004E-3</v>
      </c>
      <c r="S15" s="226">
        <v>1.0500000000000001E-2</v>
      </c>
      <c r="T15" s="226">
        <v>1.47E-2</v>
      </c>
      <c r="U15" s="226">
        <v>3.5000000000000001E-3</v>
      </c>
      <c r="V15" s="226">
        <v>3.2000000000000002E-3</v>
      </c>
      <c r="W15" s="226">
        <v>5.0000000000000001E-4</v>
      </c>
      <c r="X15" s="228">
        <v>7.0000000000000001E-3</v>
      </c>
      <c r="Y15" s="228" t="s">
        <v>237</v>
      </c>
      <c r="Z15" s="211"/>
    </row>
    <row r="16" spans="2:26" s="17" customFormat="1" ht="20.100000000000001" customHeight="1">
      <c r="B16" s="94" t="s">
        <v>158</v>
      </c>
      <c r="C16" s="212">
        <v>7034</v>
      </c>
      <c r="D16" s="213" t="s">
        <v>237</v>
      </c>
      <c r="E16" s="213" t="s">
        <v>237</v>
      </c>
      <c r="F16" s="213" t="s">
        <v>237</v>
      </c>
      <c r="G16" s="213">
        <v>6.9999999999999999E-4</v>
      </c>
      <c r="H16" s="213" t="s">
        <v>237</v>
      </c>
      <c r="I16" s="213">
        <v>2.9999999999999997E-4</v>
      </c>
      <c r="J16" s="213" t="s">
        <v>237</v>
      </c>
      <c r="K16" s="213">
        <v>5.9999999999999995E-4</v>
      </c>
      <c r="L16" s="213">
        <v>6.7000000000000002E-3</v>
      </c>
      <c r="M16" s="213">
        <v>1.5800000000000002E-2</v>
      </c>
      <c r="N16" s="214">
        <v>3.4700000000000002E-2</v>
      </c>
      <c r="O16" s="213">
        <v>0.74750000000000005</v>
      </c>
      <c r="P16" s="213">
        <v>8.0500000000000002E-2</v>
      </c>
      <c r="Q16" s="213">
        <v>7.7000000000000002E-3</v>
      </c>
      <c r="R16" s="213">
        <v>4.19E-2</v>
      </c>
      <c r="S16" s="213">
        <v>1.9300000000000001E-2</v>
      </c>
      <c r="T16" s="213">
        <v>2.0500000000000001E-2</v>
      </c>
      <c r="U16" s="213">
        <v>8.0999999999999996E-3</v>
      </c>
      <c r="V16" s="213">
        <v>3.3999999999999998E-3</v>
      </c>
      <c r="W16" s="213">
        <v>1.6000000000000001E-3</v>
      </c>
      <c r="X16" s="215">
        <v>1.0800000000000001E-2</v>
      </c>
      <c r="Y16" s="215" t="s">
        <v>237</v>
      </c>
      <c r="Z16" s="211"/>
    </row>
    <row r="17" spans="2:26" s="17" customFormat="1" ht="20.100000000000001" customHeight="1">
      <c r="B17" s="94" t="s">
        <v>159</v>
      </c>
      <c r="C17" s="225">
        <v>6452</v>
      </c>
      <c r="D17" s="226" t="s">
        <v>237</v>
      </c>
      <c r="E17" s="226" t="s">
        <v>237</v>
      </c>
      <c r="F17" s="226" t="s">
        <v>237</v>
      </c>
      <c r="G17" s="226">
        <v>2.0000000000000001E-4</v>
      </c>
      <c r="H17" s="226" t="s">
        <v>237</v>
      </c>
      <c r="I17" s="226" t="s">
        <v>237</v>
      </c>
      <c r="J17" s="226">
        <v>2.0000000000000001E-4</v>
      </c>
      <c r="K17" s="226">
        <v>1.1999999999999999E-3</v>
      </c>
      <c r="L17" s="226">
        <v>5.9999999999999995E-4</v>
      </c>
      <c r="M17" s="226">
        <v>3.7000000000000002E-3</v>
      </c>
      <c r="N17" s="227">
        <v>4.6800000000000001E-2</v>
      </c>
      <c r="O17" s="226">
        <v>9.0399999999999994E-2</v>
      </c>
      <c r="P17" s="226">
        <v>0.63249999999999995</v>
      </c>
      <c r="Q17" s="226">
        <v>4.0599999999999997E-2</v>
      </c>
      <c r="R17" s="226">
        <v>6.5299999999999997E-2</v>
      </c>
      <c r="S17" s="226">
        <v>3.49E-2</v>
      </c>
      <c r="T17" s="226">
        <v>3.9100000000000003E-2</v>
      </c>
      <c r="U17" s="226">
        <v>2.0299999999999999E-2</v>
      </c>
      <c r="V17" s="226">
        <v>3.3E-3</v>
      </c>
      <c r="W17" s="226">
        <v>1.5E-3</v>
      </c>
      <c r="X17" s="228">
        <v>1.95E-2</v>
      </c>
      <c r="Y17" s="228" t="s">
        <v>237</v>
      </c>
      <c r="Z17" s="211"/>
    </row>
    <row r="18" spans="2:26" s="17" customFormat="1" ht="20.100000000000001" customHeight="1">
      <c r="B18" s="94" t="s">
        <v>160</v>
      </c>
      <c r="C18" s="212">
        <v>2115</v>
      </c>
      <c r="D18" s="213" t="s">
        <v>237</v>
      </c>
      <c r="E18" s="213" t="s">
        <v>237</v>
      </c>
      <c r="F18" s="213" t="s">
        <v>237</v>
      </c>
      <c r="G18" s="213" t="s">
        <v>237</v>
      </c>
      <c r="H18" s="213" t="s">
        <v>237</v>
      </c>
      <c r="I18" s="213" t="s">
        <v>237</v>
      </c>
      <c r="J18" s="213">
        <v>5.0000000000000001E-4</v>
      </c>
      <c r="K18" s="213" t="s">
        <v>237</v>
      </c>
      <c r="L18" s="213" t="s">
        <v>237</v>
      </c>
      <c r="M18" s="213">
        <v>8.9999999999999998E-4</v>
      </c>
      <c r="N18" s="214">
        <v>9.0800000000000006E-2</v>
      </c>
      <c r="O18" s="213">
        <v>1.4200000000000001E-2</v>
      </c>
      <c r="P18" s="213">
        <v>5.4800000000000001E-2</v>
      </c>
      <c r="Q18" s="213">
        <v>0.61419999999999997</v>
      </c>
      <c r="R18" s="213">
        <v>7.1000000000000004E-3</v>
      </c>
      <c r="S18" s="213">
        <v>7.9899999999999999E-2</v>
      </c>
      <c r="T18" s="213">
        <v>6.2399999999999997E-2</v>
      </c>
      <c r="U18" s="213">
        <v>2.6499999999999999E-2</v>
      </c>
      <c r="V18" s="213">
        <v>1.84E-2</v>
      </c>
      <c r="W18" s="213">
        <v>2.3999999999999998E-3</v>
      </c>
      <c r="X18" s="215">
        <v>2.7900000000000001E-2</v>
      </c>
      <c r="Y18" s="215" t="s">
        <v>237</v>
      </c>
      <c r="Z18" s="211"/>
    </row>
    <row r="19" spans="2:26" s="17" customFormat="1" ht="20.100000000000001" customHeight="1">
      <c r="B19" s="94" t="s">
        <v>161</v>
      </c>
      <c r="C19" s="225">
        <v>3018</v>
      </c>
      <c r="D19" s="226" t="s">
        <v>237</v>
      </c>
      <c r="E19" s="226" t="s">
        <v>237</v>
      </c>
      <c r="F19" s="226" t="s">
        <v>237</v>
      </c>
      <c r="G19" s="226" t="s">
        <v>237</v>
      </c>
      <c r="H19" s="226" t="s">
        <v>237</v>
      </c>
      <c r="I19" s="226" t="s">
        <v>237</v>
      </c>
      <c r="J19" s="226" t="s">
        <v>237</v>
      </c>
      <c r="K19" s="226" t="s">
        <v>237</v>
      </c>
      <c r="L19" s="226">
        <v>6.9999999999999999E-4</v>
      </c>
      <c r="M19" s="226">
        <v>2.7000000000000001E-3</v>
      </c>
      <c r="N19" s="227">
        <v>5.3E-3</v>
      </c>
      <c r="O19" s="226">
        <v>9.8400000000000001E-2</v>
      </c>
      <c r="P19" s="226">
        <v>0.1193</v>
      </c>
      <c r="Q19" s="226">
        <v>3.0000000000000001E-3</v>
      </c>
      <c r="R19" s="226">
        <v>0.49969999999999998</v>
      </c>
      <c r="S19" s="226">
        <v>0.12429999999999999</v>
      </c>
      <c r="T19" s="226">
        <v>6.9599999999999995E-2</v>
      </c>
      <c r="U19" s="226">
        <v>2.35E-2</v>
      </c>
      <c r="V19" s="226">
        <v>1.29E-2</v>
      </c>
      <c r="W19" s="226">
        <v>1.03E-2</v>
      </c>
      <c r="X19" s="228">
        <v>3.0499999999999999E-2</v>
      </c>
      <c r="Y19" s="228" t="s">
        <v>237</v>
      </c>
      <c r="Z19" s="211"/>
    </row>
    <row r="20" spans="2:26" s="17" customFormat="1" ht="20.100000000000001" customHeight="1">
      <c r="B20" s="94" t="s">
        <v>162</v>
      </c>
      <c r="C20" s="212">
        <v>3471</v>
      </c>
      <c r="D20" s="213" t="s">
        <v>237</v>
      </c>
      <c r="E20" s="213" t="s">
        <v>237</v>
      </c>
      <c r="F20" s="213" t="s">
        <v>237</v>
      </c>
      <c r="G20" s="213" t="s">
        <v>237</v>
      </c>
      <c r="H20" s="213">
        <v>5.9999999999999995E-4</v>
      </c>
      <c r="I20" s="213">
        <v>2.9999999999999997E-4</v>
      </c>
      <c r="J20" s="213">
        <v>2.9999999999999997E-4</v>
      </c>
      <c r="K20" s="213" t="s">
        <v>237</v>
      </c>
      <c r="L20" s="213">
        <v>8.9999999999999998E-4</v>
      </c>
      <c r="M20" s="213">
        <v>1.4E-3</v>
      </c>
      <c r="N20" s="214">
        <v>1.4999999999999999E-2</v>
      </c>
      <c r="O20" s="213">
        <v>2.4500000000000001E-2</v>
      </c>
      <c r="P20" s="213">
        <v>4.4400000000000002E-2</v>
      </c>
      <c r="Q20" s="213">
        <v>4.2900000000000001E-2</v>
      </c>
      <c r="R20" s="213">
        <v>9.8500000000000004E-2</v>
      </c>
      <c r="S20" s="213">
        <v>0.52029999999999998</v>
      </c>
      <c r="T20" s="213">
        <v>0.12470000000000001</v>
      </c>
      <c r="U20" s="213">
        <v>4.24E-2</v>
      </c>
      <c r="V20" s="213">
        <v>3.4000000000000002E-2</v>
      </c>
      <c r="W20" s="213">
        <v>5.7999999999999996E-3</v>
      </c>
      <c r="X20" s="215">
        <v>4.41E-2</v>
      </c>
      <c r="Y20" s="215" t="s">
        <v>237</v>
      </c>
      <c r="Z20" s="211"/>
    </row>
    <row r="21" spans="2:26" s="17" customFormat="1" ht="20.100000000000001" customHeight="1">
      <c r="B21" s="94" t="s">
        <v>163</v>
      </c>
      <c r="C21" s="225">
        <v>4166</v>
      </c>
      <c r="D21" s="226" t="s">
        <v>237</v>
      </c>
      <c r="E21" s="226" t="s">
        <v>237</v>
      </c>
      <c r="F21" s="226" t="s">
        <v>237</v>
      </c>
      <c r="G21" s="226">
        <v>2.0000000000000001E-4</v>
      </c>
      <c r="H21" s="226" t="s">
        <v>237</v>
      </c>
      <c r="I21" s="226" t="s">
        <v>237</v>
      </c>
      <c r="J21" s="226" t="s">
        <v>237</v>
      </c>
      <c r="K21" s="226">
        <v>6.9999999999999999E-4</v>
      </c>
      <c r="L21" s="226">
        <v>2.0000000000000001E-4</v>
      </c>
      <c r="M21" s="226">
        <v>2.2000000000000001E-3</v>
      </c>
      <c r="N21" s="227">
        <v>1.34E-2</v>
      </c>
      <c r="O21" s="226">
        <v>1.34E-2</v>
      </c>
      <c r="P21" s="226">
        <v>0.03</v>
      </c>
      <c r="Q21" s="226">
        <v>3.1199999999999999E-2</v>
      </c>
      <c r="R21" s="226">
        <v>3.4799999999999998E-2</v>
      </c>
      <c r="S21" s="226">
        <v>7.3899999999999993E-2</v>
      </c>
      <c r="T21" s="226">
        <v>0.59189999999999998</v>
      </c>
      <c r="U21" s="226">
        <v>0.10199999999999999</v>
      </c>
      <c r="V21" s="226">
        <v>2.93E-2</v>
      </c>
      <c r="W21" s="226">
        <v>9.1000000000000004E-3</v>
      </c>
      <c r="X21" s="228">
        <v>6.7500000000000004E-2</v>
      </c>
      <c r="Y21" s="228" t="s">
        <v>237</v>
      </c>
      <c r="Z21" s="211"/>
    </row>
    <row r="22" spans="2:26" s="17" customFormat="1" ht="20.100000000000001" customHeight="1">
      <c r="B22" s="94" t="s">
        <v>164</v>
      </c>
      <c r="C22" s="212">
        <v>3081</v>
      </c>
      <c r="D22" s="213" t="s">
        <v>237</v>
      </c>
      <c r="E22" s="213" t="s">
        <v>237</v>
      </c>
      <c r="F22" s="213" t="s">
        <v>237</v>
      </c>
      <c r="G22" s="213" t="s">
        <v>237</v>
      </c>
      <c r="H22" s="213" t="s">
        <v>237</v>
      </c>
      <c r="I22" s="213" t="s">
        <v>237</v>
      </c>
      <c r="J22" s="213" t="s">
        <v>237</v>
      </c>
      <c r="K22" s="213">
        <v>2.9999999999999997E-4</v>
      </c>
      <c r="L22" s="213" t="s">
        <v>237</v>
      </c>
      <c r="M22" s="213" t="s">
        <v>237</v>
      </c>
      <c r="N22" s="214">
        <v>1.2999999999999999E-3</v>
      </c>
      <c r="O22" s="213">
        <v>3.2000000000000002E-3</v>
      </c>
      <c r="P22" s="213">
        <v>1.5299999999999999E-2</v>
      </c>
      <c r="Q22" s="213">
        <v>1.23E-2</v>
      </c>
      <c r="R22" s="213">
        <v>1.0699999999999999E-2</v>
      </c>
      <c r="S22" s="213">
        <v>2.9899999999999999E-2</v>
      </c>
      <c r="T22" s="213">
        <v>9.4100000000000003E-2</v>
      </c>
      <c r="U22" s="213">
        <v>0.66279999999999994</v>
      </c>
      <c r="V22" s="213">
        <v>5.4899999999999997E-2</v>
      </c>
      <c r="W22" s="213">
        <v>2.01E-2</v>
      </c>
      <c r="X22" s="215">
        <v>9.5100000000000004E-2</v>
      </c>
      <c r="Y22" s="215" t="s">
        <v>237</v>
      </c>
      <c r="Z22" s="211"/>
    </row>
    <row r="23" spans="2:26" s="17" customFormat="1" ht="20.100000000000001" customHeight="1">
      <c r="B23" s="94" t="s">
        <v>165</v>
      </c>
      <c r="C23" s="225">
        <v>1382</v>
      </c>
      <c r="D23" s="226" t="s">
        <v>237</v>
      </c>
      <c r="E23" s="226" t="s">
        <v>237</v>
      </c>
      <c r="F23" s="226" t="s">
        <v>237</v>
      </c>
      <c r="G23" s="226" t="s">
        <v>237</v>
      </c>
      <c r="H23" s="226" t="s">
        <v>237</v>
      </c>
      <c r="I23" s="226" t="s">
        <v>237</v>
      </c>
      <c r="J23" s="226" t="s">
        <v>237</v>
      </c>
      <c r="K23" s="226" t="s">
        <v>237</v>
      </c>
      <c r="L23" s="226">
        <v>6.9999999999999999E-4</v>
      </c>
      <c r="M23" s="226" t="s">
        <v>237</v>
      </c>
      <c r="N23" s="227">
        <v>8.0000000000000002E-3</v>
      </c>
      <c r="O23" s="226">
        <v>3.5999999999999999E-3</v>
      </c>
      <c r="P23" s="226">
        <v>7.1999999999999998E-3</v>
      </c>
      <c r="Q23" s="226">
        <v>8.6999999999999994E-3</v>
      </c>
      <c r="R23" s="226">
        <v>7.1999999999999998E-3</v>
      </c>
      <c r="S23" s="226">
        <v>3.9800000000000002E-2</v>
      </c>
      <c r="T23" s="226">
        <v>4.0500000000000001E-2</v>
      </c>
      <c r="U23" s="226">
        <v>8.0299999999999996E-2</v>
      </c>
      <c r="V23" s="226">
        <v>0.60419999999999996</v>
      </c>
      <c r="W23" s="226">
        <v>4.3400000000000001E-2</v>
      </c>
      <c r="X23" s="228">
        <v>0.15629999999999999</v>
      </c>
      <c r="Y23" s="228" t="s">
        <v>237</v>
      </c>
      <c r="Z23" s="211"/>
    </row>
    <row r="24" spans="2:26" s="17" customFormat="1" ht="20.100000000000001" customHeight="1">
      <c r="B24" s="94" t="s">
        <v>166</v>
      </c>
      <c r="C24" s="212">
        <v>502</v>
      </c>
      <c r="D24" s="213" t="s">
        <v>237</v>
      </c>
      <c r="E24" s="213" t="s">
        <v>237</v>
      </c>
      <c r="F24" s="213" t="s">
        <v>237</v>
      </c>
      <c r="G24" s="213" t="s">
        <v>237</v>
      </c>
      <c r="H24" s="213" t="s">
        <v>237</v>
      </c>
      <c r="I24" s="213" t="s">
        <v>237</v>
      </c>
      <c r="J24" s="213" t="s">
        <v>237</v>
      </c>
      <c r="K24" s="213" t="s">
        <v>237</v>
      </c>
      <c r="L24" s="213">
        <v>2E-3</v>
      </c>
      <c r="M24" s="213">
        <v>0.01</v>
      </c>
      <c r="N24" s="214" t="s">
        <v>237</v>
      </c>
      <c r="O24" s="213">
        <v>4.0000000000000001E-3</v>
      </c>
      <c r="P24" s="213">
        <v>2E-3</v>
      </c>
      <c r="Q24" s="213" t="s">
        <v>237</v>
      </c>
      <c r="R24" s="213">
        <v>2.5899999999999999E-2</v>
      </c>
      <c r="S24" s="213">
        <v>3.1899999999999998E-2</v>
      </c>
      <c r="T24" s="213">
        <v>2.3900000000000001E-2</v>
      </c>
      <c r="U24" s="213">
        <v>3.78E-2</v>
      </c>
      <c r="V24" s="213">
        <v>5.5800000000000002E-2</v>
      </c>
      <c r="W24" s="213">
        <v>0.57169999999999999</v>
      </c>
      <c r="X24" s="215">
        <v>0.2351</v>
      </c>
      <c r="Y24" s="215" t="s">
        <v>237</v>
      </c>
      <c r="Z24" s="211"/>
    </row>
    <row r="25" spans="2:26" s="17" customFormat="1" ht="20.100000000000001" customHeight="1" thickBot="1">
      <c r="B25" s="95" t="s">
        <v>353</v>
      </c>
      <c r="C25" s="221">
        <v>4149</v>
      </c>
      <c r="D25" s="222" t="s">
        <v>237</v>
      </c>
      <c r="E25" s="222" t="s">
        <v>237</v>
      </c>
      <c r="F25" s="222" t="s">
        <v>237</v>
      </c>
      <c r="G25" s="222" t="s">
        <v>237</v>
      </c>
      <c r="H25" s="222" t="s">
        <v>237</v>
      </c>
      <c r="I25" s="222" t="s">
        <v>237</v>
      </c>
      <c r="J25" s="222" t="s">
        <v>237</v>
      </c>
      <c r="K25" s="222" t="s">
        <v>237</v>
      </c>
      <c r="L25" s="222">
        <v>2.0000000000000001E-4</v>
      </c>
      <c r="M25" s="222" t="s">
        <v>237</v>
      </c>
      <c r="N25" s="223">
        <v>1E-3</v>
      </c>
      <c r="O25" s="222">
        <v>1.9E-3</v>
      </c>
      <c r="P25" s="222">
        <v>2.3999999999999998E-3</v>
      </c>
      <c r="Q25" s="222">
        <v>1E-3</v>
      </c>
      <c r="R25" s="222">
        <v>2.3999999999999998E-3</v>
      </c>
      <c r="S25" s="222">
        <v>4.5999999999999999E-3</v>
      </c>
      <c r="T25" s="222">
        <v>8.8999999999999999E-3</v>
      </c>
      <c r="U25" s="222">
        <v>3.6900000000000002E-2</v>
      </c>
      <c r="V25" s="222">
        <v>1.06E-2</v>
      </c>
      <c r="W25" s="222">
        <v>4.1000000000000003E-3</v>
      </c>
      <c r="X25" s="224">
        <v>0.92600000000000005</v>
      </c>
      <c r="Y25" s="224" t="s">
        <v>237</v>
      </c>
      <c r="Z25" s="211"/>
    </row>
  </sheetData>
  <conditionalFormatting sqref="D5:Y25">
    <cfRule type="expression" dxfId="2" priority="1">
      <formula>$B5=D$4</formula>
    </cfRule>
  </conditionalFormatting>
  <pageMargins left="0.7" right="0.7" top="0.75" bottom="0.75" header="0.3" footer="0.3"/>
  <pageSetup orientation="portrait" r:id="rId1"/>
  <headerFooter>
    <oddHeader>&amp;C&amp;"Calibri"&amp;10&amp;K808080 Corporate Use&amp;1#_x000D_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685D-DBB5-4DAF-A58F-466A01CED878}">
  <sheetPr>
    <tabColor theme="4" tint="0.59999389629810485"/>
  </sheetPr>
  <dimension ref="B2:Z25"/>
  <sheetViews>
    <sheetView workbookViewId="0"/>
  </sheetViews>
  <sheetFormatPr defaultColWidth="9.296875" defaultRowHeight="14.4"/>
  <cols>
    <col min="1" max="1" width="9.296875" style="3"/>
    <col min="2" max="2" width="12" style="3" bestFit="1" customWidth="1"/>
    <col min="3" max="3" width="12.59765625" style="3" customWidth="1"/>
    <col min="4" max="24" width="7.296875" style="3" customWidth="1"/>
    <col min="25" max="25" width="8.59765625" style="3" hidden="1" customWidth="1"/>
    <col min="26" max="28" width="9.296875" style="3" customWidth="1"/>
    <col min="29" max="41" width="6.69921875" style="3" customWidth="1"/>
    <col min="42" max="42" width="7.59765625" style="3" customWidth="1"/>
    <col min="43" max="16384" width="9.296875" style="3"/>
  </cols>
  <sheetData>
    <row r="2" spans="2:26" ht="18">
      <c r="B2" s="242" t="s">
        <v>430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</row>
    <row r="3" spans="2:26" ht="15" thickBot="1"/>
    <row r="4" spans="2:26" s="17" customFormat="1" ht="39" customHeight="1" thickBot="1">
      <c r="B4" s="41" t="s">
        <v>220</v>
      </c>
      <c r="C4" s="39" t="s">
        <v>94</v>
      </c>
      <c r="D4" s="42" t="s">
        <v>147</v>
      </c>
      <c r="E4" s="42" t="s">
        <v>148</v>
      </c>
      <c r="F4" s="42" t="s">
        <v>149</v>
      </c>
      <c r="G4" s="42" t="s">
        <v>150</v>
      </c>
      <c r="H4" s="42" t="s">
        <v>151</v>
      </c>
      <c r="I4" s="42" t="s">
        <v>152</v>
      </c>
      <c r="J4" s="42" t="s">
        <v>153</v>
      </c>
      <c r="K4" s="42" t="s">
        <v>154</v>
      </c>
      <c r="L4" s="42" t="s">
        <v>155</v>
      </c>
      <c r="M4" s="42" t="s">
        <v>156</v>
      </c>
      <c r="N4" s="40" t="s">
        <v>157</v>
      </c>
      <c r="O4" s="42" t="s">
        <v>158</v>
      </c>
      <c r="P4" s="42" t="s">
        <v>159</v>
      </c>
      <c r="Q4" s="42" t="s">
        <v>160</v>
      </c>
      <c r="R4" s="42" t="s">
        <v>161</v>
      </c>
      <c r="S4" s="42" t="s">
        <v>162</v>
      </c>
      <c r="T4" s="42" t="s">
        <v>163</v>
      </c>
      <c r="U4" s="42" t="s">
        <v>164</v>
      </c>
      <c r="V4" s="42" t="s">
        <v>165</v>
      </c>
      <c r="W4" s="42" t="s">
        <v>166</v>
      </c>
      <c r="X4" s="210" t="s">
        <v>353</v>
      </c>
      <c r="Y4" s="210">
        <v>0</v>
      </c>
    </row>
    <row r="5" spans="2:26" s="17" customFormat="1" ht="20.100000000000001" customHeight="1">
      <c r="B5" s="93" t="s">
        <v>147</v>
      </c>
      <c r="C5" s="225">
        <v>7</v>
      </c>
      <c r="D5" s="226">
        <v>1</v>
      </c>
      <c r="E5" s="226" t="s">
        <v>237</v>
      </c>
      <c r="F5" s="226" t="s">
        <v>237</v>
      </c>
      <c r="G5" s="226" t="s">
        <v>237</v>
      </c>
      <c r="H5" s="226" t="s">
        <v>237</v>
      </c>
      <c r="I5" s="226" t="s">
        <v>237</v>
      </c>
      <c r="J5" s="226" t="s">
        <v>237</v>
      </c>
      <c r="K5" s="226" t="s">
        <v>237</v>
      </c>
      <c r="L5" s="226" t="s">
        <v>237</v>
      </c>
      <c r="M5" s="226" t="s">
        <v>237</v>
      </c>
      <c r="N5" s="227" t="s">
        <v>237</v>
      </c>
      <c r="O5" s="226" t="s">
        <v>237</v>
      </c>
      <c r="P5" s="226" t="s">
        <v>237</v>
      </c>
      <c r="Q5" s="226" t="s">
        <v>237</v>
      </c>
      <c r="R5" s="226" t="s">
        <v>237</v>
      </c>
      <c r="S5" s="226" t="s">
        <v>237</v>
      </c>
      <c r="T5" s="226" t="s">
        <v>237</v>
      </c>
      <c r="U5" s="226" t="s">
        <v>237</v>
      </c>
      <c r="V5" s="226" t="s">
        <v>237</v>
      </c>
      <c r="W5" s="226" t="s">
        <v>237</v>
      </c>
      <c r="X5" s="228" t="s">
        <v>237</v>
      </c>
      <c r="Y5" s="228" t="s">
        <v>237</v>
      </c>
      <c r="Z5" s="211"/>
    </row>
    <row r="6" spans="2:26" s="17" customFormat="1" ht="20.100000000000001" customHeight="1">
      <c r="B6" s="94" t="s">
        <v>148</v>
      </c>
      <c r="C6" s="212">
        <v>7</v>
      </c>
      <c r="D6" s="213" t="s">
        <v>237</v>
      </c>
      <c r="E6" s="213">
        <v>1</v>
      </c>
      <c r="F6" s="213" t="s">
        <v>237</v>
      </c>
      <c r="G6" s="213" t="s">
        <v>237</v>
      </c>
      <c r="H6" s="213" t="s">
        <v>237</v>
      </c>
      <c r="I6" s="213" t="s">
        <v>237</v>
      </c>
      <c r="J6" s="213" t="s">
        <v>237</v>
      </c>
      <c r="K6" s="213" t="s">
        <v>237</v>
      </c>
      <c r="L6" s="213" t="s">
        <v>237</v>
      </c>
      <c r="M6" s="213" t="s">
        <v>237</v>
      </c>
      <c r="N6" s="214" t="s">
        <v>237</v>
      </c>
      <c r="O6" s="213" t="s">
        <v>237</v>
      </c>
      <c r="P6" s="213" t="s">
        <v>237</v>
      </c>
      <c r="Q6" s="213" t="s">
        <v>237</v>
      </c>
      <c r="R6" s="213" t="s">
        <v>237</v>
      </c>
      <c r="S6" s="213" t="s">
        <v>237</v>
      </c>
      <c r="T6" s="213" t="s">
        <v>237</v>
      </c>
      <c r="U6" s="213" t="s">
        <v>237</v>
      </c>
      <c r="V6" s="213" t="s">
        <v>237</v>
      </c>
      <c r="W6" s="213" t="s">
        <v>237</v>
      </c>
      <c r="X6" s="215" t="s">
        <v>237</v>
      </c>
      <c r="Y6" s="215" t="s">
        <v>237</v>
      </c>
      <c r="Z6" s="211"/>
    </row>
    <row r="7" spans="2:26" s="17" customFormat="1" ht="20.100000000000001" customHeight="1">
      <c r="B7" s="94" t="s">
        <v>149</v>
      </c>
      <c r="C7" s="225">
        <v>42</v>
      </c>
      <c r="D7" s="226" t="s">
        <v>237</v>
      </c>
      <c r="E7" s="226">
        <v>9.5200000000000007E-2</v>
      </c>
      <c r="F7" s="226">
        <v>0.54759999999999998</v>
      </c>
      <c r="G7" s="226">
        <v>0.11899999999999999</v>
      </c>
      <c r="H7" s="226" t="s">
        <v>237</v>
      </c>
      <c r="I7" s="226">
        <v>4.7600000000000003E-2</v>
      </c>
      <c r="J7" s="226" t="s">
        <v>237</v>
      </c>
      <c r="K7" s="226" t="s">
        <v>237</v>
      </c>
      <c r="L7" s="226">
        <v>7.1400000000000005E-2</v>
      </c>
      <c r="M7" s="226" t="s">
        <v>237</v>
      </c>
      <c r="N7" s="227">
        <v>7.1400000000000005E-2</v>
      </c>
      <c r="O7" s="226" t="s">
        <v>237</v>
      </c>
      <c r="P7" s="226">
        <v>2.3800000000000002E-2</v>
      </c>
      <c r="Q7" s="226" t="s">
        <v>237</v>
      </c>
      <c r="R7" s="226" t="s">
        <v>237</v>
      </c>
      <c r="S7" s="226" t="s">
        <v>237</v>
      </c>
      <c r="T7" s="226">
        <v>2.3800000000000002E-2</v>
      </c>
      <c r="U7" s="226" t="s">
        <v>237</v>
      </c>
      <c r="V7" s="226" t="s">
        <v>237</v>
      </c>
      <c r="W7" s="226" t="s">
        <v>237</v>
      </c>
      <c r="X7" s="228" t="s">
        <v>237</v>
      </c>
      <c r="Y7" s="228" t="s">
        <v>237</v>
      </c>
      <c r="Z7" s="211"/>
    </row>
    <row r="8" spans="2:26" s="17" customFormat="1" ht="20.100000000000001" customHeight="1">
      <c r="B8" s="94" t="s">
        <v>150</v>
      </c>
      <c r="C8" s="212">
        <v>190</v>
      </c>
      <c r="D8" s="213" t="s">
        <v>237</v>
      </c>
      <c r="E8" s="213" t="s">
        <v>237</v>
      </c>
      <c r="F8" s="213" t="s">
        <v>237</v>
      </c>
      <c r="G8" s="213">
        <v>0.58950000000000002</v>
      </c>
      <c r="H8" s="213" t="s">
        <v>237</v>
      </c>
      <c r="I8" s="213" t="s">
        <v>237</v>
      </c>
      <c r="J8" s="213" t="s">
        <v>237</v>
      </c>
      <c r="K8" s="213">
        <v>7.8899999999999998E-2</v>
      </c>
      <c r="L8" s="213">
        <v>5.79E-2</v>
      </c>
      <c r="M8" s="213">
        <v>9.4700000000000006E-2</v>
      </c>
      <c r="N8" s="214">
        <v>6.3200000000000006E-2</v>
      </c>
      <c r="O8" s="213">
        <v>2.1100000000000001E-2</v>
      </c>
      <c r="P8" s="213">
        <v>4.2099999999999999E-2</v>
      </c>
      <c r="Q8" s="213" t="s">
        <v>237</v>
      </c>
      <c r="R8" s="213">
        <v>1.0500000000000001E-2</v>
      </c>
      <c r="S8" s="213">
        <v>5.3E-3</v>
      </c>
      <c r="T8" s="213">
        <v>2.63E-2</v>
      </c>
      <c r="U8" s="213">
        <v>1.0500000000000001E-2</v>
      </c>
      <c r="V8" s="213" t="s">
        <v>237</v>
      </c>
      <c r="W8" s="213" t="s">
        <v>237</v>
      </c>
      <c r="X8" s="215" t="s">
        <v>237</v>
      </c>
      <c r="Y8" s="215" t="s">
        <v>237</v>
      </c>
      <c r="Z8" s="211"/>
    </row>
    <row r="9" spans="2:26" s="17" customFormat="1" ht="20.100000000000001" customHeight="1">
      <c r="B9" s="94" t="s">
        <v>151</v>
      </c>
      <c r="C9" s="225">
        <v>34</v>
      </c>
      <c r="D9" s="226" t="s">
        <v>237</v>
      </c>
      <c r="E9" s="226" t="s">
        <v>237</v>
      </c>
      <c r="F9" s="226" t="s">
        <v>237</v>
      </c>
      <c r="G9" s="226">
        <v>5.8799999999999998E-2</v>
      </c>
      <c r="H9" s="226">
        <v>0.58819999999999995</v>
      </c>
      <c r="I9" s="226">
        <v>0.1176</v>
      </c>
      <c r="J9" s="226">
        <v>5.8799999999999998E-2</v>
      </c>
      <c r="K9" s="226">
        <v>5.8799999999999998E-2</v>
      </c>
      <c r="L9" s="226" t="s">
        <v>237</v>
      </c>
      <c r="M9" s="226" t="s">
        <v>237</v>
      </c>
      <c r="N9" s="227" t="s">
        <v>237</v>
      </c>
      <c r="O9" s="226" t="s">
        <v>237</v>
      </c>
      <c r="P9" s="226" t="s">
        <v>237</v>
      </c>
      <c r="Q9" s="226" t="s">
        <v>237</v>
      </c>
      <c r="R9" s="226">
        <v>2.9399999999999999E-2</v>
      </c>
      <c r="S9" s="226">
        <v>2.9399999999999999E-2</v>
      </c>
      <c r="T9" s="226" t="s">
        <v>237</v>
      </c>
      <c r="U9" s="226" t="s">
        <v>237</v>
      </c>
      <c r="V9" s="226" t="s">
        <v>237</v>
      </c>
      <c r="W9" s="226">
        <v>5.8799999999999998E-2</v>
      </c>
      <c r="X9" s="228" t="s">
        <v>237</v>
      </c>
      <c r="Y9" s="228" t="s">
        <v>237</v>
      </c>
      <c r="Z9" s="211"/>
    </row>
    <row r="10" spans="2:26" s="17" customFormat="1" ht="20.100000000000001" customHeight="1">
      <c r="B10" s="94" t="s">
        <v>152</v>
      </c>
      <c r="C10" s="212">
        <v>85</v>
      </c>
      <c r="D10" s="213" t="s">
        <v>237</v>
      </c>
      <c r="E10" s="213" t="s">
        <v>237</v>
      </c>
      <c r="F10" s="213" t="s">
        <v>237</v>
      </c>
      <c r="G10" s="213" t="s">
        <v>237</v>
      </c>
      <c r="H10" s="213">
        <v>4.7100000000000003E-2</v>
      </c>
      <c r="I10" s="213">
        <v>0.50590000000000002</v>
      </c>
      <c r="J10" s="213">
        <v>0.12939999999999999</v>
      </c>
      <c r="K10" s="213">
        <v>7.0599999999999996E-2</v>
      </c>
      <c r="L10" s="213">
        <v>2.35E-2</v>
      </c>
      <c r="M10" s="213">
        <v>5.8799999999999998E-2</v>
      </c>
      <c r="N10" s="214">
        <v>2.35E-2</v>
      </c>
      <c r="O10" s="213">
        <v>8.2400000000000001E-2</v>
      </c>
      <c r="P10" s="213" t="s">
        <v>237</v>
      </c>
      <c r="Q10" s="213" t="s">
        <v>237</v>
      </c>
      <c r="R10" s="213" t="s">
        <v>237</v>
      </c>
      <c r="S10" s="213">
        <v>2.35E-2</v>
      </c>
      <c r="T10" s="213" t="s">
        <v>237</v>
      </c>
      <c r="U10" s="213" t="s">
        <v>237</v>
      </c>
      <c r="V10" s="213" t="s">
        <v>237</v>
      </c>
      <c r="W10" s="213">
        <v>3.5299999999999998E-2</v>
      </c>
      <c r="X10" s="215" t="s">
        <v>237</v>
      </c>
      <c r="Y10" s="215" t="s">
        <v>237</v>
      </c>
      <c r="Z10" s="211"/>
    </row>
    <row r="11" spans="2:26" s="17" customFormat="1" ht="20.100000000000001" customHeight="1">
      <c r="B11" s="94" t="s">
        <v>153</v>
      </c>
      <c r="C11" s="225">
        <v>89</v>
      </c>
      <c r="D11" s="226" t="s">
        <v>237</v>
      </c>
      <c r="E11" s="226" t="s">
        <v>237</v>
      </c>
      <c r="F11" s="226" t="s">
        <v>237</v>
      </c>
      <c r="G11" s="226" t="s">
        <v>237</v>
      </c>
      <c r="H11" s="226">
        <v>1.12E-2</v>
      </c>
      <c r="I11" s="226">
        <v>2.2499999999999999E-2</v>
      </c>
      <c r="J11" s="226">
        <v>0.57299999999999995</v>
      </c>
      <c r="K11" s="226">
        <v>0.1348</v>
      </c>
      <c r="L11" s="226">
        <v>5.62E-2</v>
      </c>
      <c r="M11" s="226">
        <v>4.4900000000000002E-2</v>
      </c>
      <c r="N11" s="227">
        <v>5.62E-2</v>
      </c>
      <c r="O11" s="226">
        <v>2.2499999999999999E-2</v>
      </c>
      <c r="P11" s="226">
        <v>1.12E-2</v>
      </c>
      <c r="Q11" s="226">
        <v>1.12E-2</v>
      </c>
      <c r="R11" s="226" t="s">
        <v>237</v>
      </c>
      <c r="S11" s="226">
        <v>2.2499999999999999E-2</v>
      </c>
      <c r="T11" s="226" t="s">
        <v>237</v>
      </c>
      <c r="U11" s="226" t="s">
        <v>237</v>
      </c>
      <c r="V11" s="226">
        <v>3.3700000000000001E-2</v>
      </c>
      <c r="W11" s="226" t="s">
        <v>237</v>
      </c>
      <c r="X11" s="228" t="s">
        <v>237</v>
      </c>
      <c r="Y11" s="228" t="s">
        <v>237</v>
      </c>
      <c r="Z11" s="211"/>
    </row>
    <row r="12" spans="2:26" s="17" customFormat="1" ht="20.100000000000001" customHeight="1">
      <c r="B12" s="94" t="s">
        <v>154</v>
      </c>
      <c r="C12" s="212">
        <v>683</v>
      </c>
      <c r="D12" s="213" t="s">
        <v>237</v>
      </c>
      <c r="E12" s="213" t="s">
        <v>237</v>
      </c>
      <c r="F12" s="213" t="s">
        <v>237</v>
      </c>
      <c r="G12" s="213">
        <v>2.0500000000000001E-2</v>
      </c>
      <c r="H12" s="213">
        <v>7.3000000000000001E-3</v>
      </c>
      <c r="I12" s="213">
        <v>2.1999999999999999E-2</v>
      </c>
      <c r="J12" s="213">
        <v>1.0200000000000001E-2</v>
      </c>
      <c r="K12" s="213">
        <v>0.66910000000000003</v>
      </c>
      <c r="L12" s="213">
        <v>4.3900000000000002E-2</v>
      </c>
      <c r="M12" s="213">
        <v>0.1186</v>
      </c>
      <c r="N12" s="214">
        <v>4.9799999999999997E-2</v>
      </c>
      <c r="O12" s="213">
        <v>4.4000000000000003E-3</v>
      </c>
      <c r="P12" s="213">
        <v>2.0500000000000001E-2</v>
      </c>
      <c r="Q12" s="213">
        <v>1.5E-3</v>
      </c>
      <c r="R12" s="213" t="s">
        <v>237</v>
      </c>
      <c r="S12" s="213">
        <v>1.5E-3</v>
      </c>
      <c r="T12" s="213">
        <v>1.32E-2</v>
      </c>
      <c r="U12" s="213">
        <v>4.4000000000000003E-3</v>
      </c>
      <c r="V12" s="213">
        <v>7.3000000000000001E-3</v>
      </c>
      <c r="W12" s="213" t="s">
        <v>237</v>
      </c>
      <c r="X12" s="215">
        <v>5.8999999999999999E-3</v>
      </c>
      <c r="Y12" s="215" t="s">
        <v>237</v>
      </c>
      <c r="Z12" s="211"/>
    </row>
    <row r="13" spans="2:26" s="17" customFormat="1" ht="20.100000000000001" customHeight="1">
      <c r="B13" s="94" t="s">
        <v>155</v>
      </c>
      <c r="C13" s="225">
        <v>845</v>
      </c>
      <c r="D13" s="226" t="s">
        <v>237</v>
      </c>
      <c r="E13" s="226" t="s">
        <v>237</v>
      </c>
      <c r="F13" s="226" t="s">
        <v>237</v>
      </c>
      <c r="G13" s="226">
        <v>1.2999999999999999E-2</v>
      </c>
      <c r="H13" s="226" t="s">
        <v>237</v>
      </c>
      <c r="I13" s="226">
        <v>3.5999999999999999E-3</v>
      </c>
      <c r="J13" s="226">
        <v>2.3999999999999998E-3</v>
      </c>
      <c r="K13" s="226">
        <v>4.3799999999999999E-2</v>
      </c>
      <c r="L13" s="226">
        <v>0.60470000000000002</v>
      </c>
      <c r="M13" s="226">
        <v>0.1041</v>
      </c>
      <c r="N13" s="227">
        <v>0.1124</v>
      </c>
      <c r="O13" s="226">
        <v>6.3899999999999998E-2</v>
      </c>
      <c r="P13" s="226">
        <v>2.3699999999999999E-2</v>
      </c>
      <c r="Q13" s="226">
        <v>2.3999999999999998E-3</v>
      </c>
      <c r="R13" s="226">
        <v>1.0699999999999999E-2</v>
      </c>
      <c r="S13" s="226">
        <v>2.3999999999999998E-3</v>
      </c>
      <c r="T13" s="226">
        <v>3.5999999999999999E-3</v>
      </c>
      <c r="U13" s="226" t="s">
        <v>237</v>
      </c>
      <c r="V13" s="226">
        <v>3.5999999999999999E-3</v>
      </c>
      <c r="W13" s="226" t="s">
        <v>237</v>
      </c>
      <c r="X13" s="228">
        <v>5.8999999999999999E-3</v>
      </c>
      <c r="Y13" s="228" t="s">
        <v>237</v>
      </c>
      <c r="Z13" s="211"/>
    </row>
    <row r="14" spans="2:26" s="17" customFormat="1" ht="20.100000000000001" customHeight="1">
      <c r="B14" s="216" t="s">
        <v>156</v>
      </c>
      <c r="C14" s="217">
        <v>2538</v>
      </c>
      <c r="D14" s="218" t="s">
        <v>237</v>
      </c>
      <c r="E14" s="218">
        <v>4.0000000000000002E-4</v>
      </c>
      <c r="F14" s="218">
        <v>8.0000000000000004E-4</v>
      </c>
      <c r="G14" s="218">
        <v>3.5000000000000001E-3</v>
      </c>
      <c r="H14" s="218" t="s">
        <v>237</v>
      </c>
      <c r="I14" s="218">
        <v>4.0000000000000002E-4</v>
      </c>
      <c r="J14" s="218" t="s">
        <v>237</v>
      </c>
      <c r="K14" s="218">
        <v>4.7699999999999999E-2</v>
      </c>
      <c r="L14" s="218">
        <v>4.6100000000000002E-2</v>
      </c>
      <c r="M14" s="218">
        <v>0.6099</v>
      </c>
      <c r="N14" s="219">
        <v>0.1517</v>
      </c>
      <c r="O14" s="218">
        <v>5.9900000000000002E-2</v>
      </c>
      <c r="P14" s="218">
        <v>2.52E-2</v>
      </c>
      <c r="Q14" s="218">
        <v>5.4999999999999997E-3</v>
      </c>
      <c r="R14" s="218">
        <v>9.1000000000000004E-3</v>
      </c>
      <c r="S14" s="218">
        <v>4.7000000000000002E-3</v>
      </c>
      <c r="T14" s="218">
        <v>1.4200000000000001E-2</v>
      </c>
      <c r="U14" s="218">
        <v>3.5000000000000001E-3</v>
      </c>
      <c r="V14" s="218">
        <v>1.6000000000000001E-3</v>
      </c>
      <c r="W14" s="218">
        <v>3.5000000000000001E-3</v>
      </c>
      <c r="X14" s="220">
        <v>1.2200000000000001E-2</v>
      </c>
      <c r="Y14" s="220" t="s">
        <v>237</v>
      </c>
      <c r="Z14" s="211"/>
    </row>
    <row r="15" spans="2:26" s="17" customFormat="1" ht="20.100000000000001" customHeight="1">
      <c r="B15" s="94" t="s">
        <v>157</v>
      </c>
      <c r="C15" s="225">
        <v>5137</v>
      </c>
      <c r="D15" s="226" t="s">
        <v>237</v>
      </c>
      <c r="E15" s="226" t="s">
        <v>237</v>
      </c>
      <c r="F15" s="226" t="s">
        <v>237</v>
      </c>
      <c r="G15" s="226">
        <v>2.3E-3</v>
      </c>
      <c r="H15" s="226" t="s">
        <v>237</v>
      </c>
      <c r="I15" s="226">
        <v>2.0000000000000001E-4</v>
      </c>
      <c r="J15" s="226">
        <v>4.0000000000000002E-4</v>
      </c>
      <c r="K15" s="226">
        <v>7.6E-3</v>
      </c>
      <c r="L15" s="226">
        <v>1.0699999999999999E-2</v>
      </c>
      <c r="M15" s="226">
        <v>7.8299999999999995E-2</v>
      </c>
      <c r="N15" s="227">
        <v>0.60460000000000003</v>
      </c>
      <c r="O15" s="226">
        <v>7.7700000000000005E-2</v>
      </c>
      <c r="P15" s="226">
        <v>9.6699999999999994E-2</v>
      </c>
      <c r="Q15" s="226">
        <v>4.0899999999999999E-2</v>
      </c>
      <c r="R15" s="226">
        <v>7.0000000000000001E-3</v>
      </c>
      <c r="S15" s="226">
        <v>1.6899999999999998E-2</v>
      </c>
      <c r="T15" s="226">
        <v>2.63E-2</v>
      </c>
      <c r="U15" s="226">
        <v>8.2000000000000007E-3</v>
      </c>
      <c r="V15" s="226">
        <v>5.3E-3</v>
      </c>
      <c r="W15" s="226">
        <v>1.8E-3</v>
      </c>
      <c r="X15" s="228">
        <v>1.52E-2</v>
      </c>
      <c r="Y15" s="228" t="s">
        <v>237</v>
      </c>
      <c r="Z15" s="211"/>
    </row>
    <row r="16" spans="2:26" s="17" customFormat="1" ht="20.100000000000001" customHeight="1">
      <c r="B16" s="94" t="s">
        <v>158</v>
      </c>
      <c r="C16" s="212">
        <v>5560</v>
      </c>
      <c r="D16" s="213" t="s">
        <v>237</v>
      </c>
      <c r="E16" s="213" t="s">
        <v>237</v>
      </c>
      <c r="F16" s="213" t="s">
        <v>237</v>
      </c>
      <c r="G16" s="213">
        <v>6.9999999999999999E-4</v>
      </c>
      <c r="H16" s="213" t="s">
        <v>237</v>
      </c>
      <c r="I16" s="213">
        <v>5.0000000000000001E-4</v>
      </c>
      <c r="J16" s="213" t="s">
        <v>237</v>
      </c>
      <c r="K16" s="213" t="s">
        <v>237</v>
      </c>
      <c r="L16" s="213">
        <v>1.04E-2</v>
      </c>
      <c r="M16" s="213">
        <v>2.41E-2</v>
      </c>
      <c r="N16" s="214">
        <v>4.6399999999999997E-2</v>
      </c>
      <c r="O16" s="213">
        <v>0.62519999999999998</v>
      </c>
      <c r="P16" s="213">
        <v>9.7500000000000003E-2</v>
      </c>
      <c r="Q16" s="213">
        <v>1.26E-2</v>
      </c>
      <c r="R16" s="213">
        <v>6.5299999999999997E-2</v>
      </c>
      <c r="S16" s="213">
        <v>3.0599999999999999E-2</v>
      </c>
      <c r="T16" s="213">
        <v>3.5099999999999999E-2</v>
      </c>
      <c r="U16" s="213">
        <v>1.6400000000000001E-2</v>
      </c>
      <c r="V16" s="213">
        <v>7.0000000000000001E-3</v>
      </c>
      <c r="W16" s="213">
        <v>2.5000000000000001E-3</v>
      </c>
      <c r="X16" s="215">
        <v>2.5700000000000001E-2</v>
      </c>
      <c r="Y16" s="215" t="s">
        <v>237</v>
      </c>
      <c r="Z16" s="211"/>
    </row>
    <row r="17" spans="2:26" s="17" customFormat="1" ht="20.100000000000001" customHeight="1">
      <c r="B17" s="94" t="s">
        <v>159</v>
      </c>
      <c r="C17" s="225">
        <v>5395</v>
      </c>
      <c r="D17" s="226" t="s">
        <v>237</v>
      </c>
      <c r="E17" s="226" t="s">
        <v>237</v>
      </c>
      <c r="F17" s="226" t="s">
        <v>237</v>
      </c>
      <c r="G17" s="226">
        <v>4.0000000000000002E-4</v>
      </c>
      <c r="H17" s="226" t="s">
        <v>237</v>
      </c>
      <c r="I17" s="226" t="s">
        <v>237</v>
      </c>
      <c r="J17" s="226">
        <v>2.0000000000000001E-4</v>
      </c>
      <c r="K17" s="226">
        <v>8.9999999999999998E-4</v>
      </c>
      <c r="L17" s="226">
        <v>2.2000000000000001E-3</v>
      </c>
      <c r="M17" s="226">
        <v>6.3E-3</v>
      </c>
      <c r="N17" s="227">
        <v>7.7700000000000005E-2</v>
      </c>
      <c r="O17" s="226">
        <v>0.109</v>
      </c>
      <c r="P17" s="226">
        <v>0.46410000000000001</v>
      </c>
      <c r="Q17" s="226">
        <v>5.5800000000000002E-2</v>
      </c>
      <c r="R17" s="226">
        <v>7.3800000000000004E-2</v>
      </c>
      <c r="S17" s="226">
        <v>4.65E-2</v>
      </c>
      <c r="T17" s="226">
        <v>6.7699999999999996E-2</v>
      </c>
      <c r="U17" s="226">
        <v>3.4299999999999997E-2</v>
      </c>
      <c r="V17" s="226">
        <v>8.2000000000000007E-3</v>
      </c>
      <c r="W17" s="226">
        <v>4.1000000000000003E-3</v>
      </c>
      <c r="X17" s="228">
        <v>4.8899999999999999E-2</v>
      </c>
      <c r="Y17" s="228" t="s">
        <v>237</v>
      </c>
      <c r="Z17" s="211"/>
    </row>
    <row r="18" spans="2:26" s="17" customFormat="1" ht="20.100000000000001" customHeight="1">
      <c r="B18" s="94" t="s">
        <v>160</v>
      </c>
      <c r="C18" s="212">
        <v>1735</v>
      </c>
      <c r="D18" s="213" t="s">
        <v>237</v>
      </c>
      <c r="E18" s="213" t="s">
        <v>237</v>
      </c>
      <c r="F18" s="213" t="s">
        <v>237</v>
      </c>
      <c r="G18" s="213" t="s">
        <v>237</v>
      </c>
      <c r="H18" s="213" t="s">
        <v>237</v>
      </c>
      <c r="I18" s="213" t="s">
        <v>237</v>
      </c>
      <c r="J18" s="213" t="s">
        <v>237</v>
      </c>
      <c r="K18" s="213" t="s">
        <v>237</v>
      </c>
      <c r="L18" s="213" t="s">
        <v>237</v>
      </c>
      <c r="M18" s="213">
        <v>4.5999999999999999E-3</v>
      </c>
      <c r="N18" s="214">
        <v>0.121</v>
      </c>
      <c r="O18" s="213">
        <v>1.67E-2</v>
      </c>
      <c r="P18" s="213">
        <v>7.6700000000000004E-2</v>
      </c>
      <c r="Q18" s="213">
        <v>0.43980000000000002</v>
      </c>
      <c r="R18" s="213">
        <v>9.7999999999999997E-3</v>
      </c>
      <c r="S18" s="213">
        <v>0.1043</v>
      </c>
      <c r="T18" s="213">
        <v>7.5499999999999998E-2</v>
      </c>
      <c r="U18" s="213">
        <v>4.6699999999999998E-2</v>
      </c>
      <c r="V18" s="213">
        <v>3.4000000000000002E-2</v>
      </c>
      <c r="W18" s="213">
        <v>5.1999999999999998E-3</v>
      </c>
      <c r="X18" s="215">
        <v>6.5699999999999995E-2</v>
      </c>
      <c r="Y18" s="215" t="s">
        <v>237</v>
      </c>
      <c r="Z18" s="211"/>
    </row>
    <row r="19" spans="2:26" s="17" customFormat="1" ht="20.100000000000001" customHeight="1">
      <c r="B19" s="94" t="s">
        <v>161</v>
      </c>
      <c r="C19" s="225">
        <v>2456</v>
      </c>
      <c r="D19" s="226" t="s">
        <v>237</v>
      </c>
      <c r="E19" s="226" t="s">
        <v>237</v>
      </c>
      <c r="F19" s="226" t="s">
        <v>237</v>
      </c>
      <c r="G19" s="226" t="s">
        <v>237</v>
      </c>
      <c r="H19" s="226" t="s">
        <v>237</v>
      </c>
      <c r="I19" s="226" t="s">
        <v>237</v>
      </c>
      <c r="J19" s="226" t="s">
        <v>237</v>
      </c>
      <c r="K19" s="226" t="s">
        <v>237</v>
      </c>
      <c r="L19" s="226">
        <v>4.0000000000000002E-4</v>
      </c>
      <c r="M19" s="226">
        <v>4.4999999999999997E-3</v>
      </c>
      <c r="N19" s="227">
        <v>1.0200000000000001E-2</v>
      </c>
      <c r="O19" s="226">
        <v>0.13109999999999999</v>
      </c>
      <c r="P19" s="226">
        <v>0.13719999999999999</v>
      </c>
      <c r="Q19" s="226">
        <v>4.8999999999999998E-3</v>
      </c>
      <c r="R19" s="226">
        <v>0.3412</v>
      </c>
      <c r="S19" s="226">
        <v>0.13639999999999999</v>
      </c>
      <c r="T19" s="226">
        <v>8.5099999999999995E-2</v>
      </c>
      <c r="U19" s="226">
        <v>3.8300000000000001E-2</v>
      </c>
      <c r="V19" s="226">
        <v>1.95E-2</v>
      </c>
      <c r="W19" s="226">
        <v>1.47E-2</v>
      </c>
      <c r="X19" s="228">
        <v>7.6499999999999999E-2</v>
      </c>
      <c r="Y19" s="228" t="s">
        <v>237</v>
      </c>
      <c r="Z19" s="211"/>
    </row>
    <row r="20" spans="2:26" s="17" customFormat="1" ht="20.100000000000001" customHeight="1">
      <c r="B20" s="94" t="s">
        <v>162</v>
      </c>
      <c r="C20" s="212">
        <v>2865</v>
      </c>
      <c r="D20" s="213" t="s">
        <v>237</v>
      </c>
      <c r="E20" s="213" t="s">
        <v>237</v>
      </c>
      <c r="F20" s="213" t="s">
        <v>237</v>
      </c>
      <c r="G20" s="213" t="s">
        <v>237</v>
      </c>
      <c r="H20" s="213" t="s">
        <v>237</v>
      </c>
      <c r="I20" s="213">
        <v>6.9999999999999999E-4</v>
      </c>
      <c r="J20" s="213">
        <v>6.9999999999999999E-4</v>
      </c>
      <c r="K20" s="213" t="s">
        <v>237</v>
      </c>
      <c r="L20" s="213">
        <v>6.9999999999999999E-4</v>
      </c>
      <c r="M20" s="213">
        <v>2.0999999999999999E-3</v>
      </c>
      <c r="N20" s="214">
        <v>1.95E-2</v>
      </c>
      <c r="O20" s="213">
        <v>4.4699999999999997E-2</v>
      </c>
      <c r="P20" s="213">
        <v>0.06</v>
      </c>
      <c r="Q20" s="213">
        <v>5.62E-2</v>
      </c>
      <c r="R20" s="213">
        <v>0.1019</v>
      </c>
      <c r="S20" s="213">
        <v>0.35249999999999998</v>
      </c>
      <c r="T20" s="213">
        <v>0.13719999999999999</v>
      </c>
      <c r="U20" s="213">
        <v>5.7200000000000001E-2</v>
      </c>
      <c r="V20" s="213">
        <v>5.79E-2</v>
      </c>
      <c r="W20" s="213">
        <v>9.7999999999999997E-3</v>
      </c>
      <c r="X20" s="215">
        <v>9.8799999999999999E-2</v>
      </c>
      <c r="Y20" s="215" t="s">
        <v>237</v>
      </c>
      <c r="Z20" s="211"/>
    </row>
    <row r="21" spans="2:26" s="17" customFormat="1" ht="20.100000000000001" customHeight="1">
      <c r="B21" s="94" t="s">
        <v>163</v>
      </c>
      <c r="C21" s="225">
        <v>3331</v>
      </c>
      <c r="D21" s="226" t="s">
        <v>237</v>
      </c>
      <c r="E21" s="226" t="s">
        <v>237</v>
      </c>
      <c r="F21" s="226" t="s">
        <v>237</v>
      </c>
      <c r="G21" s="226">
        <v>2.9999999999999997E-4</v>
      </c>
      <c r="H21" s="226">
        <v>5.9999999999999995E-4</v>
      </c>
      <c r="I21" s="226" t="s">
        <v>237</v>
      </c>
      <c r="J21" s="226" t="s">
        <v>237</v>
      </c>
      <c r="K21" s="226">
        <v>5.9999999999999995E-4</v>
      </c>
      <c r="L21" s="226">
        <v>5.9999999999999995E-4</v>
      </c>
      <c r="M21" s="226">
        <v>3.5999999999999999E-3</v>
      </c>
      <c r="N21" s="227">
        <v>1.9199999999999998E-2</v>
      </c>
      <c r="O21" s="226">
        <v>2.01E-2</v>
      </c>
      <c r="P21" s="226">
        <v>4.4400000000000002E-2</v>
      </c>
      <c r="Q21" s="226">
        <v>4.4999999999999998E-2</v>
      </c>
      <c r="R21" s="226">
        <v>4.7399999999999998E-2</v>
      </c>
      <c r="S21" s="226">
        <v>7.9899999999999999E-2</v>
      </c>
      <c r="T21" s="226">
        <v>0.4395</v>
      </c>
      <c r="U21" s="226">
        <v>0.11890000000000001</v>
      </c>
      <c r="V21" s="226">
        <v>3.78E-2</v>
      </c>
      <c r="W21" s="226">
        <v>1.23E-2</v>
      </c>
      <c r="X21" s="228">
        <v>0.12970000000000001</v>
      </c>
      <c r="Y21" s="228" t="s">
        <v>237</v>
      </c>
      <c r="Z21" s="211"/>
    </row>
    <row r="22" spans="2:26" s="17" customFormat="1" ht="20.100000000000001" customHeight="1">
      <c r="B22" s="94" t="s">
        <v>164</v>
      </c>
      <c r="C22" s="212">
        <v>2446</v>
      </c>
      <c r="D22" s="213" t="s">
        <v>237</v>
      </c>
      <c r="E22" s="213" t="s">
        <v>237</v>
      </c>
      <c r="F22" s="213">
        <v>4.0000000000000002E-4</v>
      </c>
      <c r="G22" s="213">
        <v>4.0000000000000002E-4</v>
      </c>
      <c r="H22" s="213" t="s">
        <v>237</v>
      </c>
      <c r="I22" s="213" t="s">
        <v>237</v>
      </c>
      <c r="J22" s="213" t="s">
        <v>237</v>
      </c>
      <c r="K22" s="213">
        <v>4.0000000000000002E-4</v>
      </c>
      <c r="L22" s="213">
        <v>8.0000000000000004E-4</v>
      </c>
      <c r="M22" s="213" t="s">
        <v>237</v>
      </c>
      <c r="N22" s="214">
        <v>4.1000000000000003E-3</v>
      </c>
      <c r="O22" s="213">
        <v>1.14E-2</v>
      </c>
      <c r="P22" s="213">
        <v>2.41E-2</v>
      </c>
      <c r="Q22" s="213">
        <v>1.3899999999999999E-2</v>
      </c>
      <c r="R22" s="213">
        <v>1.8800000000000001E-2</v>
      </c>
      <c r="S22" s="213">
        <v>4.1700000000000001E-2</v>
      </c>
      <c r="T22" s="213">
        <v>8.8700000000000001E-2</v>
      </c>
      <c r="U22" s="213">
        <v>0.55030000000000001</v>
      </c>
      <c r="V22" s="213">
        <v>5.9299999999999999E-2</v>
      </c>
      <c r="W22" s="213">
        <v>2.0400000000000001E-2</v>
      </c>
      <c r="X22" s="215">
        <v>0.16520000000000001</v>
      </c>
      <c r="Y22" s="215" t="s">
        <v>237</v>
      </c>
      <c r="Z22" s="211"/>
    </row>
    <row r="23" spans="2:26" s="17" customFormat="1" ht="20.100000000000001" customHeight="1">
      <c r="B23" s="94" t="s">
        <v>165</v>
      </c>
      <c r="C23" s="225">
        <v>1068</v>
      </c>
      <c r="D23" s="226" t="s">
        <v>237</v>
      </c>
      <c r="E23" s="226" t="s">
        <v>237</v>
      </c>
      <c r="F23" s="226" t="s">
        <v>237</v>
      </c>
      <c r="G23" s="226" t="s">
        <v>237</v>
      </c>
      <c r="H23" s="226" t="s">
        <v>237</v>
      </c>
      <c r="I23" s="226" t="s">
        <v>237</v>
      </c>
      <c r="J23" s="226" t="s">
        <v>237</v>
      </c>
      <c r="K23" s="226" t="s">
        <v>237</v>
      </c>
      <c r="L23" s="226">
        <v>8.9999999999999998E-4</v>
      </c>
      <c r="M23" s="226">
        <v>8.9999999999999998E-4</v>
      </c>
      <c r="N23" s="227">
        <v>1.3100000000000001E-2</v>
      </c>
      <c r="O23" s="226">
        <v>8.3999999999999995E-3</v>
      </c>
      <c r="P23" s="226">
        <v>1.12E-2</v>
      </c>
      <c r="Q23" s="226">
        <v>1.78E-2</v>
      </c>
      <c r="R23" s="226">
        <v>1.4E-2</v>
      </c>
      <c r="S23" s="226">
        <v>6.5500000000000003E-2</v>
      </c>
      <c r="T23" s="226">
        <v>5.3400000000000003E-2</v>
      </c>
      <c r="U23" s="226">
        <v>8.3299999999999999E-2</v>
      </c>
      <c r="V23" s="226">
        <v>0.43730000000000002</v>
      </c>
      <c r="W23" s="226">
        <v>5.8099999999999999E-2</v>
      </c>
      <c r="X23" s="228">
        <v>0.23599999999999999</v>
      </c>
      <c r="Y23" s="228" t="s">
        <v>237</v>
      </c>
      <c r="Z23" s="211"/>
    </row>
    <row r="24" spans="2:26" s="17" customFormat="1" ht="20.100000000000001" customHeight="1">
      <c r="B24" s="94" t="s">
        <v>166</v>
      </c>
      <c r="C24" s="212">
        <v>382</v>
      </c>
      <c r="D24" s="213" t="s">
        <v>237</v>
      </c>
      <c r="E24" s="213" t="s">
        <v>237</v>
      </c>
      <c r="F24" s="213" t="s">
        <v>237</v>
      </c>
      <c r="G24" s="213" t="s">
        <v>237</v>
      </c>
      <c r="H24" s="213" t="s">
        <v>237</v>
      </c>
      <c r="I24" s="213" t="s">
        <v>237</v>
      </c>
      <c r="J24" s="213" t="s">
        <v>237</v>
      </c>
      <c r="K24" s="213" t="s">
        <v>237</v>
      </c>
      <c r="L24" s="213">
        <v>5.1999999999999998E-3</v>
      </c>
      <c r="M24" s="213">
        <v>7.9000000000000008E-3</v>
      </c>
      <c r="N24" s="214" t="s">
        <v>237</v>
      </c>
      <c r="O24" s="213">
        <v>2.5999999999999999E-3</v>
      </c>
      <c r="P24" s="213">
        <v>1.0500000000000001E-2</v>
      </c>
      <c r="Q24" s="213" t="s">
        <v>237</v>
      </c>
      <c r="R24" s="213">
        <v>3.1399999999999997E-2</v>
      </c>
      <c r="S24" s="213">
        <v>1.5699999999999999E-2</v>
      </c>
      <c r="T24" s="213">
        <v>2.6200000000000001E-2</v>
      </c>
      <c r="U24" s="213">
        <v>5.7599999999999998E-2</v>
      </c>
      <c r="V24" s="213">
        <v>7.5899999999999995E-2</v>
      </c>
      <c r="W24" s="213">
        <v>0.42149999999999999</v>
      </c>
      <c r="X24" s="215">
        <v>0.34549999999999997</v>
      </c>
      <c r="Y24" s="215" t="s">
        <v>237</v>
      </c>
      <c r="Z24" s="211"/>
    </row>
    <row r="25" spans="2:26" s="17" customFormat="1" ht="20.100000000000001" customHeight="1" thickBot="1">
      <c r="B25" s="95" t="s">
        <v>353</v>
      </c>
      <c r="C25" s="221">
        <v>3114</v>
      </c>
      <c r="D25" s="222" t="s">
        <v>237</v>
      </c>
      <c r="E25" s="222" t="s">
        <v>237</v>
      </c>
      <c r="F25" s="222" t="s">
        <v>237</v>
      </c>
      <c r="G25" s="222" t="s">
        <v>237</v>
      </c>
      <c r="H25" s="222" t="s">
        <v>237</v>
      </c>
      <c r="I25" s="222" t="s">
        <v>237</v>
      </c>
      <c r="J25" s="222" t="s">
        <v>237</v>
      </c>
      <c r="K25" s="222" t="s">
        <v>237</v>
      </c>
      <c r="L25" s="222">
        <v>2.9999999999999997E-4</v>
      </c>
      <c r="M25" s="222">
        <v>5.9999999999999995E-4</v>
      </c>
      <c r="N25" s="223">
        <v>1.6000000000000001E-3</v>
      </c>
      <c r="O25" s="222">
        <v>3.2000000000000002E-3</v>
      </c>
      <c r="P25" s="222">
        <v>5.4999999999999997E-3</v>
      </c>
      <c r="Q25" s="222">
        <v>3.2000000000000002E-3</v>
      </c>
      <c r="R25" s="222">
        <v>4.4999999999999997E-3</v>
      </c>
      <c r="S25" s="222">
        <v>6.4000000000000003E-3</v>
      </c>
      <c r="T25" s="222">
        <v>1.2800000000000001E-2</v>
      </c>
      <c r="U25" s="222">
        <v>6.0999999999999999E-2</v>
      </c>
      <c r="V25" s="222">
        <v>1.4800000000000001E-2</v>
      </c>
      <c r="W25" s="222">
        <v>7.4000000000000003E-3</v>
      </c>
      <c r="X25" s="224">
        <v>0.87860000000000005</v>
      </c>
      <c r="Y25" s="224" t="s">
        <v>237</v>
      </c>
      <c r="Z25" s="211"/>
    </row>
  </sheetData>
  <conditionalFormatting sqref="D5:Y25">
    <cfRule type="expression" dxfId="1" priority="1">
      <formula>$B5=D$4</formula>
    </cfRule>
  </conditionalFormatting>
  <pageMargins left="0.7" right="0.7" top="0.75" bottom="0.75" header="0.3" footer="0.3"/>
  <pageSetup orientation="portrait" r:id="rId1"/>
  <headerFooter>
    <oddHeader>&amp;C&amp;"Calibri"&amp;10&amp;K808080 Corporate Use&amp;1#_x000D_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498BA-8316-46BD-8639-81BE46C14FF4}">
  <sheetPr>
    <tabColor theme="4" tint="0.59999389629810485"/>
  </sheetPr>
  <dimension ref="B2:Y25"/>
  <sheetViews>
    <sheetView workbookViewId="0"/>
  </sheetViews>
  <sheetFormatPr defaultColWidth="9.296875" defaultRowHeight="14.4"/>
  <cols>
    <col min="1" max="1" width="9.296875" style="3"/>
    <col min="2" max="2" width="12" style="3" bestFit="1" customWidth="1"/>
    <col min="3" max="3" width="12.59765625" style="3" customWidth="1"/>
    <col min="4" max="24" width="7.296875" style="3" customWidth="1"/>
    <col min="25" max="27" width="9.296875" style="3" customWidth="1"/>
    <col min="28" max="40" width="6.69921875" style="3" customWidth="1"/>
    <col min="41" max="41" width="7.59765625" style="3" customWidth="1"/>
    <col min="42" max="16384" width="9.296875" style="3"/>
  </cols>
  <sheetData>
    <row r="2" spans="2:25" ht="18">
      <c r="B2" s="242" t="s">
        <v>431</v>
      </c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</row>
    <row r="3" spans="2:25" ht="15" thickBot="1"/>
    <row r="4" spans="2:25" s="17" customFormat="1" ht="39" customHeight="1" thickBot="1">
      <c r="B4" s="41" t="s">
        <v>220</v>
      </c>
      <c r="C4" s="39" t="s">
        <v>94</v>
      </c>
      <c r="D4" s="42" t="s">
        <v>147</v>
      </c>
      <c r="E4" s="42" t="s">
        <v>148</v>
      </c>
      <c r="F4" s="42" t="s">
        <v>149</v>
      </c>
      <c r="G4" s="42" t="s">
        <v>150</v>
      </c>
      <c r="H4" s="42" t="s">
        <v>151</v>
      </c>
      <c r="I4" s="42" t="s">
        <v>152</v>
      </c>
      <c r="J4" s="42" t="s">
        <v>153</v>
      </c>
      <c r="K4" s="42" t="s">
        <v>154</v>
      </c>
      <c r="L4" s="42" t="s">
        <v>155</v>
      </c>
      <c r="M4" s="42" t="s">
        <v>156</v>
      </c>
      <c r="N4" s="40" t="s">
        <v>157</v>
      </c>
      <c r="O4" s="42" t="s">
        <v>158</v>
      </c>
      <c r="P4" s="42" t="s">
        <v>159</v>
      </c>
      <c r="Q4" s="42" t="s">
        <v>160</v>
      </c>
      <c r="R4" s="42" t="s">
        <v>161</v>
      </c>
      <c r="S4" s="42" t="s">
        <v>162</v>
      </c>
      <c r="T4" s="42" t="s">
        <v>163</v>
      </c>
      <c r="U4" s="42" t="s">
        <v>164</v>
      </c>
      <c r="V4" s="42" t="s">
        <v>165</v>
      </c>
      <c r="W4" s="42" t="s">
        <v>166</v>
      </c>
      <c r="X4" s="210" t="s">
        <v>353</v>
      </c>
    </row>
    <row r="5" spans="2:25" s="17" customFormat="1" ht="20.100000000000001" customHeight="1">
      <c r="B5" s="93" t="s">
        <v>147</v>
      </c>
      <c r="C5" s="225">
        <v>0</v>
      </c>
      <c r="D5" s="226" t="s">
        <v>237</v>
      </c>
      <c r="E5" s="226" t="s">
        <v>237</v>
      </c>
      <c r="F5" s="226" t="s">
        <v>237</v>
      </c>
      <c r="G5" s="226" t="s">
        <v>237</v>
      </c>
      <c r="H5" s="226" t="s">
        <v>237</v>
      </c>
      <c r="I5" s="226" t="s">
        <v>237</v>
      </c>
      <c r="J5" s="226" t="s">
        <v>237</v>
      </c>
      <c r="K5" s="226" t="s">
        <v>237</v>
      </c>
      <c r="L5" s="226" t="s">
        <v>237</v>
      </c>
      <c r="M5" s="226" t="s">
        <v>237</v>
      </c>
      <c r="N5" s="227" t="s">
        <v>237</v>
      </c>
      <c r="O5" s="226" t="s">
        <v>237</v>
      </c>
      <c r="P5" s="226" t="s">
        <v>237</v>
      </c>
      <c r="Q5" s="226" t="s">
        <v>237</v>
      </c>
      <c r="R5" s="226" t="s">
        <v>237</v>
      </c>
      <c r="S5" s="226" t="s">
        <v>237</v>
      </c>
      <c r="T5" s="226" t="s">
        <v>237</v>
      </c>
      <c r="U5" s="226" t="s">
        <v>237</v>
      </c>
      <c r="V5" s="226" t="s">
        <v>237</v>
      </c>
      <c r="W5" s="226" t="s">
        <v>237</v>
      </c>
      <c r="X5" s="228" t="s">
        <v>237</v>
      </c>
      <c r="Y5" s="211"/>
    </row>
    <row r="6" spans="2:25" s="17" customFormat="1" ht="20.100000000000001" customHeight="1">
      <c r="B6" s="94" t="s">
        <v>148</v>
      </c>
      <c r="C6" s="212">
        <v>0</v>
      </c>
      <c r="D6" s="213" t="s">
        <v>237</v>
      </c>
      <c r="E6" s="213" t="s">
        <v>237</v>
      </c>
      <c r="F6" s="213" t="s">
        <v>237</v>
      </c>
      <c r="G6" s="213" t="s">
        <v>237</v>
      </c>
      <c r="H6" s="213" t="s">
        <v>237</v>
      </c>
      <c r="I6" s="213" t="s">
        <v>237</v>
      </c>
      <c r="J6" s="213" t="s">
        <v>237</v>
      </c>
      <c r="K6" s="213" t="s">
        <v>237</v>
      </c>
      <c r="L6" s="213" t="s">
        <v>237</v>
      </c>
      <c r="M6" s="213" t="s">
        <v>237</v>
      </c>
      <c r="N6" s="214" t="s">
        <v>237</v>
      </c>
      <c r="O6" s="213" t="s">
        <v>237</v>
      </c>
      <c r="P6" s="213" t="s">
        <v>237</v>
      </c>
      <c r="Q6" s="213" t="s">
        <v>237</v>
      </c>
      <c r="R6" s="213" t="s">
        <v>237</v>
      </c>
      <c r="S6" s="213" t="s">
        <v>237</v>
      </c>
      <c r="T6" s="213" t="s">
        <v>237</v>
      </c>
      <c r="U6" s="213" t="s">
        <v>237</v>
      </c>
      <c r="V6" s="213" t="s">
        <v>237</v>
      </c>
      <c r="W6" s="213" t="s">
        <v>237</v>
      </c>
      <c r="X6" s="215" t="s">
        <v>237</v>
      </c>
      <c r="Y6" s="211"/>
    </row>
    <row r="7" spans="2:25" s="17" customFormat="1" ht="20.100000000000001" customHeight="1">
      <c r="B7" s="94" t="s">
        <v>149</v>
      </c>
      <c r="C7" s="225">
        <v>9</v>
      </c>
      <c r="D7" s="226" t="s">
        <v>237</v>
      </c>
      <c r="E7" s="226" t="s">
        <v>237</v>
      </c>
      <c r="F7" s="226" t="s">
        <v>237</v>
      </c>
      <c r="G7" s="226" t="s">
        <v>237</v>
      </c>
      <c r="H7" s="226" t="s">
        <v>237</v>
      </c>
      <c r="I7" s="226">
        <v>0.1111</v>
      </c>
      <c r="J7" s="226" t="s">
        <v>237</v>
      </c>
      <c r="K7" s="226" t="s">
        <v>237</v>
      </c>
      <c r="L7" s="226" t="s">
        <v>237</v>
      </c>
      <c r="M7" s="226">
        <v>0.33329999999999999</v>
      </c>
      <c r="N7" s="227">
        <v>0.33329999999999999</v>
      </c>
      <c r="O7" s="226" t="s">
        <v>237</v>
      </c>
      <c r="P7" s="226" t="s">
        <v>237</v>
      </c>
      <c r="Q7" s="226">
        <v>0.1111</v>
      </c>
      <c r="R7" s="226" t="s">
        <v>237</v>
      </c>
      <c r="S7" s="226" t="s">
        <v>237</v>
      </c>
      <c r="T7" s="226">
        <v>0.1111</v>
      </c>
      <c r="U7" s="226" t="s">
        <v>237</v>
      </c>
      <c r="V7" s="226" t="s">
        <v>237</v>
      </c>
      <c r="W7" s="226" t="s">
        <v>237</v>
      </c>
      <c r="X7" s="228" t="s">
        <v>237</v>
      </c>
      <c r="Y7" s="211"/>
    </row>
    <row r="8" spans="2:25" s="17" customFormat="1" ht="20.100000000000001" customHeight="1">
      <c r="B8" s="94" t="s">
        <v>150</v>
      </c>
      <c r="C8" s="212">
        <v>30</v>
      </c>
      <c r="D8" s="213" t="s">
        <v>237</v>
      </c>
      <c r="E8" s="213" t="s">
        <v>237</v>
      </c>
      <c r="F8" s="213" t="s">
        <v>237</v>
      </c>
      <c r="G8" s="213">
        <v>0.1333</v>
      </c>
      <c r="H8" s="213" t="s">
        <v>237</v>
      </c>
      <c r="I8" s="213">
        <v>3.3300000000000003E-2</v>
      </c>
      <c r="J8" s="213" t="s">
        <v>237</v>
      </c>
      <c r="K8" s="213">
        <v>6.6699999999999995E-2</v>
      </c>
      <c r="L8" s="213">
        <v>0.23330000000000001</v>
      </c>
      <c r="M8" s="213">
        <v>0.16669999999999999</v>
      </c>
      <c r="N8" s="214">
        <v>0.23330000000000001</v>
      </c>
      <c r="O8" s="213">
        <v>0.1</v>
      </c>
      <c r="P8" s="213" t="s">
        <v>237</v>
      </c>
      <c r="Q8" s="213" t="s">
        <v>237</v>
      </c>
      <c r="R8" s="213" t="s">
        <v>237</v>
      </c>
      <c r="S8" s="213" t="s">
        <v>237</v>
      </c>
      <c r="T8" s="213" t="s">
        <v>237</v>
      </c>
      <c r="U8" s="213">
        <v>3.3300000000000003E-2</v>
      </c>
      <c r="V8" s="213" t="s">
        <v>237</v>
      </c>
      <c r="W8" s="213" t="s">
        <v>237</v>
      </c>
      <c r="X8" s="215" t="s">
        <v>237</v>
      </c>
      <c r="Y8" s="211"/>
    </row>
    <row r="9" spans="2:25" s="17" customFormat="1" ht="20.100000000000001" customHeight="1">
      <c r="B9" s="94" t="s">
        <v>151</v>
      </c>
      <c r="C9" s="225">
        <v>2</v>
      </c>
      <c r="D9" s="226" t="s">
        <v>237</v>
      </c>
      <c r="E9" s="226" t="s">
        <v>237</v>
      </c>
      <c r="F9" s="226" t="s">
        <v>237</v>
      </c>
      <c r="G9" s="226" t="s">
        <v>237</v>
      </c>
      <c r="H9" s="226" t="s">
        <v>237</v>
      </c>
      <c r="I9" s="226">
        <v>0.5</v>
      </c>
      <c r="J9" s="226" t="s">
        <v>237</v>
      </c>
      <c r="K9" s="226">
        <v>0.5</v>
      </c>
      <c r="L9" s="226" t="s">
        <v>237</v>
      </c>
      <c r="M9" s="226" t="s">
        <v>237</v>
      </c>
      <c r="N9" s="227" t="s">
        <v>237</v>
      </c>
      <c r="O9" s="226" t="s">
        <v>237</v>
      </c>
      <c r="P9" s="226" t="s">
        <v>237</v>
      </c>
      <c r="Q9" s="226" t="s">
        <v>237</v>
      </c>
      <c r="R9" s="226" t="s">
        <v>237</v>
      </c>
      <c r="S9" s="226" t="s">
        <v>237</v>
      </c>
      <c r="T9" s="226" t="s">
        <v>237</v>
      </c>
      <c r="U9" s="226" t="s">
        <v>237</v>
      </c>
      <c r="V9" s="226" t="s">
        <v>237</v>
      </c>
      <c r="W9" s="226" t="s">
        <v>237</v>
      </c>
      <c r="X9" s="228" t="s">
        <v>237</v>
      </c>
      <c r="Y9" s="211"/>
    </row>
    <row r="10" spans="2:25" s="17" customFormat="1" ht="20.100000000000001" customHeight="1">
      <c r="B10" s="94" t="s">
        <v>152</v>
      </c>
      <c r="C10" s="212">
        <v>10</v>
      </c>
      <c r="D10" s="213" t="s">
        <v>237</v>
      </c>
      <c r="E10" s="213" t="s">
        <v>237</v>
      </c>
      <c r="F10" s="213" t="s">
        <v>237</v>
      </c>
      <c r="G10" s="213" t="s">
        <v>237</v>
      </c>
      <c r="H10" s="213" t="s">
        <v>237</v>
      </c>
      <c r="I10" s="213" t="s">
        <v>237</v>
      </c>
      <c r="J10" s="213">
        <v>0.2</v>
      </c>
      <c r="K10" s="213">
        <v>0.1</v>
      </c>
      <c r="L10" s="213" t="s">
        <v>237</v>
      </c>
      <c r="M10" s="213">
        <v>0.4</v>
      </c>
      <c r="N10" s="214" t="s">
        <v>237</v>
      </c>
      <c r="O10" s="213">
        <v>0.3</v>
      </c>
      <c r="P10" s="213" t="s">
        <v>237</v>
      </c>
      <c r="Q10" s="213" t="s">
        <v>237</v>
      </c>
      <c r="R10" s="213" t="s">
        <v>237</v>
      </c>
      <c r="S10" s="213" t="s">
        <v>237</v>
      </c>
      <c r="T10" s="213" t="s">
        <v>237</v>
      </c>
      <c r="U10" s="213" t="s">
        <v>237</v>
      </c>
      <c r="V10" s="213" t="s">
        <v>237</v>
      </c>
      <c r="W10" s="213" t="s">
        <v>237</v>
      </c>
      <c r="X10" s="215" t="s">
        <v>237</v>
      </c>
      <c r="Y10" s="211"/>
    </row>
    <row r="11" spans="2:25" s="17" customFormat="1" ht="20.100000000000001" customHeight="1">
      <c r="B11" s="94" t="s">
        <v>153</v>
      </c>
      <c r="C11" s="225">
        <v>6</v>
      </c>
      <c r="D11" s="226" t="s">
        <v>237</v>
      </c>
      <c r="E11" s="226" t="s">
        <v>237</v>
      </c>
      <c r="F11" s="226" t="s">
        <v>237</v>
      </c>
      <c r="G11" s="226" t="s">
        <v>237</v>
      </c>
      <c r="H11" s="226" t="s">
        <v>237</v>
      </c>
      <c r="I11" s="226" t="s">
        <v>237</v>
      </c>
      <c r="J11" s="226">
        <v>0.16669999999999999</v>
      </c>
      <c r="K11" s="226" t="s">
        <v>237</v>
      </c>
      <c r="L11" s="226" t="s">
        <v>237</v>
      </c>
      <c r="M11" s="226">
        <v>0.33329999999999999</v>
      </c>
      <c r="N11" s="227" t="s">
        <v>237</v>
      </c>
      <c r="O11" s="226" t="s">
        <v>237</v>
      </c>
      <c r="P11" s="226">
        <v>0.5</v>
      </c>
      <c r="Q11" s="226" t="s">
        <v>237</v>
      </c>
      <c r="R11" s="226" t="s">
        <v>237</v>
      </c>
      <c r="S11" s="226" t="s">
        <v>237</v>
      </c>
      <c r="T11" s="226" t="s">
        <v>237</v>
      </c>
      <c r="U11" s="226" t="s">
        <v>237</v>
      </c>
      <c r="V11" s="226" t="s">
        <v>237</v>
      </c>
      <c r="W11" s="226" t="s">
        <v>237</v>
      </c>
      <c r="X11" s="228" t="s">
        <v>237</v>
      </c>
      <c r="Y11" s="211"/>
    </row>
    <row r="12" spans="2:25" s="17" customFormat="1" ht="20.100000000000001" customHeight="1">
      <c r="B12" s="94" t="s">
        <v>154</v>
      </c>
      <c r="C12" s="212">
        <v>107</v>
      </c>
      <c r="D12" s="213" t="s">
        <v>237</v>
      </c>
      <c r="E12" s="213" t="s">
        <v>237</v>
      </c>
      <c r="F12" s="213" t="s">
        <v>237</v>
      </c>
      <c r="G12" s="213">
        <v>2.8000000000000001E-2</v>
      </c>
      <c r="H12" s="213">
        <v>8.4099999999999994E-2</v>
      </c>
      <c r="I12" s="213">
        <v>9.35E-2</v>
      </c>
      <c r="J12" s="213" t="s">
        <v>237</v>
      </c>
      <c r="K12" s="213">
        <v>0.2336</v>
      </c>
      <c r="L12" s="213">
        <v>5.6099999999999997E-2</v>
      </c>
      <c r="M12" s="213">
        <v>0.2056</v>
      </c>
      <c r="N12" s="214">
        <v>0.15890000000000001</v>
      </c>
      <c r="O12" s="213" t="s">
        <v>237</v>
      </c>
      <c r="P12" s="213">
        <v>0.11210000000000001</v>
      </c>
      <c r="Q12" s="213" t="s">
        <v>237</v>
      </c>
      <c r="R12" s="213" t="s">
        <v>237</v>
      </c>
      <c r="S12" s="213" t="s">
        <v>237</v>
      </c>
      <c r="T12" s="213">
        <v>2.8000000000000001E-2</v>
      </c>
      <c r="U12" s="213" t="s">
        <v>237</v>
      </c>
      <c r="V12" s="213" t="s">
        <v>237</v>
      </c>
      <c r="W12" s="213" t="s">
        <v>237</v>
      </c>
      <c r="X12" s="215" t="s">
        <v>237</v>
      </c>
      <c r="Y12" s="211"/>
    </row>
    <row r="13" spans="2:25" s="17" customFormat="1" ht="20.100000000000001" customHeight="1">
      <c r="B13" s="94" t="s">
        <v>155</v>
      </c>
      <c r="C13" s="225">
        <v>126</v>
      </c>
      <c r="D13" s="226" t="s">
        <v>237</v>
      </c>
      <c r="E13" s="226" t="s">
        <v>237</v>
      </c>
      <c r="F13" s="226" t="s">
        <v>237</v>
      </c>
      <c r="G13" s="226" t="s">
        <v>237</v>
      </c>
      <c r="H13" s="226" t="s">
        <v>237</v>
      </c>
      <c r="I13" s="226">
        <v>1.5900000000000001E-2</v>
      </c>
      <c r="J13" s="226" t="s">
        <v>237</v>
      </c>
      <c r="K13" s="226">
        <v>3.9699999999999999E-2</v>
      </c>
      <c r="L13" s="226">
        <v>0.1111</v>
      </c>
      <c r="M13" s="226">
        <v>0.11899999999999999</v>
      </c>
      <c r="N13" s="227">
        <v>0.1905</v>
      </c>
      <c r="O13" s="226">
        <v>0.1032</v>
      </c>
      <c r="P13" s="226">
        <v>0.11899999999999999</v>
      </c>
      <c r="Q13" s="226">
        <v>8.7300000000000003E-2</v>
      </c>
      <c r="R13" s="226">
        <v>4.7600000000000003E-2</v>
      </c>
      <c r="S13" s="226">
        <v>3.1699999999999999E-2</v>
      </c>
      <c r="T13" s="226">
        <v>7.9000000000000008E-3</v>
      </c>
      <c r="U13" s="226">
        <v>1.5900000000000001E-2</v>
      </c>
      <c r="V13" s="226">
        <v>7.9000000000000008E-3</v>
      </c>
      <c r="W13" s="226">
        <v>3.1699999999999999E-2</v>
      </c>
      <c r="X13" s="228">
        <v>7.1400000000000005E-2</v>
      </c>
      <c r="Y13" s="211"/>
    </row>
    <row r="14" spans="2:25" s="17" customFormat="1" ht="20.100000000000001" customHeight="1">
      <c r="B14" s="216" t="s">
        <v>156</v>
      </c>
      <c r="C14" s="217">
        <v>420</v>
      </c>
      <c r="D14" s="218" t="s">
        <v>237</v>
      </c>
      <c r="E14" s="218" t="s">
        <v>237</v>
      </c>
      <c r="F14" s="218" t="s">
        <v>237</v>
      </c>
      <c r="G14" s="218">
        <v>1.1900000000000001E-2</v>
      </c>
      <c r="H14" s="218" t="s">
        <v>237</v>
      </c>
      <c r="I14" s="218">
        <v>4.7999999999999996E-3</v>
      </c>
      <c r="J14" s="218" t="s">
        <v>237</v>
      </c>
      <c r="K14" s="218">
        <v>0.1143</v>
      </c>
      <c r="L14" s="218">
        <v>8.1000000000000003E-2</v>
      </c>
      <c r="M14" s="218">
        <v>0.33810000000000001</v>
      </c>
      <c r="N14" s="219">
        <v>0.1071</v>
      </c>
      <c r="O14" s="218">
        <v>5.2400000000000002E-2</v>
      </c>
      <c r="P14" s="218">
        <v>8.8099999999999998E-2</v>
      </c>
      <c r="Q14" s="218">
        <v>3.8100000000000002E-2</v>
      </c>
      <c r="R14" s="218">
        <v>7.1000000000000004E-3</v>
      </c>
      <c r="S14" s="218">
        <v>4.0500000000000001E-2</v>
      </c>
      <c r="T14" s="218">
        <v>2.86E-2</v>
      </c>
      <c r="U14" s="218">
        <v>3.3300000000000003E-2</v>
      </c>
      <c r="V14" s="218">
        <v>4.7999999999999996E-3</v>
      </c>
      <c r="W14" s="218">
        <v>7.1000000000000004E-3</v>
      </c>
      <c r="X14" s="220">
        <v>4.2900000000000001E-2</v>
      </c>
      <c r="Y14" s="211"/>
    </row>
    <row r="15" spans="2:25" s="17" customFormat="1" ht="20.100000000000001" customHeight="1">
      <c r="B15" s="94" t="s">
        <v>157</v>
      </c>
      <c r="C15" s="225">
        <v>596</v>
      </c>
      <c r="D15" s="226" t="s">
        <v>237</v>
      </c>
      <c r="E15" s="226" t="s">
        <v>237</v>
      </c>
      <c r="F15" s="226" t="s">
        <v>237</v>
      </c>
      <c r="G15" s="226">
        <v>5.0000000000000001E-3</v>
      </c>
      <c r="H15" s="226" t="s">
        <v>237</v>
      </c>
      <c r="I15" s="226" t="s">
        <v>237</v>
      </c>
      <c r="J15" s="226" t="s">
        <v>237</v>
      </c>
      <c r="K15" s="226">
        <v>4.0300000000000002E-2</v>
      </c>
      <c r="L15" s="226">
        <v>5.1999999999999998E-2</v>
      </c>
      <c r="M15" s="226">
        <v>0.1477</v>
      </c>
      <c r="N15" s="227">
        <v>0.23319999999999999</v>
      </c>
      <c r="O15" s="226">
        <v>4.19E-2</v>
      </c>
      <c r="P15" s="226">
        <v>0.20810000000000001</v>
      </c>
      <c r="Q15" s="226">
        <v>5.8700000000000002E-2</v>
      </c>
      <c r="R15" s="226">
        <v>1.34E-2</v>
      </c>
      <c r="S15" s="226">
        <v>2.52E-2</v>
      </c>
      <c r="T15" s="226">
        <v>3.1899999999999998E-2</v>
      </c>
      <c r="U15" s="226">
        <v>3.3599999999999998E-2</v>
      </c>
      <c r="V15" s="226">
        <v>8.3999999999999995E-3</v>
      </c>
      <c r="W15" s="226">
        <v>8.3999999999999995E-3</v>
      </c>
      <c r="X15" s="228">
        <v>9.2299999999999993E-2</v>
      </c>
      <c r="Y15" s="211"/>
    </row>
    <row r="16" spans="2:25" s="17" customFormat="1" ht="20.100000000000001" customHeight="1">
      <c r="B16" s="94" t="s">
        <v>158</v>
      </c>
      <c r="C16" s="212">
        <v>375</v>
      </c>
      <c r="D16" s="213" t="s">
        <v>237</v>
      </c>
      <c r="E16" s="213" t="s">
        <v>237</v>
      </c>
      <c r="F16" s="213" t="s">
        <v>237</v>
      </c>
      <c r="G16" s="213" t="s">
        <v>237</v>
      </c>
      <c r="H16" s="213" t="s">
        <v>237</v>
      </c>
      <c r="I16" s="213" t="s">
        <v>237</v>
      </c>
      <c r="J16" s="213" t="s">
        <v>237</v>
      </c>
      <c r="K16" s="213" t="s">
        <v>237</v>
      </c>
      <c r="L16" s="213">
        <v>1.3299999999999999E-2</v>
      </c>
      <c r="M16" s="213">
        <v>5.0700000000000002E-2</v>
      </c>
      <c r="N16" s="214">
        <v>2.93E-2</v>
      </c>
      <c r="O16" s="213">
        <v>0.32529999999999998</v>
      </c>
      <c r="P16" s="213">
        <v>0.16</v>
      </c>
      <c r="Q16" s="213">
        <v>8.0000000000000002E-3</v>
      </c>
      <c r="R16" s="213">
        <v>0.14130000000000001</v>
      </c>
      <c r="S16" s="213">
        <v>4.8000000000000001E-2</v>
      </c>
      <c r="T16" s="213">
        <v>1.3299999999999999E-2</v>
      </c>
      <c r="U16" s="213">
        <v>2.1299999999999999E-2</v>
      </c>
      <c r="V16" s="213">
        <v>8.0000000000000002E-3</v>
      </c>
      <c r="W16" s="213">
        <v>5.3E-3</v>
      </c>
      <c r="X16" s="215">
        <v>0.17599999999999999</v>
      </c>
      <c r="Y16" s="211"/>
    </row>
    <row r="17" spans="2:25" s="17" customFormat="1" ht="20.100000000000001" customHeight="1">
      <c r="B17" s="94" t="s">
        <v>159</v>
      </c>
      <c r="C17" s="225">
        <v>719</v>
      </c>
      <c r="D17" s="226" t="s">
        <v>237</v>
      </c>
      <c r="E17" s="226" t="s">
        <v>237</v>
      </c>
      <c r="F17" s="226" t="s">
        <v>237</v>
      </c>
      <c r="G17" s="226" t="s">
        <v>237</v>
      </c>
      <c r="H17" s="226" t="s">
        <v>237</v>
      </c>
      <c r="I17" s="226" t="s">
        <v>237</v>
      </c>
      <c r="J17" s="226" t="s">
        <v>237</v>
      </c>
      <c r="K17" s="226">
        <v>2.8E-3</v>
      </c>
      <c r="L17" s="226">
        <v>7.0000000000000001E-3</v>
      </c>
      <c r="M17" s="226">
        <v>3.2000000000000001E-2</v>
      </c>
      <c r="N17" s="227">
        <v>0.10009999999999999</v>
      </c>
      <c r="O17" s="226">
        <v>7.3700000000000002E-2</v>
      </c>
      <c r="P17" s="226">
        <v>0.2601</v>
      </c>
      <c r="Q17" s="226">
        <v>5.7000000000000002E-2</v>
      </c>
      <c r="R17" s="226">
        <v>4.87E-2</v>
      </c>
      <c r="S17" s="226">
        <v>3.2000000000000001E-2</v>
      </c>
      <c r="T17" s="226">
        <v>6.1199999999999997E-2</v>
      </c>
      <c r="U17" s="226">
        <v>8.48E-2</v>
      </c>
      <c r="V17" s="226">
        <v>7.0000000000000001E-3</v>
      </c>
      <c r="W17" s="226">
        <v>5.5999999999999999E-3</v>
      </c>
      <c r="X17" s="228">
        <v>0.2281</v>
      </c>
      <c r="Y17" s="211"/>
    </row>
    <row r="18" spans="2:25" s="17" customFormat="1" ht="20.100000000000001" customHeight="1">
      <c r="B18" s="94" t="s">
        <v>160</v>
      </c>
      <c r="C18" s="212">
        <v>99</v>
      </c>
      <c r="D18" s="213" t="s">
        <v>237</v>
      </c>
      <c r="E18" s="213" t="s">
        <v>237</v>
      </c>
      <c r="F18" s="213" t="s">
        <v>237</v>
      </c>
      <c r="G18" s="213" t="s">
        <v>237</v>
      </c>
      <c r="H18" s="213" t="s">
        <v>237</v>
      </c>
      <c r="I18" s="213" t="s">
        <v>237</v>
      </c>
      <c r="J18" s="213" t="s">
        <v>237</v>
      </c>
      <c r="K18" s="213" t="s">
        <v>237</v>
      </c>
      <c r="L18" s="213">
        <v>1.01E-2</v>
      </c>
      <c r="M18" s="213">
        <v>3.0300000000000001E-2</v>
      </c>
      <c r="N18" s="214">
        <v>4.0399999999999998E-2</v>
      </c>
      <c r="O18" s="213" t="s">
        <v>237</v>
      </c>
      <c r="P18" s="213">
        <v>8.0799999999999997E-2</v>
      </c>
      <c r="Q18" s="213">
        <v>0.21210000000000001</v>
      </c>
      <c r="R18" s="213">
        <v>1.01E-2</v>
      </c>
      <c r="S18" s="213">
        <v>0.1414</v>
      </c>
      <c r="T18" s="213">
        <v>3.0300000000000001E-2</v>
      </c>
      <c r="U18" s="213" t="s">
        <v>237</v>
      </c>
      <c r="V18" s="213">
        <v>6.0600000000000001E-2</v>
      </c>
      <c r="W18" s="213" t="s">
        <v>237</v>
      </c>
      <c r="X18" s="215">
        <v>0.38379999999999997</v>
      </c>
      <c r="Y18" s="211"/>
    </row>
    <row r="19" spans="2:25" s="17" customFormat="1" ht="20.100000000000001" customHeight="1">
      <c r="B19" s="94" t="s">
        <v>161</v>
      </c>
      <c r="C19" s="225">
        <v>191</v>
      </c>
      <c r="D19" s="226" t="s">
        <v>237</v>
      </c>
      <c r="E19" s="226" t="s">
        <v>237</v>
      </c>
      <c r="F19" s="226" t="s">
        <v>237</v>
      </c>
      <c r="G19" s="226" t="s">
        <v>237</v>
      </c>
      <c r="H19" s="226" t="s">
        <v>237</v>
      </c>
      <c r="I19" s="226" t="s">
        <v>237</v>
      </c>
      <c r="J19" s="226" t="s">
        <v>237</v>
      </c>
      <c r="K19" s="226" t="s">
        <v>237</v>
      </c>
      <c r="L19" s="226">
        <v>1.0500000000000001E-2</v>
      </c>
      <c r="M19" s="226" t="s">
        <v>237</v>
      </c>
      <c r="N19" s="227">
        <v>1.0500000000000001E-2</v>
      </c>
      <c r="O19" s="226">
        <v>0.17799999999999999</v>
      </c>
      <c r="P19" s="226">
        <v>0.1152</v>
      </c>
      <c r="Q19" s="226">
        <v>5.1999999999999998E-3</v>
      </c>
      <c r="R19" s="226">
        <v>0.13089999999999999</v>
      </c>
      <c r="S19" s="226">
        <v>9.9500000000000005E-2</v>
      </c>
      <c r="T19" s="226">
        <v>4.19E-2</v>
      </c>
      <c r="U19" s="226">
        <v>3.1399999999999997E-2</v>
      </c>
      <c r="V19" s="226">
        <v>2.6200000000000001E-2</v>
      </c>
      <c r="W19" s="226">
        <v>3.1399999999999997E-2</v>
      </c>
      <c r="X19" s="228">
        <v>0.31940000000000002</v>
      </c>
      <c r="Y19" s="211"/>
    </row>
    <row r="20" spans="2:25" s="17" customFormat="1" ht="20.100000000000001" customHeight="1">
      <c r="B20" s="94" t="s">
        <v>162</v>
      </c>
      <c r="C20" s="212">
        <v>298</v>
      </c>
      <c r="D20" s="213" t="s">
        <v>237</v>
      </c>
      <c r="E20" s="213" t="s">
        <v>237</v>
      </c>
      <c r="F20" s="213" t="s">
        <v>237</v>
      </c>
      <c r="G20" s="213" t="s">
        <v>237</v>
      </c>
      <c r="H20" s="213" t="s">
        <v>237</v>
      </c>
      <c r="I20" s="213" t="s">
        <v>237</v>
      </c>
      <c r="J20" s="213" t="s">
        <v>237</v>
      </c>
      <c r="K20" s="213" t="s">
        <v>237</v>
      </c>
      <c r="L20" s="213">
        <v>2.35E-2</v>
      </c>
      <c r="M20" s="213">
        <v>6.7000000000000002E-3</v>
      </c>
      <c r="N20" s="214">
        <v>1.34E-2</v>
      </c>
      <c r="O20" s="213">
        <v>0.1174</v>
      </c>
      <c r="P20" s="213">
        <v>8.72E-2</v>
      </c>
      <c r="Q20" s="213">
        <v>5.3699999999999998E-2</v>
      </c>
      <c r="R20" s="213">
        <v>9.7299999999999998E-2</v>
      </c>
      <c r="S20" s="213">
        <v>0.1376</v>
      </c>
      <c r="T20" s="213">
        <v>4.7E-2</v>
      </c>
      <c r="U20" s="213">
        <v>3.3599999999999998E-2</v>
      </c>
      <c r="V20" s="213">
        <v>5.3699999999999998E-2</v>
      </c>
      <c r="W20" s="213">
        <v>1.34E-2</v>
      </c>
      <c r="X20" s="215">
        <v>0.31540000000000001</v>
      </c>
      <c r="Y20" s="211"/>
    </row>
    <row r="21" spans="2:25" s="17" customFormat="1" ht="20.100000000000001" customHeight="1">
      <c r="B21" s="94" t="s">
        <v>163</v>
      </c>
      <c r="C21" s="225">
        <v>394</v>
      </c>
      <c r="D21" s="226" t="s">
        <v>237</v>
      </c>
      <c r="E21" s="226" t="s">
        <v>237</v>
      </c>
      <c r="F21" s="226" t="s">
        <v>237</v>
      </c>
      <c r="G21" s="226" t="s">
        <v>237</v>
      </c>
      <c r="H21" s="226">
        <v>5.1000000000000004E-3</v>
      </c>
      <c r="I21" s="226" t="s">
        <v>237</v>
      </c>
      <c r="J21" s="226" t="s">
        <v>237</v>
      </c>
      <c r="K21" s="226" t="s">
        <v>237</v>
      </c>
      <c r="L21" s="226">
        <v>5.1000000000000004E-3</v>
      </c>
      <c r="M21" s="226">
        <v>1.52E-2</v>
      </c>
      <c r="N21" s="227">
        <v>8.3799999999999999E-2</v>
      </c>
      <c r="O21" s="226">
        <v>7.6E-3</v>
      </c>
      <c r="P21" s="226">
        <v>0.15479999999999999</v>
      </c>
      <c r="Q21" s="226">
        <v>9.64E-2</v>
      </c>
      <c r="R21" s="226">
        <v>1.78E-2</v>
      </c>
      <c r="S21" s="226">
        <v>3.0499999999999999E-2</v>
      </c>
      <c r="T21" s="226">
        <v>0.16750000000000001</v>
      </c>
      <c r="U21" s="226">
        <v>0.12180000000000001</v>
      </c>
      <c r="V21" s="226">
        <v>5.1000000000000004E-3</v>
      </c>
      <c r="W21" s="226">
        <v>7.6E-3</v>
      </c>
      <c r="X21" s="228">
        <v>0.28170000000000001</v>
      </c>
      <c r="Y21" s="211"/>
    </row>
    <row r="22" spans="2:25" s="17" customFormat="1" ht="20.100000000000001" customHeight="1">
      <c r="B22" s="94" t="s">
        <v>164</v>
      </c>
      <c r="C22" s="212">
        <v>259</v>
      </c>
      <c r="D22" s="213" t="s">
        <v>237</v>
      </c>
      <c r="E22" s="213" t="s">
        <v>237</v>
      </c>
      <c r="F22" s="213" t="s">
        <v>237</v>
      </c>
      <c r="G22" s="213" t="s">
        <v>237</v>
      </c>
      <c r="H22" s="213" t="s">
        <v>237</v>
      </c>
      <c r="I22" s="213" t="s">
        <v>237</v>
      </c>
      <c r="J22" s="213" t="s">
        <v>237</v>
      </c>
      <c r="K22" s="213">
        <v>7.7000000000000002E-3</v>
      </c>
      <c r="L22" s="213">
        <v>1.1599999999999999E-2</v>
      </c>
      <c r="M22" s="213">
        <v>1.1599999999999999E-2</v>
      </c>
      <c r="N22" s="214">
        <v>1.54E-2</v>
      </c>
      <c r="O22" s="213">
        <v>7.7000000000000002E-3</v>
      </c>
      <c r="P22" s="213">
        <v>7.3400000000000007E-2</v>
      </c>
      <c r="Q22" s="213" t="s">
        <v>237</v>
      </c>
      <c r="R22" s="213">
        <v>3.8999999999999998E-3</v>
      </c>
      <c r="S22" s="213">
        <v>1.1599999999999999E-2</v>
      </c>
      <c r="T22" s="213">
        <v>4.6300000000000001E-2</v>
      </c>
      <c r="U22" s="213">
        <v>0.59460000000000002</v>
      </c>
      <c r="V22" s="213">
        <v>5.0200000000000002E-2</v>
      </c>
      <c r="W22" s="213">
        <v>1.1599999999999999E-2</v>
      </c>
      <c r="X22" s="215">
        <v>0.15440000000000001</v>
      </c>
      <c r="Y22" s="211"/>
    </row>
    <row r="23" spans="2:25" s="17" customFormat="1" ht="20.100000000000001" customHeight="1">
      <c r="B23" s="94" t="s">
        <v>165</v>
      </c>
      <c r="C23" s="225">
        <v>90</v>
      </c>
      <c r="D23" s="226" t="s">
        <v>237</v>
      </c>
      <c r="E23" s="226" t="s">
        <v>237</v>
      </c>
      <c r="F23" s="226" t="s">
        <v>237</v>
      </c>
      <c r="G23" s="226" t="s">
        <v>237</v>
      </c>
      <c r="H23" s="226" t="s">
        <v>237</v>
      </c>
      <c r="I23" s="226" t="s">
        <v>237</v>
      </c>
      <c r="J23" s="226" t="s">
        <v>237</v>
      </c>
      <c r="K23" s="226" t="s">
        <v>237</v>
      </c>
      <c r="L23" s="226" t="s">
        <v>237</v>
      </c>
      <c r="M23" s="226" t="s">
        <v>237</v>
      </c>
      <c r="N23" s="227">
        <v>2.2200000000000001E-2</v>
      </c>
      <c r="O23" s="226" t="s">
        <v>237</v>
      </c>
      <c r="P23" s="226">
        <v>4.4400000000000002E-2</v>
      </c>
      <c r="Q23" s="226">
        <v>7.7799999999999994E-2</v>
      </c>
      <c r="R23" s="226">
        <v>1.11E-2</v>
      </c>
      <c r="S23" s="226">
        <v>5.5599999999999997E-2</v>
      </c>
      <c r="T23" s="226">
        <v>3.3300000000000003E-2</v>
      </c>
      <c r="U23" s="226">
        <v>0.1</v>
      </c>
      <c r="V23" s="226">
        <v>0.21110000000000001</v>
      </c>
      <c r="W23" s="226">
        <v>3.3300000000000003E-2</v>
      </c>
      <c r="X23" s="228">
        <v>0.41110000000000002</v>
      </c>
      <c r="Y23" s="211"/>
    </row>
    <row r="24" spans="2:25" s="17" customFormat="1" ht="20.100000000000001" customHeight="1">
      <c r="B24" s="94" t="s">
        <v>166</v>
      </c>
      <c r="C24" s="212">
        <v>23</v>
      </c>
      <c r="D24" s="213" t="s">
        <v>237</v>
      </c>
      <c r="E24" s="213" t="s">
        <v>237</v>
      </c>
      <c r="F24" s="213" t="s">
        <v>237</v>
      </c>
      <c r="G24" s="213" t="s">
        <v>237</v>
      </c>
      <c r="H24" s="213" t="s">
        <v>237</v>
      </c>
      <c r="I24" s="213" t="s">
        <v>237</v>
      </c>
      <c r="J24" s="213" t="s">
        <v>237</v>
      </c>
      <c r="K24" s="213" t="s">
        <v>237</v>
      </c>
      <c r="L24" s="213" t="s">
        <v>237</v>
      </c>
      <c r="M24" s="213" t="s">
        <v>237</v>
      </c>
      <c r="N24" s="214" t="s">
        <v>237</v>
      </c>
      <c r="O24" s="213" t="s">
        <v>237</v>
      </c>
      <c r="P24" s="213" t="s">
        <v>237</v>
      </c>
      <c r="Q24" s="213" t="s">
        <v>237</v>
      </c>
      <c r="R24" s="213">
        <v>8.6999999999999994E-2</v>
      </c>
      <c r="S24" s="213">
        <v>4.3499999999999997E-2</v>
      </c>
      <c r="T24" s="213" t="s">
        <v>237</v>
      </c>
      <c r="U24" s="213">
        <v>0.21740000000000001</v>
      </c>
      <c r="V24" s="213">
        <v>4.3499999999999997E-2</v>
      </c>
      <c r="W24" s="213">
        <v>4.3499999999999997E-2</v>
      </c>
      <c r="X24" s="215">
        <v>0.56520000000000004</v>
      </c>
      <c r="Y24" s="211"/>
    </row>
    <row r="25" spans="2:25" s="17" customFormat="1" ht="20.100000000000001" customHeight="1" thickBot="1">
      <c r="B25" s="95" t="s">
        <v>353</v>
      </c>
      <c r="C25" s="221">
        <v>245</v>
      </c>
      <c r="D25" s="222" t="s">
        <v>237</v>
      </c>
      <c r="E25" s="222" t="s">
        <v>237</v>
      </c>
      <c r="F25" s="222" t="s">
        <v>237</v>
      </c>
      <c r="G25" s="222" t="s">
        <v>237</v>
      </c>
      <c r="H25" s="222" t="s">
        <v>237</v>
      </c>
      <c r="I25" s="222" t="s">
        <v>237</v>
      </c>
      <c r="J25" s="222" t="s">
        <v>237</v>
      </c>
      <c r="K25" s="222">
        <v>4.1000000000000003E-3</v>
      </c>
      <c r="L25" s="222">
        <v>1.2200000000000001E-2</v>
      </c>
      <c r="M25" s="222">
        <v>2.86E-2</v>
      </c>
      <c r="N25" s="223">
        <v>2.4500000000000001E-2</v>
      </c>
      <c r="O25" s="222">
        <v>8.2000000000000007E-3</v>
      </c>
      <c r="P25" s="222">
        <v>8.2000000000000007E-3</v>
      </c>
      <c r="Q25" s="222">
        <v>4.1000000000000003E-3</v>
      </c>
      <c r="R25" s="222">
        <v>4.1000000000000003E-3</v>
      </c>
      <c r="S25" s="222">
        <v>2.0400000000000001E-2</v>
      </c>
      <c r="T25" s="222">
        <v>1.6299999999999999E-2</v>
      </c>
      <c r="U25" s="222">
        <v>0.2</v>
      </c>
      <c r="V25" s="222">
        <v>1.6299999999999999E-2</v>
      </c>
      <c r="W25" s="222" t="s">
        <v>237</v>
      </c>
      <c r="X25" s="224">
        <v>0.65310000000000001</v>
      </c>
      <c r="Y25" s="211"/>
    </row>
  </sheetData>
  <conditionalFormatting sqref="D5:X25">
    <cfRule type="expression" dxfId="0" priority="1">
      <formula>$B5=D$4</formula>
    </cfRule>
  </conditionalFormatting>
  <pageMargins left="0.7" right="0.7" top="0.75" bottom="0.75" header="0.3" footer="0.3"/>
  <pageSetup orientation="portrait" r:id="rId1"/>
  <headerFooter>
    <oddHeader>&amp;C&amp;"Calibri"&amp;10&amp;K808080 Corporate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Spreadsheet" ma:contentTypeID="0x010100536B9DF420DF9C4CB70F477123737E94006D53E143003BB144B18E56BD329E1A29" ma:contentTypeVersion="11" ma:contentTypeDescription="Spreadsheet document" ma:contentTypeScope="" ma:versionID="74b55c4e846211cc9793a88cdd572b3b">
  <xsd:schema xmlns:xsd="http://www.w3.org/2001/XMLSchema" xmlns:xs="http://www.w3.org/2001/XMLSchema" xmlns:p="http://schemas.microsoft.com/office/2006/metadata/properties" xmlns:ns1="88bf5e76-3c9e-4b2c-a438-e47336efc930" targetNamespace="http://schemas.microsoft.com/office/2006/metadata/properties" ma:root="true" ma:fieldsID="dd44aa406ce787440fc08c92e6b51c42" ns1:_="">
    <xsd:import namespace="88bf5e76-3c9e-4b2c-a438-e47336efc930"/>
    <xsd:element name="properties">
      <xsd:complexType>
        <xsd:sequence>
          <xsd:element name="documentManagement">
            <xsd:complexType>
              <xsd:all>
                <xsd:element ref="ns1:SMSI_SensitiveCntDescriptors" minOccurs="0"/>
                <xsd:element ref="ns1:SMSI_AuthorName" minOccurs="0"/>
                <xsd:element ref="ns1:SMSI_FinDate" minOccurs="0"/>
                <xsd:element ref="ns1:SMSI_Keywords" minOccurs="0"/>
                <xsd:element ref="ns1:TaxCatchAll" minOccurs="0"/>
                <xsd:element ref="ns1:p2d7abe6ec434cd8b5be7a81357d8090" minOccurs="0"/>
                <xsd:element ref="ns1:TaxCatchAllLabel" minOccurs="0"/>
                <xsd:element ref="ns1:_dlc_DocId" minOccurs="0"/>
                <xsd:element ref="ns1:_dlc_DocIdUrl" minOccurs="0"/>
                <xsd:element ref="ns1:_dlc_DocIdPersistId" minOccurs="0"/>
                <xsd:element ref="ns1:e43a9586a383445fa11bf5f4d54a4ab9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bf5e76-3c9e-4b2c-a438-e47336efc930" elementFormDefault="qualified">
    <xsd:import namespace="http://schemas.microsoft.com/office/2006/documentManagement/types"/>
    <xsd:import namespace="http://schemas.microsoft.com/office/infopath/2007/PartnerControls"/>
    <xsd:element name="SMSI_SensitiveCntDescriptors" ma:index="1" nillable="true" ma:displayName="Sensitive Content Descriptors" ma:format="Dropdown" ma:internalName="SMSI_SensitiveCntDescriptors" ma:readOnly="false">
      <xsd:simpleType>
        <xsd:restriction base="dms:Choice">
          <xsd:enumeration value="Audit Function"/>
          <xsd:enumeration value="Commercially Sensitive"/>
          <xsd:enumeration value="Compliance"/>
          <xsd:enumeration value="Inside Information - Market Abuse"/>
          <xsd:enumeration value="Intellectual Property"/>
          <xsd:enumeration value="Investigation"/>
          <xsd:enumeration value="Legally Privileged - Litigation"/>
          <xsd:enumeration value="Personal Data"/>
          <xsd:enumeration value="Politically Sensitive"/>
          <xsd:enumeration value="Security Matter"/>
          <xsd:enumeration value="Staff Matter"/>
          <xsd:enumeration value="Under Confidentiality Agreement"/>
          <xsd:enumeration value="Whistleblowing"/>
          <xsd:enumeration value="Other"/>
        </xsd:restriction>
      </xsd:simpleType>
    </xsd:element>
    <xsd:element name="SMSI_AuthorName" ma:index="4" nillable="true" ma:displayName="Author Name" ma:list="UserInfo" ma:SharePointGroup="0" ma:internalName="SMSI_AuthorNam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MSI_FinDate" ma:index="5" nillable="true" ma:displayName="Finalization Date" ma:format="DateOnly" ma:internalName="SMSI_FinDate" ma:readOnly="false">
      <xsd:simpleType>
        <xsd:restriction base="dms:DateTime"/>
      </xsd:simpleType>
    </xsd:element>
    <xsd:element name="SMSI_Keywords" ma:index="6" nillable="true" ma:displayName="Subject Keywords" ma:internalName="SMSI_Keywords" ma:readOnly="false">
      <xsd:simpleType>
        <xsd:restriction base="dms:Text">
          <xsd:maxLength value="255"/>
        </xsd:restriction>
      </xsd:simpleType>
    </xsd:element>
    <xsd:element name="TaxCatchAll" ma:index="11" nillable="true" ma:displayName="Taxonomy Catch All Column" ma:hidden="true" ma:list="{2c78b099-8600-49b7-9c64-3d28d1134bbc}" ma:internalName="TaxCatchAll" ma:readOnly="false" ma:showField="CatchAllData" ma:web="88bf5e76-3c9e-4b2c-a438-e47336efc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2d7abe6ec434cd8b5be7a81357d8090" ma:index="15" nillable="true" ma:taxonomy="true" ma:internalName="p2d7abe6ec434cd8b5be7a81357d8090" ma:taxonomyFieldName="SmartSiteICLevel" ma:displayName="IC Level" ma:readOnly="false" ma:fieldId="{92d7abe6-ec43-4cd8-b5be-7a81357d8090}" ma:sspId="a9be2620-ddc3-491e-8f12-d8e8b62fa002" ma:termSetId="2a5bccb8-22f6-4c5f-96c9-6ca8a9f8a692" ma:anchorId="49a090be-7fcf-44f4-8a3a-ee848bc19260" ma:open="false" ma:isKeyword="false">
      <xsd:complexType>
        <xsd:sequence>
          <xsd:element ref="pc:Terms" minOccurs="0" maxOccurs="1"/>
        </xsd:sequence>
      </xsd:complexType>
    </xsd:element>
    <xsd:element name="TaxCatchAllLabel" ma:index="16" nillable="true" ma:displayName="Taxonomy Catch All Column1" ma:hidden="true" ma:list="{2c78b099-8600-49b7-9c64-3d28d1134bbc}" ma:internalName="TaxCatchAllLabel" ma:readOnly="false" ma:showField="CatchAllDataLabel" ma:web="88bf5e76-3c9e-4b2c-a438-e47336efc9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9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e43a9586a383445fa11bf5f4d54a4ab9" ma:index="20" nillable="true" ma:taxonomy="true" ma:internalName="e43a9586a383445fa11bf5f4d54a4ab9" ma:taxonomyFieldName="SmartSiteLocalMetadata" ma:displayName="Local Metadata" ma:readOnly="false" ma:fieldId="{e43a9586-a383-445f-a11b-f5f4d54a4ab9}" ma:sspId="00000000-0000-0000-0000-000000000000" ma:termSetId="00000000-0000-0000-0000-000000000000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2d7abe6ec434cd8b5be7a81357d8090 xmlns="88bf5e76-3c9e-4b2c-a438-e47336efc930">
      <Terms xmlns="http://schemas.microsoft.com/office/infopath/2007/PartnerControls"/>
    </p2d7abe6ec434cd8b5be7a81357d8090>
    <SMSI_Keywords xmlns="88bf5e76-3c9e-4b2c-a438-e47336efc930" xsi:nil="true"/>
    <TaxCatchAllLabel xmlns="88bf5e76-3c9e-4b2c-a438-e47336efc930" xsi:nil="true"/>
    <TaxCatchAll xmlns="88bf5e76-3c9e-4b2c-a438-e47336efc930" xsi:nil="true"/>
    <SMSI_AuthorName xmlns="88bf5e76-3c9e-4b2c-a438-e47336efc930">
      <UserInfo>
        <DisplayName/>
        <AccountId xsi:nil="true"/>
        <AccountType/>
      </UserInfo>
    </SMSI_AuthorName>
    <SMSI_SensitiveCntDescriptors xmlns="88bf5e76-3c9e-4b2c-a438-e47336efc930" xsi:nil="true"/>
    <_dlc_DocIdPersistId xmlns="88bf5e76-3c9e-4b2c-a438-e47336efc930" xsi:nil="true"/>
    <e43a9586a383445fa11bf5f4d54a4ab9 xmlns="88bf5e76-3c9e-4b2c-a438-e47336efc930">
      <Terms xmlns="http://schemas.microsoft.com/office/infopath/2007/PartnerControls"/>
    </e43a9586a383445fa11bf5f4d54a4ab9>
    <_dlc_DocId xmlns="88bf5e76-3c9e-4b2c-a438-e47336efc930">WVJXKUS2PU5C-410551500-44807</_dlc_DocId>
    <_dlc_DocIdUrl xmlns="88bf5e76-3c9e-4b2c-a438-e47336efc930">
      <Url>https://europeaninvestmentbank.sharepoint.com/sites/30000152/_layouts/15/DocIdRedir.aspx?ID=WVJXKUS2PU5C-410551500-44807</Url>
      <Description>WVJXKUS2PU5C-410551500-44807</Description>
    </_dlc_DocIdUrl>
    <SMSI_FinDate xmlns="88bf5e76-3c9e-4b2c-a438-e47336efc93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1B678-934D-467F-91EC-394432E857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bf5e76-3c9e-4b2c-a438-e47336efc9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62A607-8E5B-46FD-B8CC-D0C55FF9F672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362B5E5-953E-42D1-8084-F0BD6B8429BD}">
  <ds:schemaRefs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88bf5e76-3c9e-4b2c-a438-e47336efc930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A0CCA7E-EA52-4FBE-A9A3-D38490B79F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1</vt:i4>
      </vt:variant>
    </vt:vector>
  </HeadingPairs>
  <TitlesOfParts>
    <vt:vector size="58" baseType="lpstr">
      <vt:lpstr>DR</vt:lpstr>
      <vt:lpstr>DR_Year</vt:lpstr>
      <vt:lpstr>DR_TtD</vt:lpstr>
      <vt:lpstr>DR_Rat_1y</vt:lpstr>
      <vt:lpstr>RR</vt:lpstr>
      <vt:lpstr>RR_year</vt:lpstr>
      <vt:lpstr>RR_Dist</vt:lpstr>
      <vt:lpstr>RR_TtR</vt:lpstr>
      <vt:lpstr>CTP_Info</vt:lpstr>
      <vt:lpstr>DR_TtD_GICS</vt:lpstr>
      <vt:lpstr>DR_TtD_Reg</vt:lpstr>
      <vt:lpstr>DR_TtD_SecGrp</vt:lpstr>
      <vt:lpstr>DR_Reg</vt:lpstr>
      <vt:lpstr>DR_Reg_Year</vt:lpstr>
      <vt:lpstr>DR_Cont_Year</vt:lpstr>
      <vt:lpstr>DR_GICS</vt:lpstr>
      <vt:lpstr>DR_GICS_Year</vt:lpstr>
      <vt:lpstr>DR_SecGrp_Year</vt:lpstr>
      <vt:lpstr>DR_Reg-GICS</vt:lpstr>
      <vt:lpstr>DR_Reg-SecGrp</vt:lpstr>
      <vt:lpstr>DR_Ctry</vt:lpstr>
      <vt:lpstr>DR_Ctry_Year</vt:lpstr>
      <vt:lpstr>DR_Ctry-GICS</vt:lpstr>
      <vt:lpstr>DR_Ctry-FI_Year</vt:lpstr>
      <vt:lpstr>DR_Ctry-NonFI_Year</vt:lpstr>
      <vt:lpstr>DR_Ctry-SecGrp_Year</vt:lpstr>
      <vt:lpstr>DR_Inc</vt:lpstr>
      <vt:lpstr>DR_Inc-Reg</vt:lpstr>
      <vt:lpstr>DR_Proj</vt:lpstr>
      <vt:lpstr>MasterPD</vt:lpstr>
      <vt:lpstr>Rt_Freq</vt:lpstr>
      <vt:lpstr>DR_Rt_1y</vt:lpstr>
      <vt:lpstr>DR_Rt_Y</vt:lpstr>
      <vt:lpstr>DR_Rt_cum_Y</vt:lpstr>
      <vt:lpstr>RR_Reg</vt:lpstr>
      <vt:lpstr>RR_Cont_Year</vt:lpstr>
      <vt:lpstr>RR_GICS</vt:lpstr>
      <vt:lpstr>RR_GICS_Year</vt:lpstr>
      <vt:lpstr>RR_Reg_Year</vt:lpstr>
      <vt:lpstr>RR_SecGrp_Year</vt:lpstr>
      <vt:lpstr>RR_Reg-GICS</vt:lpstr>
      <vt:lpstr>RR_Reg-SecGrp</vt:lpstr>
      <vt:lpstr>RR_Ctry</vt:lpstr>
      <vt:lpstr>RR_Ctry_Year</vt:lpstr>
      <vt:lpstr>RR_Ctry-GICS</vt:lpstr>
      <vt:lpstr>RR_Ctry-FI_Year</vt:lpstr>
      <vt:lpstr>RR_Ctry-NonFI_Year</vt:lpstr>
      <vt:lpstr>RR_Inc</vt:lpstr>
      <vt:lpstr>RR_Inc-Reg</vt:lpstr>
      <vt:lpstr>RR_Curr</vt:lpstr>
      <vt:lpstr>RR_Proj</vt:lpstr>
      <vt:lpstr>RR_Sen</vt:lpstr>
      <vt:lpstr>RR_Size</vt:lpstr>
      <vt:lpstr>MM_GEMsRt_Up</vt:lpstr>
      <vt:lpstr>MM_GEMsRt_1</vt:lpstr>
      <vt:lpstr>MM_GEMsRt_2</vt:lpstr>
      <vt:lpstr>MM_GEMsRt_10</vt:lpstr>
      <vt:lpstr>MM_GEMsRt_Up!_Ref171698474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Sperling</dc:creator>
  <cp:keywords/>
  <dc:description/>
  <cp:lastModifiedBy>Andreas Jobst</cp:lastModifiedBy>
  <cp:revision/>
  <dcterms:created xsi:type="dcterms:W3CDTF">2024-04-10T22:39:51Z</dcterms:created>
  <dcterms:modified xsi:type="dcterms:W3CDTF">2026-09-20T16:23:46Z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0x010100536B9DF420DF9C4CB70F477123737E94006D53E143003BB144B18E56BD329E1A29</vt:lpwstr>
  </property>
  <property fmtid="{D5CDD505-2E9C-101B-9397-08002B2CF9AE}" pid="3" name="_dlc_DocIdItemGuid">
    <vt:lpwstr>bbf820f8-b370-45cb-bfdb-2a6aa31233da</vt:lpwstr>
  </property>
  <property fmtid="{D5CDD505-2E9C-101B-9397-08002B2CF9AE}" pid="4" name="MSIP_Label_9b5154d6-21c1-415b-b061-7427a4708b37_Enabled">
    <vt:lpwstr>true</vt:lpwstr>
  </property>
  <property fmtid="{D5CDD505-2E9C-101B-9397-08002B2CF9AE}" pid="5" name="MSIP_Label_9b5154d6-21c1-415b-b061-7427a4708b37_SetDate">
    <vt:lpwstr>2025-08-27T09:57:08Z</vt:lpwstr>
  </property>
  <property fmtid="{D5CDD505-2E9C-101B-9397-08002B2CF9AE}" pid="6" name="MSIP_Label_9b5154d6-21c1-415b-b061-7427a4708b37_Method">
    <vt:lpwstr>Privileged</vt:lpwstr>
  </property>
  <property fmtid="{D5CDD505-2E9C-101B-9397-08002B2CF9AE}" pid="7" name="MSIP_Label_9b5154d6-21c1-415b-b061-7427a4708b37_Name">
    <vt:lpwstr>Default Corporate Use</vt:lpwstr>
  </property>
  <property fmtid="{D5CDD505-2E9C-101B-9397-08002B2CF9AE}" pid="8" name="MSIP_Label_9b5154d6-21c1-415b-b061-7427a4708b37_SiteId">
    <vt:lpwstr>0b96d5d2-d153-4370-a2c7-8a926f24c8a1</vt:lpwstr>
  </property>
  <property fmtid="{D5CDD505-2E9C-101B-9397-08002B2CF9AE}" pid="9" name="MSIP_Label_9b5154d6-21c1-415b-b061-7427a4708b37_ActionId">
    <vt:lpwstr>da9096d3-c6f9-4e91-b37d-c14e943d7c71</vt:lpwstr>
  </property>
  <property fmtid="{D5CDD505-2E9C-101B-9397-08002B2CF9AE}" pid="10" name="MSIP_Label_9b5154d6-21c1-415b-b061-7427a4708b37_ContentBits">
    <vt:lpwstr>1</vt:lpwstr>
  </property>
  <property fmtid="{D5CDD505-2E9C-101B-9397-08002B2CF9AE}" pid="11" name="MSIP_Label_9b5154d6-21c1-415b-b061-7427a4708b37_Tag">
    <vt:lpwstr>10, 0, 1, 1</vt:lpwstr>
  </property>
  <property fmtid="{D5CDD505-2E9C-101B-9397-08002B2CF9AE}" pid="12" name="SmartSiteLocalMetadata">
    <vt:lpwstr/>
  </property>
  <property fmtid="{D5CDD505-2E9C-101B-9397-08002B2CF9AE}" pid="13" name="MediaServiceImageTags">
    <vt:lpwstr/>
  </property>
  <property fmtid="{D5CDD505-2E9C-101B-9397-08002B2CF9AE}" pid="14" name="SmartSiteICLevel">
    <vt:lpwstr/>
  </property>
  <property fmtid="{D5CDD505-2E9C-101B-9397-08002B2CF9AE}" pid="15" name="lcf76f155ced4ddcb4097134ff3c332f">
    <vt:lpwstr/>
  </property>
</Properties>
</file>